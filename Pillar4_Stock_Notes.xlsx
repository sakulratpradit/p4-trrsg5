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tock Index" sheetId="2" state="visible" r:id="rId4"/>
    <sheet name="Comment Log" sheetId="3" state="visible" r:id="rId5"/>
    <sheet name="Full Log" sheetId="4" state="visible" r:id="rId6"/>
    <sheet name="Dashboard Notes" sheetId="5" state="visible" r:id="rId7"/>
    <sheet name="Our Notes" sheetId="6" state="visible" r:id="rId8"/>
    <sheet name="Follow-ups" sheetId="7" state="visible" r:id="rId9"/>
  </sheets>
  <definedNames>
    <definedName function="false" hidden="true" localSheetId="2" name="_xlnm._FilterDatabase" vbProcedure="false">'Comment Log'!$A$1:$D$280</definedName>
    <definedName function="false" hidden="true" localSheetId="4" name="_xlnm._FilterDatabase" vbProcedure="false">'Dashboard Notes'!$A$1:$C$54</definedName>
    <definedName function="false" hidden="true" localSheetId="6" name="_xlnm._FilterDatabase" vbProcedure="false">'Follow-ups'!$A$1:$D$20</definedName>
    <definedName function="false" hidden="true" localSheetId="3" name="_xlnm._FilterDatabase" vbProcedure="false">'Full Log'!$A$1:$D$1469</definedName>
    <definedName function="false" hidden="true" localSheetId="5" name="_xlnm._FilterDatabase" vbProcedure="false">'Our Notes'!$A$1:$F$2</definedName>
    <definedName function="false" hidden="true" localSheetId="1" name="_xlnm._FilterDatabase" vbProcedure="false">'Stock Index'!$A$1:$R$153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<sst xmlns="http://schemas.openxmlformats.org/spreadsheetml/2006/main" count="9135" uniqueCount="2246">
  <si>
    <t xml:space="preserve">PILLAR 4 - US STOCK NOTES</t>
  </si>
  <si>
    <t xml:space="preserve">What this is</t>
  </si>
  <si>
    <t xml:space="preserve">Every comment Claude has written about each stock in the US dashboard, kept in one place so you and Dad can re-read the reasoning instead of asking the same question twice.</t>
  </si>
  <si>
    <t xml:space="preserve">Generated</t>
  </si>
  <si>
    <t xml:space="preserve">2026-08-10</t>
  </si>
  <si>
    <t xml:space="preserve">Objective on record</t>
  </si>
  <si>
    <t xml:space="preserve">SL-P4: 100% capital gain over five years, 2026-2030 (about 15% a year).</t>
  </si>
  <si>
    <t xml:space="preserve">SHEET</t>
  </si>
  <si>
    <t xml:space="preserve">WHAT IS IN IT</t>
  </si>
  <si>
    <t xml:space="preserve">Stock Index</t>
  </si>
  <si>
    <t xml:space="preserve">One row per ticker: a plain-English line on WHAT THE COMPANY DOES, then when it was founded, its headquarters, employee count, and a short note on its operations and mission - followed by group, whether you hold it, shares, cost, budget, last price and the most recent thing Claude said about it. Start here.</t>
  </si>
  <si>
    <t xml:space="preserve">Comment Log</t>
  </si>
  <si>
    <t xml:space="preserve">Executive summaries, one row per stock per week (Monday-Sunday). GREEN text = something positive, RED text = a risk or negative view, bold RED FLAG = urgent warning. The View column gives the week's overall tilt at a glance.</t>
  </si>
  <si>
    <t xml:space="preserve">Full Log</t>
  </si>
  <si>
    <t xml:space="preserve">The complete unabridged archive - every individual comment with its exact date, for when the summary is not enough.</t>
  </si>
  <si>
    <t xml:space="preserve">Dashboard Notes</t>
  </si>
  <si>
    <t xml:space="preserve">The dated technical notes stored inside the dashboard itself - data conflicts, earnings dates, warnings, what was verified and what was not. Longer and more detailed than the chat comments.</t>
  </si>
  <si>
    <t xml:space="preserve">Our Notes</t>
  </si>
  <si>
    <t xml:space="preserve">YOURS. Claude never overwrites this sheet - it is read back and carried forward on every rebuild. Put your own observations, Dad's notes, and decisions here.</t>
  </si>
  <si>
    <t xml:space="preserve">Follow-ups</t>
  </si>
  <si>
    <t xml:space="preserve">Open items Claude is carrying: unanswered offers, data to fix, earnings to watch.</t>
  </si>
  <si>
    <t xml:space="preserve">HOW TO LOOK UP ONE STOCK</t>
  </si>
  <si>
    <t xml:space="preserve">1</t>
  </si>
  <si>
    <t xml:space="preserve">Go to the Comment Log sheet.</t>
  </si>
  <si>
    <t xml:space="preserve">2</t>
  </si>
  <si>
    <t xml:space="preserve">Click the small arrow in the Ticker header (row 1, column A).</t>
  </si>
  <si>
    <t xml:space="preserve">3</t>
  </si>
  <si>
    <t xml:space="preserve">Untick "Select All", tick just the ticker you want, press OK.</t>
  </si>
  <si>
    <t xml:space="preserve">4</t>
  </si>
  <si>
    <t xml:space="preserve">Every comment about that stock, oldest to newest, is now on screen.</t>
  </si>
  <si>
    <t xml:space="preserve">5</t>
  </si>
  <si>
    <t xml:space="preserve">To clear it, click the arrow again and tick "Select All".</t>
  </si>
  <si>
    <t xml:space="preserve">IMPORTANT LIMITS</t>
  </si>
  <si>
    <t xml:space="preserve">Not advice</t>
  </si>
  <si>
    <t xml:space="preserve">These are analytical comments, not licensed investment advice. Every order is placed by Salee.</t>
  </si>
  <si>
    <t xml:space="preserve">Comments age</t>
  </si>
  <si>
    <t xml:space="preserve">A comment is a snapshot of what was true and known on its date. A buy case from three weeks ago may have been overtaken by an earnings report. Always check the date column.</t>
  </si>
  <si>
    <t xml:space="preserve">Prices are closes</t>
  </si>
  <si>
    <t xml:space="preserve">Prices in the Stock Index come from the dashboard and are closing prices with a stated date, not live quotes.</t>
  </si>
  <si>
    <t xml:space="preserve">Coverage</t>
  </si>
  <si>
    <t xml:space="preserve">Comments were mined from the chat history of the Jul 20 - Aug 7 2026 session plus the full git history of the dashboard. Anything said before that session is not captured.</t>
  </si>
  <si>
    <t xml:space="preserve">Ticker</t>
  </si>
  <si>
    <t xml:space="preserve">Company</t>
  </si>
  <si>
    <t xml:space="preserve">What the company does</t>
  </si>
  <si>
    <t xml:space="preserve">Founded</t>
  </si>
  <si>
    <t xml:space="preserve">Headquarters</t>
  </si>
  <si>
    <t xml:space="preserve">Employees</t>
  </si>
  <si>
    <t xml:space="preserve">Operations &amp; mission</t>
  </si>
  <si>
    <t xml:space="preserve">Group</t>
  </si>
  <si>
    <t xml:space="preserve">Held</t>
  </si>
  <si>
    <t xml:space="preserve">Shares</t>
  </si>
  <si>
    <t xml:space="preserve">Cost (USD)</t>
  </si>
  <si>
    <t xml:space="preserve">Budget (USD)</t>
  </si>
  <si>
    <t xml:space="preserve">Last close (USD)</t>
  </si>
  <si>
    <t xml:space="preserve">Price date</t>
  </si>
  <si>
    <t xml:space="preserve">Comments</t>
  </si>
  <si>
    <t xml:space="preserve">First comment</t>
  </si>
  <si>
    <t xml:space="preserve">Last comment</t>
  </si>
  <si>
    <t xml:space="preserve">Most recent comment</t>
  </si>
  <si>
    <t xml:space="preserve">AAPL</t>
  </si>
  <si>
    <t xml:space="preserve">Apple</t>
  </si>
  <si>
    <t xml:space="preserve">iPhone, Mac and services — the world's biggest consumer technology company.</t>
  </si>
  <si>
    <t xml:space="preserve">1977</t>
  </si>
  <si>
    <t xml:space="preserve">Cupertino, California, USA</t>
  </si>
  <si>
    <t xml:space="preserve">166,000</t>
  </si>
  <si>
    <t xml:space="preserve">Sells phones, computers, tablets, watches and headphones worldwide, and runs online stores and paid services such as music, television and payments. To design, make and market its own devices and services for shoppers, small businesses, schools, companies and governments around the world.</t>
  </si>
  <si>
    <t xml:space="preserve">Hyperscalers</t>
  </si>
  <si>
    <t xml:space="preserve">YES</t>
  </si>
  <si>
    <t xml:space="preserve">2026-08-07</t>
  </si>
  <si>
    <t xml:space="preserve">2026-07-20</t>
  </si>
  <si>
    <t xml:space="preserve">2026-08-04</t>
  </si>
  <si>
    <t xml:space="preserve">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</si>
  <si>
    <t xml:space="preserve">AMZN</t>
  </si>
  <si>
    <t xml:space="preserve">Amazon</t>
  </si>
  <si>
    <t xml:space="preserve">Online shopping giant, and the world's largest cloud-computing provider (AWS).</t>
  </si>
  <si>
    <t xml:space="preserve">1994</t>
  </si>
  <si>
    <t xml:space="preserve">Seattle, Washington, USA</t>
  </si>
  <si>
    <t xml:space="preserve">1,576,000</t>
  </si>
  <si>
    <t xml:space="preserve">Runs online and physical shops in North America and other countries, plus a large computing-rental arm and its own devices such as Kindle and Echo. To sell consumer goods, advertising and subscriptions through online and physical stores in North America and internationally.</t>
  </si>
  <si>
    <t xml:space="preserve">Your AMZN buy is logged. 7 shares @ $285.3599 (limit 285.50, order 65487), $1,997.52 + $8.56 fees = $2,006.08. You now hold 209 shares at an average cost of $232.54, worth $59,360 — up 22.1%. Budget left in the Amazon sleeve: $1,399.25, so that position is now essentially full.</t>
  </si>
  <si>
    <t xml:space="preserve">GOOGL</t>
  </si>
  <si>
    <t xml:space="preserve">Alphabet</t>
  </si>
  <si>
    <t xml:space="preserve">Google search and YouTube advertising, plus Google Cloud and Waymo self-driving cars.</t>
  </si>
  <si>
    <t xml:space="preserve">1998</t>
  </si>
  <si>
    <t xml:space="preserve">Mountain View, California, USA</t>
  </si>
  <si>
    <t xml:space="preserve">190,820</t>
  </si>
  <si>
    <t xml:space="preserve">Runs search, advertising, phone software, video and email services across the Americas, Europe, Africa, the Middle East and Asia, plus a computing-rental arm. To offer a wide range of internet products and platforms, grouped into its main services, its computing-rental business and smaller ventures.</t>
  </si>
  <si>
    <t xml:space="preserve">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</si>
  <si>
    <t xml:space="preserve">META</t>
  </si>
  <si>
    <t xml:space="preserve">Meta Platforms</t>
  </si>
  <si>
    <t xml:space="preserve">Facebook, Instagram and WhatsApp — sells advertising to their billions of users.</t>
  </si>
  <si>
    <t xml:space="preserve">2004</t>
  </si>
  <si>
    <t xml:space="preserve">Menlo Park, California, USA</t>
  </si>
  <si>
    <t xml:space="preserve">78,865</t>
  </si>
  <si>
    <t xml:space="preserve">Runs Facebook, Instagram, WhatsApp and Messenger, plus a division making virtual-reality headsets and smart glasses, serving users in most world regions. To build products that let people connect and share with friends and family through phones, computers, headsets and smart glasses.</t>
  </si>
  <si>
    <t xml:space="preserve">2026-08-05</t>
  </si>
  <si>
    <t xml:space="preserve">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</si>
  <si>
    <t xml:space="preserve">MSFT</t>
  </si>
  <si>
    <t xml:space="preserve">Microsoft</t>
  </si>
  <si>
    <t xml:space="preserve">Windows and Office software, Azure cloud computing, and a large stake in OpenAI.</t>
  </si>
  <si>
    <t xml:space="preserve">1975</t>
  </si>
  <si>
    <t xml:space="preserve">Redmond, Washington, USA</t>
  </si>
  <si>
    <t xml:space="preserve">223,000</t>
  </si>
  <si>
    <t xml:space="preserve">Sells office and business software, rented computing power, Windows, game consoles and search advertising to people and companies worldwide. To develop and support a broad set of technology products and services for individuals and businesses around the world.</t>
  </si>
  <si>
    <t xml:space="preserve">2026-08-06</t>
  </si>
  <si>
    <t xml:space="preserve">- VEEV's return-on-capital reads 176% on one source and 31% on another. I stored the conservative 31.44%. The 176% is a maths artifact — Veeva has almost no debt and a tiny capital base, so the ratio explodes. Don't read it as "six times better than Microsoft."</t>
  </si>
  <si>
    <t xml:space="preserve">AMD</t>
  </si>
  <si>
    <t xml:space="preserve">Advanced Micro Devices</t>
  </si>
  <si>
    <t xml:space="preserve">Designs computer processors and AI chips — Nvidia's main challenger.</t>
  </si>
  <si>
    <t xml:space="preserve">1969</t>
  </si>
  <si>
    <t xml:space="preserve">Santa Clara, California, USA</t>
  </si>
  <si>
    <t xml:space="preserve">31,000</t>
  </si>
  <si>
    <t xml:space="preserve">Designs chips sold internationally through three business lines: data centres, personal computers and gaming, and equipment with chips built in. To supply processors, graphics chips and artificial-intelligence hardware for business and consumer computing worldwide.</t>
  </si>
  <si>
    <t xml:space="preserve">Computing Chips</t>
  </si>
  <si>
    <t xml:space="preserve">2026-07-21</t>
  </si>
  <si>
    <t xml:space="preserve">&gt;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</si>
  <si>
    <t xml:space="preserve">ARM</t>
  </si>
  <si>
    <t xml:space="preserve">Arm Holdings</t>
  </si>
  <si>
    <t xml:space="preserve">Licenses the chip blueprints used inside nearly every smartphone in the world.</t>
  </si>
  <si>
    <t xml:space="preserve">1990</t>
  </si>
  <si>
    <t xml:space="preserve">Cambridge, United Kingdom</t>
  </si>
  <si>
    <t xml:space="preserve">9,584</t>
  </si>
  <si>
    <t xml:space="preserve">Licenses chip blueprints rather than making chips, serving chipmakers, device makers and computing-rental firms for phones, cars and data centres. To research, develop and license chip designs, software and tools that other companies use to build their own chips.</t>
  </si>
  <si>
    <t xml:space="preserve">Portfolio now: $560,432 cost, $683,857 market value, +$123,426 (+22.02%). A strong day across the board — 109 of 112 names repriced, and the tone was risk-on: PLTR +29%, AAOI +19%, ARM +17%, FN +16%, your own AMD +7% and AVGO +6.6%.</t>
  </si>
  <si>
    <t xml:space="preserve">AVGO</t>
  </si>
  <si>
    <t xml:space="preserve">Broadcom</t>
  </si>
  <si>
    <t xml:space="preserve">Custom AI chips and networking parts, plus a large enterprise software business.</t>
  </si>
  <si>
    <t xml:space="preserve">1961</t>
  </si>
  <si>
    <t xml:space="preserve">Palo Alto, California, USA</t>
  </si>
  <si>
    <t xml:space="preserve">33,000</t>
  </si>
  <si>
    <t xml:space="preserve">Supplies chips and business software internationally through two arms: semiconductor products and infrastructure software. To design and supply the chips and software that run company networks, data centres, telephone systems and broadband.</t>
  </si>
  <si>
    <t xml:space="preserve">2026-07-23</t>
  </si>
  <si>
    <t xml:space="preserve">INTC</t>
  </si>
  <si>
    <t xml:space="preserve">Intel</t>
  </si>
  <si>
    <t xml:space="preserve">The historic US chipmaker, now rebuilding both its chip designs and its factories.</t>
  </si>
  <si>
    <t xml:space="preserve">1968</t>
  </si>
  <si>
    <t xml:space="preserve">85,100</t>
  </si>
  <si>
    <t xml:space="preserve">Designs and manufactures chips, with operations in the United States, Ireland and Israel, run as three units including a factory arm making chips for others. To design, make and sell computing products, and to build a manufacturing business that produces chips for other companies.</t>
  </si>
  <si>
    <t xml:space="preserve">2026-08-03</t>
  </si>
  <si>
    <t xml:space="preserve">&gt; Conviction: High. Horizon: Long (3–5 years, fits the 2030 mandate). What would change my mind: a serious Taiwan Strait escalation, or evidence that Intel or Samsung has genuinely closed the leading-edge manufacturing gap.</t>
  </si>
  <si>
    <t xml:space="preserve">MCHP</t>
  </si>
  <si>
    <t xml:space="preserve">Microchip Technology</t>
  </si>
  <si>
    <t xml:space="preserve">Microcontrollers and analog chips for cars, factory equipment and data centres.</t>
  </si>
  <si>
    <t xml:space="preserve">1989</t>
  </si>
  <si>
    <t xml:space="preserve">Chandler, Arizona, USA</t>
  </si>
  <si>
    <t xml:space="preserve">17,900</t>
  </si>
  <si>
    <t xml:space="preserve">Makes and sells small control chips across the Americas, Europe and Asia through two arms: semiconductor products and technology licensing. To develop, make and sell smart, connected and secure control chips that sit inside other companies' equipment.</t>
  </si>
  <si>
    <t xml:space="preserve">2026-08-09</t>
  </si>
  <si>
    <t xml:space="preserve">Aug 8 addition: MCHP (Microchip Technology, NASDAQ) added to Computing Chips at the Aug 7, 2026 close 84.69, UP 13.89% that day, stamp 'At close: Aug 7, 2026, 4:00 PM EDT', second-sourced by MarketBeat. Watchlist only - no position, no budget. Microchip makes microcontrollers, analog and connectivity chips for cars, industry, aerospace/defence and data centres, and is RECOVERING from a deep inventory-correction downcycle. Q1 FY2027 (ended Jun 30, reported Aug 6) was a clear beat and the trigger for the pop: net sales 1.485B (+38% YoY, +13% QoQ), GAAP EPS 0.37 (vs a loss a year ago), non-GAAP EPS 0.76; Q2 guidance strong (~1.6B, +41% YoY); inventory days improving (185-&gt;175); PCIe Gen 6 / data-centre commentary cited. Pays a ~2.15% dividend (0.455/qtr). KEY VALUATION NOTE: trailing P/E 124.83 and payout ratio 268% look alarming but are DISTORTED by trough earnings during the downturn - ...</t>
  </si>
  <si>
    <t xml:space="preserve">MRVL</t>
  </si>
  <si>
    <t xml:space="preserve">Marvell Technology</t>
  </si>
  <si>
    <t xml:space="preserve">Custom data-centre chips that move data between AI servers.</t>
  </si>
  <si>
    <t xml:space="preserve">1995</t>
  </si>
  <si>
    <t xml:space="preserve">Wilmington, Delaware, USA</t>
  </si>
  <si>
    <t xml:space="preserve">7,480</t>
  </si>
  <si>
    <t xml:space="preserve">Designs data-centre and networking chips, with operations in the United States, Argentina, China, India, Israel, Japan, Singapore, South Korea, Taiwan and Vietnam. To supply the chips that move and store data from the heart of large data centres out to the edge of networks.</t>
  </si>
  <si>
    <t xml:space="preserve">2026-07-22</t>
  </si>
  <si>
    <t xml:space="preserve">⚠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</si>
  <si>
    <t xml:space="preserve">NVDA</t>
  </si>
  <si>
    <t xml:space="preserve">NVIDIA</t>
  </si>
  <si>
    <t xml:space="preserve">Makes the GPU chips that almost all AI computing runs on.</t>
  </si>
  <si>
    <t xml:space="preserve">1993</t>
  </si>
  <si>
    <t xml:space="preserve">42,000</t>
  </si>
  <si>
    <t xml:space="preserve">Sells computing and graphics chips through two arms, with operations in the United States, Taiwan, China, Hong Kong and Europe. To operate as a company that supplies the computing equipment whole data centres use for artificial intelligence.</t>
  </si>
  <si>
    <t xml:space="preserve">-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</si>
  <si>
    <t xml:space="preserve">ON</t>
  </si>
  <si>
    <t xml:space="preserve">ON Semiconductor</t>
  </si>
  <si>
    <t xml:space="preserve">Power and sensing chips for electric cars, industry and AI data centres.</t>
  </si>
  <si>
    <t xml:space="preserve">1992</t>
  </si>
  <si>
    <t xml:space="preserve">Scottsdale, Arizona, USA</t>
  </si>
  <si>
    <t xml:space="preserve">22,600</t>
  </si>
  <si>
    <t xml:space="preserve">Runs three product groups covering power, analogue and sensing chips, with operations in Hong Kong, Singapore, the United Kingdom and the United States. To provide sensing and power-handling chips used in cars, factories and other industrial equipment.</t>
  </si>
  <si>
    <t xml:space="preserve">No comment on record yet.</t>
  </si>
  <si>
    <t xml:space="preserve">QCOM</t>
  </si>
  <si>
    <t xml:space="preserve">Qualcomm</t>
  </si>
  <si>
    <t xml:space="preserve">Smartphone processors and modems, expanding into cars and AI laptops.</t>
  </si>
  <si>
    <t xml:space="preserve">1985</t>
  </si>
  <si>
    <t xml:space="preserve">San Diego, California, USA</t>
  </si>
  <si>
    <t xml:space="preserve">52,000</t>
  </si>
  <si>
    <t xml:space="preserve">Runs three arms worldwide: chip products, patent licensing and start-up investing, plus government services and data-centre products. To develop and commercialise the basic technologies that the wireless telephone industry depends on.</t>
  </si>
  <si>
    <t xml:space="preserve">TSM</t>
  </si>
  <si>
    <t xml:space="preserve">Taiwan Semiconductor</t>
  </si>
  <si>
    <t xml:space="preserve">The world's chip factory — actually manufactures the chips Nvidia, Apple and AMD design.</t>
  </si>
  <si>
    <t xml:space="preserve">1987</t>
  </si>
  <si>
    <t xml:space="preserve">Hsinchu City, Taiwan</t>
  </si>
  <si>
    <t xml:space="preserve">90,557</t>
  </si>
  <si>
    <t xml:space="preserve">Makes, packages and tests chips for other companies, selling in Taiwan, China, Europe, the Middle East, Africa, Japan and the United States. To manufacture the chips its customers design, for computing, phones, cars, connected devices and home electronics.</t>
  </si>
  <si>
    <t xml:space="preserve">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</si>
  <si>
    <t xml:space="preserve">AEHR</t>
  </si>
  <si>
    <t xml:space="preserve">Aehr Test Systems</t>
  </si>
  <si>
    <t xml:space="preserve">Burn-in machines that stress-test chips, both on the wafer and after packaging.</t>
  </si>
  <si>
    <t xml:space="preserve">Fremont, California, USA</t>
  </si>
  <si>
    <t xml:space="preserve">138</t>
  </si>
  <si>
    <t xml:space="preserve">Supplies chip testing machines and related parts to chipmakers and testing firms in the United States, Asia, Europe and the Middle East. To provide systems that test and stress semiconductor devices before shipment, at wafer, single-chip and packaged stages.</t>
  </si>
  <si>
    <t xml:space="preserve">Chips Manufacturing</t>
  </si>
  <si>
    <t xml:space="preserve">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</si>
  <si>
    <t xml:space="preserve">AMAT</t>
  </si>
  <si>
    <t xml:space="preserve">Applied Materials</t>
  </si>
  <si>
    <t xml:space="preserve">Equipment that deposits and etches the microscopic layers inside every chip.</t>
  </si>
  <si>
    <t xml:space="preserve">1967</t>
  </si>
  <si>
    <t xml:space="preserve">36,500</t>
  </si>
  <si>
    <t xml:space="preserve">Supplies chip factory equipment, services and software in the United States, China, Korea, Taiwan, Japan, Southeast Asia and Europe, through two business arms. To provide the equipment, services and know-how that chipmakers use to build semiconductors.</t>
  </si>
  <si>
    <t xml:space="preserve">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</si>
  <si>
    <t xml:space="preserve">AMKR</t>
  </si>
  <si>
    <t xml:space="preserve">Amkor Technology</t>
  </si>
  <si>
    <t xml:space="preserve">Packages and tests finished chips on behalf of other chip companies.</t>
  </si>
  <si>
    <t xml:space="preserve">Tempe, Arizona, USA</t>
  </si>
  <si>
    <t xml:space="preserve">30,800</t>
  </si>
  <si>
    <t xml:space="preserve">Packages and tests finished chips for other companies, with operations in the United States, Japan, Europe and the Asia-Pacific region. To handle the final packaging and testing steps for chipmakers, device makers and factories that do not do this work themselves.</t>
  </si>
  <si>
    <t xml:space="preserve">Worth noting on the close: MU finished at $820.53, +35.89%, recovering above where it traded intraday — the market did not fully buy the CXMT supply-glut story. The real damage on the book is older wounds, not Jul 28: AMKR −27.26%, ORCL −27.85%, TSLA −28.58%.</t>
  </si>
  <si>
    <t xml:space="preserve">ASML</t>
  </si>
  <si>
    <t xml:space="preserve">ASML Holding</t>
  </si>
  <si>
    <t xml:space="preserve">The only company that makes the EUV machines needed for the most advanced chips.</t>
  </si>
  <si>
    <t xml:space="preserve">1984</t>
  </si>
  <si>
    <t xml:space="preserve">Veldhoven, Netherlands</t>
  </si>
  <si>
    <t xml:space="preserve">44,175</t>
  </si>
  <si>
    <t xml:space="preserve">Sells, upgrades and services the machines that print circuit patterns onto chips, supporting chipmakers across Asia, Europe and North America. To provide the advanced printing, measuring and inspection machines that chipmakers need to produce semiconductors.</t>
  </si>
  <si>
    <t xml:space="preserve">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</si>
  <si>
    <t xml:space="preserve">KLAC</t>
  </si>
  <si>
    <t xml:space="preserve">KLA Corporation</t>
  </si>
  <si>
    <t xml:space="preserve">Inspection machines that find microscopic defects on chips during manufacturing.</t>
  </si>
  <si>
    <t xml:space="preserve">Milpitas, California, United States</t>
  </si>
  <si>
    <t xml:space="preserve">15,200</t>
  </si>
  <si>
    <t xml:space="preserve">Runs three business lines making inspection and measuring machines for chip and circuit-board plants, sold worldwide. Aims to help chip makers find and fix flaws early so more of what they build works properly.</t>
  </si>
  <si>
    <t xml:space="preserve">2026-07-31</t>
  </si>
  <si>
    <t xml:space="preserve">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</si>
  <si>
    <t xml:space="preserve">LRCX</t>
  </si>
  <si>
    <t xml:space="preserve">Lam Research</t>
  </si>
  <si>
    <t xml:space="preserve">Etching and deposition equipment, especially important for advanced memory chips.</t>
  </si>
  <si>
    <t xml:space="preserve">1980</t>
  </si>
  <si>
    <t xml:space="preserve">Fremont, California, United States</t>
  </si>
  <si>
    <t xml:space="preserve">17,200</t>
  </si>
  <si>
    <t xml:space="preserve">Builds, services and refurbishes chip-making machines, selling into the United States, China, Korea, Taiwan, Japan, Southeast Asia and Europe. Aims to supply the machines that lay down, carve and clean the layers used to build computer chips.</t>
  </si>
  <si>
    <t xml:space="preserve">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</si>
  <si>
    <t xml:space="preserve">MU</t>
  </si>
  <si>
    <t xml:space="preserve">Micron Technology</t>
  </si>
  <si>
    <t xml:space="preserve">Memory chips, including the high-speed HBM memory that feeds AI processors.</t>
  </si>
  <si>
    <t xml:space="preserve">1978</t>
  </si>
  <si>
    <t xml:space="preserve">Boise, Idaho, United States</t>
  </si>
  <si>
    <t xml:space="preserve">53,000</t>
  </si>
  <si>
    <t xml:space="preserve">Four business units making memory and storage chips, with sales in the US, Taiwan, Japan, mainland China, Hong Kong and Europe. Aims to make the memory and storage chips used in data centres, phones, cars and computers.</t>
  </si>
  <si>
    <t xml:space="preserve">Memory &amp; Storage</t>
  </si>
  <si>
    <t xml:space="preserve">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</si>
  <si>
    <t xml:space="preserve">SKHY</t>
  </si>
  <si>
    <t xml:space="preserve">SK hynix (NASDAQ ADR, listed Jul 10 '26)</t>
  </si>
  <si>
    <t xml:space="preserve">Korean memory maker — the leading supplier of HBM memory used by AI chips.</t>
  </si>
  <si>
    <t xml:space="preserve">1983</t>
  </si>
  <si>
    <t xml:space="preserve">Icheon-si, South Korea</t>
  </si>
  <si>
    <t xml:space="preserve">47,639</t>
  </si>
  <si>
    <t xml:space="preserve">Korean maker of memory and storage chips selling across Korea, China, the rest of Asia, the United States and Europe; also makes chips to order. Aims to supply memory and storage chips for servers, phones, computers and cars.</t>
  </si>
  <si>
    <t xml:space="preserve">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</si>
  <si>
    <t xml:space="preserve">SNDK</t>
  </si>
  <si>
    <t xml:space="preserve">SanDisk</t>
  </si>
  <si>
    <t xml:space="preserve">Flash memory and SSD storage, spun out of Western Digital.</t>
  </si>
  <si>
    <t xml:space="preserve">2024</t>
  </si>
  <si>
    <t xml:space="preserve">11,000</t>
  </si>
  <si>
    <t xml:space="preserve">Makes flash-memory drives and cards, selling in the US, Europe, the Middle East, Africa and Asia to computer makers, data centres and retailers. Aims to supply fast flash storage for computers, phones, cars and data centres.</t>
  </si>
  <si>
    <t xml:space="preserve">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</si>
  <si>
    <t xml:space="preserve">STX</t>
  </si>
  <si>
    <t xml:space="preserve">Seagate Technology</t>
  </si>
  <si>
    <t xml:space="preserve">Hard disk drives — the bulk storage that fills data centres.</t>
  </si>
  <si>
    <t xml:space="preserve">Singapore</t>
  </si>
  <si>
    <t xml:space="preserve">30,000</t>
  </si>
  <si>
    <t xml:space="preserve">Supplies storage drives and systems from Singapore, the United States and the Netherlands, selling to equipment makers, distributors and retailers. Aims to provide the drives and systems that store the world's growing pile of data.</t>
  </si>
  <si>
    <t xml:space="preserve">2026-07-29</t>
  </si>
  <si>
    <t xml:space="preserve">2026-08-01</t>
  </si>
  <si>
    <t xml:space="preserve">I caught this because when I pulled the full history tables for those names, the number stored on the board matched the Jul 29 row exactly, every single time. ARM 224.89, SNDK 1015.89, STX 764.43, DELL 369.64, and thirty-plus more.</t>
  </si>
  <si>
    <t xml:space="preserve">WDC</t>
  </si>
  <si>
    <t xml:space="preserve">Western Digital</t>
  </si>
  <si>
    <t xml:space="preserve">Hard drives and storage systems for data centres and consumers.</t>
  </si>
  <si>
    <t xml:space="preserve">1970</t>
  </si>
  <si>
    <t xml:space="preserve">San Jose, California, United States</t>
  </si>
  <si>
    <t xml:space="preserve">51,000</t>
  </si>
  <si>
    <t xml:space="preserve">Makes hard-disk drives and storage systems sold across the US, Asia, Europe, the Middle East and Africa through computer makers, dealers and retailers. Aims to supply large-capacity hard drives for homes, offices and data centres.</t>
  </si>
  <si>
    <t xml:space="preserve">When I corrected WDC's Jul 28 close yesterday I never rescaled its market cap. Same error I *had* caught on SKHY and missed here. SNDK had it too, just under the warning threshold. Both fixed by preserving implied share count — WDC 189.02 → 202.69, SNDK 235.37 → 230.94.</t>
  </si>
  <si>
    <t xml:space="preserve">AAOI</t>
  </si>
  <si>
    <t xml:space="preserve">Applied Optoelectronics</t>
  </si>
  <si>
    <t xml:space="preserve">Optical transceivers that carry data as light inside data centres.</t>
  </si>
  <si>
    <t xml:space="preserve">1997</t>
  </si>
  <si>
    <t xml:space="preserve">Sugar Land, Texas, United States</t>
  </si>
  <si>
    <t xml:space="preserve">4,691</t>
  </si>
  <si>
    <t xml:space="preserve">Designs and makes fibre-optic networking parts, with operations in the United States, Taiwan and China. Aims to supply the light-based parts that move data inside data centres and across cable and phone networks.</t>
  </si>
  <si>
    <t xml:space="preserve">Photonic &amp; Optic Fiber</t>
  </si>
  <si>
    <t xml:space="preserve">ALAB</t>
  </si>
  <si>
    <t xml:space="preserve">Astera Labs</t>
  </si>
  <si>
    <t xml:space="preserve">Connectivity chips that link AI processors together at very high speed.</t>
  </si>
  <si>
    <t xml:space="preserve">2017</t>
  </si>
  <si>
    <t xml:space="preserve">756</t>
  </si>
  <si>
    <t xml:space="preserve">Small chip designer operating in the United States and Taiwan, selling to very large data-centre operators and equipment makers. Aims to move data quickly between the parts inside cloud and artificial-intelligence computers.</t>
  </si>
  <si>
    <t xml:space="preserve">One last flag: APH and LITE sit in the same dashboard group. Adding aggressively to both concentrates dad further into the interconnect layer, which already includes ANET, CRDO and ALAB. That's a fine theme — it's just no longer a diversifying one.</t>
  </si>
  <si>
    <t xml:space="preserve">ANET</t>
  </si>
  <si>
    <t xml:space="preserve">Arista Networks</t>
  </si>
  <si>
    <t xml:space="preserve">High-speed network switches that connect the servers in AI data centres.</t>
  </si>
  <si>
    <t xml:space="preserve">Santa Clara, California, United States</t>
  </si>
  <si>
    <t xml:space="preserve">5,115</t>
  </si>
  <si>
    <t xml:space="preserve">Sells computer-network equipment and software across the Americas, Europe, the Middle East, Africa and Asia-Pacific, direct and through resellers. Aims to supply the networking gear that connects data centres, offices and cloud services.</t>
  </si>
  <si>
    <t xml:space="preserve">2026-07-24</t>
  </si>
  <si>
    <t xml:space="preserve">APH</t>
  </si>
  <si>
    <t xml:space="preserve">Amphenol</t>
  </si>
  <si>
    <t xml:space="preserve">Connectors and cables — the physical plumbing of all electronics.</t>
  </si>
  <si>
    <t xml:space="preserve">1932</t>
  </si>
  <si>
    <t xml:space="preserve">Wallingford, Connecticut, United States</t>
  </si>
  <si>
    <t xml:space="preserve">170,000</t>
  </si>
  <si>
    <t xml:space="preserve">Three segments making electrical, electronic and fibre-optic connectors, cables and sensors in the United States, China and other countries. Aims to supply the connectors and cables that join electronic equipment in cars, planes, phones and data centres.</t>
  </si>
  <si>
    <t xml:space="preserve">2026-07-30</t>
  </si>
  <si>
    <t xml:space="preserve">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</si>
  <si>
    <t xml:space="preserve">AXTI</t>
  </si>
  <si>
    <t xml:space="preserve">AXT Inc</t>
  </si>
  <si>
    <t xml:space="preserve">Grows the crystal wafers (indium phosphide) that optical components are built on.</t>
  </si>
  <si>
    <t xml:space="preserve">1986</t>
  </si>
  <si>
    <t xml:space="preserve">1,541</t>
  </si>
  <si>
    <t xml:space="preserve">Makes the wafer discs chips are built on, selling directly in the US, China and Europe and via agents in Japan, Taiwan and Korea. Aims to supply specialty base materials used in lasers, sensors, wireless devices and solar cells.</t>
  </si>
  <si>
    <t xml:space="preserve">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</si>
  <si>
    <t xml:space="preserve">COHR</t>
  </si>
  <si>
    <t xml:space="preserve">Coherent</t>
  </si>
  <si>
    <t xml:space="preserve">Lasers and optical components for data centres and industrial use.</t>
  </si>
  <si>
    <t xml:space="preserve">1971</t>
  </si>
  <si>
    <t xml:space="preserve">Saxonburg, Pennsylvania, United States</t>
  </si>
  <si>
    <t xml:space="preserve">30,216</t>
  </si>
  <si>
    <t xml:space="preserve">Three segments - networking, materials and lasers - making optical parts and laser systems for industry, communications and electronics worldwide. Aims to supply the light-based parts and laser machines used in factories, data centres and research.</t>
  </si>
  <si>
    <t xml:space="preserve">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</si>
  <si>
    <t xml:space="preserve">CRDO</t>
  </si>
  <si>
    <t xml:space="preserve">Credo Technology</t>
  </si>
  <si>
    <t xml:space="preserve">High-speed cables and chips that move data inside AI server racks.</t>
  </si>
  <si>
    <t xml:space="preserve">2008</t>
  </si>
  <si>
    <t xml:space="preserve">Grand Cayman, Cayman Islands</t>
  </si>
  <si>
    <t xml:space="preserve">807</t>
  </si>
  <si>
    <t xml:space="preserve">Sells high-speed cables, optical modules and chips in the United States, Taiwan, mainland China and Hong Kong, and licenses its designs. Aims to move data quickly and reliably between machines in data centres.</t>
  </si>
  <si>
    <t xml:space="preserve">FN</t>
  </si>
  <si>
    <t xml:space="preserve">Fabrinet</t>
  </si>
  <si>
    <t xml:space="preserve">Contract manufacturer that builds optical modules for other companies.</t>
  </si>
  <si>
    <t xml:space="preserve">1999</t>
  </si>
  <si>
    <t xml:space="preserve">George Town, Cayman Islands</t>
  </si>
  <si>
    <t xml:space="preserve">16,457</t>
  </si>
  <si>
    <t xml:space="preserve">Contract manufacturer serving North America, Asia-Pacific and Europe, assembling optical and precision electronic products for other brands. Aims to build complex optical and electronic products for the companies that design them.</t>
  </si>
  <si>
    <t xml:space="preserve">GLW</t>
  </si>
  <si>
    <t xml:space="preserve">Corning</t>
  </si>
  <si>
    <t xml:space="preserve">Corning — optical fibre for networks and the tough glass on phone screens.</t>
  </si>
  <si>
    <t xml:space="preserve">1851</t>
  </si>
  <si>
    <t xml:space="preserve">Corning, New York, United States</t>
  </si>
  <si>
    <t xml:space="preserve">67,200</t>
  </si>
  <si>
    <t xml:space="preserve">Five businesses - optical cable, display glass, specialty materials, car parts and lab products - operating across the US, Asia and Europe. Aims to use its glass and ceramics know-how to serve communications, screens, cars and laboratories.</t>
  </si>
  <si>
    <t xml:space="preserve">$119.26,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</si>
  <si>
    <t xml:space="preserve">LITE</t>
  </si>
  <si>
    <t xml:space="preserve">Lumentum</t>
  </si>
  <si>
    <t xml:space="preserve">Lasers and optical modules; a key supplier for AI data-centre networking.</t>
  </si>
  <si>
    <t xml:space="preserve">2015</t>
  </si>
  <si>
    <t xml:space="preserve">10,562</t>
  </si>
  <si>
    <t xml:space="preserve">Two segments, cloud and networking parts plus industrial lasers, selling across the Americas, Asia-Pacific, Europe, the Middle East and Africa. Aims to supply the light-based parts and lasers used in data centres, networks and factories.</t>
  </si>
  <si>
    <t xml:space="preserve">LWLG</t>
  </si>
  <si>
    <t xml:space="preserve">Lightwave Logic</t>
  </si>
  <si>
    <t xml:space="preserve">Pre-revenue developer of polymer materials that could speed up optical chips.</t>
  </si>
  <si>
    <t xml:space="preserve">1991</t>
  </si>
  <si>
    <t xml:space="preserve">Englewood, Colorado, United States</t>
  </si>
  <si>
    <t xml:space="preserve">34</t>
  </si>
  <si>
    <t xml:space="preserve">Very small development-stage firm in Colorado selling special light-controlling materials to chip foundries and optical module makers. Aims to sell materials that let data move faster using light inside computer chips.</t>
  </si>
  <si>
    <t xml:space="preserve">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</si>
  <si>
    <t xml:space="preserve">POET</t>
  </si>
  <si>
    <t xml:space="preserve">POET Technologies</t>
  </si>
  <si>
    <t xml:space="preserve">Small developer of optical 'engines' that combine light and electronics on one chip.</t>
  </si>
  <si>
    <t xml:space="preserve">1972</t>
  </si>
  <si>
    <t xml:space="preserve">Toronto, Ontario, Canada</t>
  </si>
  <si>
    <t xml:space="preserve">80</t>
  </si>
  <si>
    <t xml:space="preserve">Small Toronto-based firm selling chip packaging and optical parts across the Americas, Europe and Asia, working with partner Lumilens. Aims to combine electronic and light-based parts on a single chip for data centres and networks.</t>
  </si>
  <si>
    <t xml:space="preserve">AXTI is live on the dashboard — 126th name, sitting in Photonic &amp; Optic Fiber alongside LITE, COHR, AAOI and POET. Watchlist only, no position and no budget. Pushed as `effe9e9`; refresh https://sakulratpradit.github.io/p4-trrsg5/ to see it.</t>
  </si>
  <si>
    <t xml:space="preserve">AMPX</t>
  </si>
  <si>
    <t xml:space="preserve">Amprius Technologies</t>
  </si>
  <si>
    <t xml:space="preserve">High-energy silicon-anode batteries for drones and aviation.</t>
  </si>
  <si>
    <t xml:space="preserve">97</t>
  </si>
  <si>
    <t xml:space="preserve">Develops and makes lithium-ion batteries at its base in Fremont, California, sold mainly to makers of drones and other unmanned aircraft. To supply batteries built for aviation uses, especially drones and high-flying unmanned craft that stay aloft for long periods.</t>
  </si>
  <si>
    <t xml:space="preserve">Energy</t>
  </si>
  <si>
    <t xml:space="preserve">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</si>
  <si>
    <t xml:space="preserve">ENPH</t>
  </si>
  <si>
    <t xml:space="preserve">Enphase Energy</t>
  </si>
  <si>
    <t xml:space="preserve">Solar microinverters and home battery systems for rooftop solar.</t>
  </si>
  <si>
    <t xml:space="preserve">2006</t>
  </si>
  <si>
    <t xml:space="preserve">2,872</t>
  </si>
  <si>
    <t xml:space="preserve">Designs and sells home solar equipment in the United States and abroad, including small power converters, home batteries, monitoring software and car chargers. To provide complete home energy systems built around rooftop solar, so households can make, store and manage their own electricity.</t>
  </si>
  <si>
    <t xml:space="preserve">2026-07-25</t>
  </si>
  <si>
    <t xml:space="preserve">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</si>
  <si>
    <t xml:space="preserve">EOSE</t>
  </si>
  <si>
    <t xml:space="preserve">Eos Energy Enterprises</t>
  </si>
  <si>
    <t xml:space="preserve">Zinc-based batteries designed for long-duration electricity grid storage.</t>
  </si>
  <si>
    <t xml:space="preserve">Edison, New Jersey, United States</t>
  </si>
  <si>
    <t xml:space="preserve">787</t>
  </si>
  <si>
    <t xml:space="preserve">Makes large battery storage systems in the United States for power utilities, small local grids, and business and industrial customers. To supply electricity storage that helps power grids handle growing complexity and swings in the price of power.</t>
  </si>
  <si>
    <t xml:space="preserve">Palantir's revenue *is* other enterprises applying AI internally. Q1 2026: revenue $1.633 billion, +85%. US commercial +133%. Net revenue retention 150%+ — existing customers spend half again as much each year without Palantir adding a single new logo.</t>
  </si>
  <si>
    <t xml:space="preserve">FSLR</t>
  </si>
  <si>
    <t xml:space="preserve">First Solar</t>
  </si>
  <si>
    <t xml:space="preserve">The largest US solar-panel maker, and a winner from tariffs on foreign solar.</t>
  </si>
  <si>
    <t xml:space="preserve">Phoenix, Arizona, United States</t>
  </si>
  <si>
    <t xml:space="preserve">7,900</t>
  </si>
  <si>
    <t xml:space="preserve">Manufactures and sells solar panels and solar power solutions in the United States, France, India, Chile and other countries. To supply solar panels made with its own thin-film technology, rather than the usual silicon, to utilities and large power projects.</t>
  </si>
  <si>
    <t xml:space="preserve">2026-08-08</t>
  </si>
  <si>
    <t xml:space="preserve">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t>
  </si>
  <si>
    <t xml:space="preserve">TE</t>
  </si>
  <si>
    <t xml:space="preserve">T1 Energy</t>
  </si>
  <si>
    <t xml:space="preserve">Solar manufacturing company (formerly Freyr) building US solar capacity.</t>
  </si>
  <si>
    <t xml:space="preserve">Austin, Texas, United States</t>
  </si>
  <si>
    <t xml:space="preserve">562</t>
  </si>
  <si>
    <t xml:space="preserve">Makes and sells solar panels and cells, with a head office in Austin, Texas, a factory south of Dallas, and activity in Norway. To build an American-based supply chain for solar panels and cells; it was the battery firm FREYR until renaming itself in February 2025.</t>
  </si>
  <si>
    <t xml:space="preserve">TSLA</t>
  </si>
  <si>
    <t xml:space="preserve">Tesla</t>
  </si>
  <si>
    <t xml:space="preserve">Electric cars, plus a fast-growing battery-storage business and robotics ambitions.</t>
  </si>
  <si>
    <t xml:space="preserve">2003</t>
  </si>
  <si>
    <t xml:space="preserve">134,785</t>
  </si>
  <si>
    <t xml:space="preserve">Builds and sells electric cars plus energy generation and storage systems in the United States, China and other countries, across two business segments. To sell electric vehicles alongside solar and battery storage products, with related services such as financing, servicing and insurance.</t>
  </si>
  <si>
    <t xml:space="preserve">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</si>
  <si>
    <t xml:space="preserve">CGNX</t>
  </si>
  <si>
    <t xml:space="preserve">Cognex</t>
  </si>
  <si>
    <t xml:space="preserve">Machine-vision systems that let factory robots and machines 'see'.</t>
  </si>
  <si>
    <t xml:space="preserve">1981</t>
  </si>
  <si>
    <t xml:space="preserve">Natick, Massachusetts, United States</t>
  </si>
  <si>
    <t xml:space="preserve">2,745</t>
  </si>
  <si>
    <t xml:space="preserve">Sells camera-and-software systems that inspect goods on factory and warehouse lines, serving the United States, Europe and Greater China. To automate factory and shipping work by letting machines see, identify, inspect and measure items such as phone parts and parcels.</t>
  </si>
  <si>
    <t xml:space="preserve">Robotic / Automation / EV</t>
  </si>
  <si>
    <t xml:space="preserve">Excellent — the real grouping. I've transcribed your note (INTL→INTC, CONX→CGNX, ONDAS→ONDS, and IBM moving to Quantum — nice touch). Before I flag the gaps, let me rebuild:</t>
  </si>
  <si>
    <t xml:space="preserve">ISRG</t>
  </si>
  <si>
    <t xml:space="preserve">Intuitive Surgical</t>
  </si>
  <si>
    <t xml:space="preserve">Maker of the da Vinci surgical robot used in hospitals worldwide.</t>
  </si>
  <si>
    <t xml:space="preserve">Sunnyvale, California, United States</t>
  </si>
  <si>
    <t xml:space="preserve">17,021</t>
  </si>
  <si>
    <t xml:space="preserve">Makes robotic surgery systems and instruments, sold with training and support to hospitals in the United States and internationally. To widen access to surgery done through very small cuts, which is gentler on patients than traditional open operations.</t>
  </si>
  <si>
    <t xml:space="preserve">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</si>
  <si>
    <t xml:space="preserve">OUST</t>
  </si>
  <si>
    <t xml:space="preserve">Ouster</t>
  </si>
  <si>
    <t xml:space="preserve">Lidar sensors — the 'eyes' for robots and self-driving vehicles.</t>
  </si>
  <si>
    <t xml:space="preserve">San Francisco, California, United States</t>
  </si>
  <si>
    <t xml:space="preserve">320</t>
  </si>
  <si>
    <t xml:space="preserve">Makes laser-based distance sensors sold to car, industrial, robotics and infrastructure customers across the Americas, Asia, Europe, the Middle East and Africa. To supply sensors that let vehicles, robots and public infrastructure see and understand what is around them.</t>
  </si>
  <si>
    <t xml:space="preserve">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</si>
  <si>
    <t xml:space="preserve">ROK</t>
  </si>
  <si>
    <t xml:space="preserve">Rockwell Automation</t>
  </si>
  <si>
    <t xml:space="preserve">Factory automation equipment and industrial control software.</t>
  </si>
  <si>
    <t xml:space="preserve">1903</t>
  </si>
  <si>
    <t xml:space="preserve">Milwaukee, Wisconsin, United States</t>
  </si>
  <si>
    <t xml:space="preserve">26,000</t>
  </si>
  <si>
    <t xml:space="preserve">Supplies factory automation equipment, software and servicing across North America, Europe, the Middle East, Africa, Asia Pacific and Latin America. To help manufacturers in industries such as cars, food and energy run their plants automatically and with modern digital tools.</t>
  </si>
  <si>
    <t xml:space="preserve">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</si>
  <si>
    <t xml:space="preserve">TER</t>
  </si>
  <si>
    <t xml:space="preserve">Teradyne</t>
  </si>
  <si>
    <t xml:space="preserve">Machines that test finished chips, plus industrial and collaborative robots.</t>
  </si>
  <si>
    <t xml:space="preserve">1960</t>
  </si>
  <si>
    <t xml:space="preserve">North Reading, Massachusetts, United States</t>
  </si>
  <si>
    <t xml:space="preserve">6,600</t>
  </si>
  <si>
    <t xml:space="preserve">Designs and sells machines that test computer chips, and also makes robots, operating in the United States, Asia Pacific, Europe, the Middle East and Africa. To supply the testing equipment that checks chips work properly, plus robots that work alongside people in factories.</t>
  </si>
  <si>
    <t xml:space="preserve">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</si>
  <si>
    <t xml:space="preserve">ASTS</t>
  </si>
  <si>
    <t xml:space="preserve">AST SpaceMobile</t>
  </si>
  <si>
    <t xml:space="preserve">Building satellites that connect directly to ordinary mobile phones from space.</t>
  </si>
  <si>
    <t xml:space="preserve">2019</t>
  </si>
  <si>
    <t xml:space="preserve">Midland, Texas, United States</t>
  </si>
  <si>
    <t xml:space="preserve">1,126</t>
  </si>
  <si>
    <t xml:space="preserve">Designs and develops its BlueBird satellites from a base in Midland, Texas, to carry a mobile phone network in space. To run a mobile network from satellites so ordinary smartphones get service in places with no coverage on the ground.</t>
  </si>
  <si>
    <t xml:space="preserve">Space</t>
  </si>
  <si>
    <t xml:space="preserve">ASTS — the quote page served me a snapshot from July 13, eighteen days old, with no warning that it was old. The history table was current, so I used that (59.02). This is the one name in all 60 that rests on a single source. Everything else has at least two.</t>
  </si>
  <si>
    <t xml:space="preserve">LUNR</t>
  </si>
  <si>
    <t xml:space="preserve">Intuitive Machines</t>
  </si>
  <si>
    <t xml:space="preserve">Builds Moon landers plus satellites and space services for NASA and defence customers.</t>
  </si>
  <si>
    <t xml:space="preserve">2013</t>
  </si>
  <si>
    <t xml:space="preserve">Houston, Texas, United States</t>
  </si>
  <si>
    <t xml:space="preserve">525</t>
  </si>
  <si>
    <t xml:space="preserve">Builds Moon landers and provides delivery, data and support services from Houston, Texas, for NASA, defence bodies and commercial customers. To carry cargo and equipment to the Moon and supply the communications and support services a working lunar economy would need.</t>
  </si>
  <si>
    <t xml:space="preserve">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</si>
  <si>
    <t xml:space="preserve">PL</t>
  </si>
  <si>
    <t xml:space="preserve">Planet Labs</t>
  </si>
  <si>
    <t xml:space="preserve">Operates satellites that photograph the whole Earth daily and sells the imagery.</t>
  </si>
  <si>
    <t xml:space="preserve">2010</t>
  </si>
  <si>
    <t xml:space="preserve">1,000</t>
  </si>
  <si>
    <t xml:space="preserve">Designs, builds and launches its own fleets of satellites, then sells frequent pictures of the Earth through an online service worldwide. To photograph the Earth often and sell that imagery to farming, mapping, energy, forestry, finance and government customers.</t>
  </si>
  <si>
    <t xml:space="preserve">| PL $22.83 | Planet Labs | Beat and raised, but wild — down 26% in a single day in June, up 15.6% in another. Roughly 9% of its shares are sold short. |</t>
  </si>
  <si>
    <t xml:space="preserve">RKLB</t>
  </si>
  <si>
    <t xml:space="preserve">Rocket Lab</t>
  </si>
  <si>
    <t xml:space="preserve">Small rockets and satellites — a leading commercial space launch company.</t>
  </si>
  <si>
    <t xml:space="preserve">Long Beach, California, United States</t>
  </si>
  <si>
    <t xml:space="preserve">2,600</t>
  </si>
  <si>
    <t xml:space="preserve">Provides rocket launches and builds spacecraft, serving customers in the United States, Canada, Japan and elsewhere through two business segments. To launch small and medium rockets and supply satellites and parts for commercial and government space missions.</t>
  </si>
  <si>
    <t xml:space="preserve">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</si>
  <si>
    <t xml:space="preserve">SIDU</t>
  </si>
  <si>
    <t xml:space="preserve">Sidus Space</t>
  </si>
  <si>
    <t xml:space="preserve">Very small company that 3D-prints compact satellites; still early stage.</t>
  </si>
  <si>
    <t xml:space="preserve">2012</t>
  </si>
  <si>
    <t xml:space="preserve">Merritt Island, Florida, United States</t>
  </si>
  <si>
    <t xml:space="preserve">99</t>
  </si>
  <si>
    <t xml:space="preserve">Designs, builds and flies small satellites from its own plant in Merritt Island, Florida, which handles machining, 3D printing, assembly and testing. To build and operate its own satellites and sell the data they gather to commercial, aerospace, government and defence customers.</t>
  </si>
  <si>
    <t xml:space="preserve">SPCX</t>
  </si>
  <si>
    <t xml:space="preserve">SpaceX</t>
  </si>
  <si>
    <t xml:space="preserve">SpaceX — rockets, Starship, and the Starlink satellite internet network.</t>
  </si>
  <si>
    <t xml:space="preserve">2002</t>
  </si>
  <si>
    <t xml:space="preserve">Starbase, Texas, United States</t>
  </si>
  <si>
    <t xml:space="preserve">22,000</t>
  </si>
  <si>
    <t xml:space="preserve">Launches reusable rockets, runs the Starlink satellite internet network, and operates an artificial intelligence arm; serves the US, Ireland, Canada and beyond. To provide low-cost access to space with reusable rockets, deliver internet from satellites, and build artificial intelligence services.</t>
  </si>
  <si>
    <t xml:space="preserve">AVAV</t>
  </si>
  <si>
    <t xml:space="preserve">AeroVironment</t>
  </si>
  <si>
    <t xml:space="preserve">Military drones and loitering munitions for the US and allied forces.</t>
  </si>
  <si>
    <t xml:space="preserve">Arlington, Virginia, United States</t>
  </si>
  <si>
    <t xml:space="preserve">4,091</t>
  </si>
  <si>
    <t xml:space="preserve">Makes small pilotless aircraft, one-way strike drones, and space and cyber equipment for government agencies and businesses in the US and abroad. To supply robotic aircraft and related defence technology that give military users useful information and precise firepower.</t>
  </si>
  <si>
    <t xml:space="preserve">Drone &amp; Defense</t>
  </si>
  <si>
    <t xml:space="preserve">Clear split. Group 7 holds RKLB/ASTS/SPACEX (space) and PLTR/AVAV/ONDS/MDB (drone &amp; defense). I'll make Space and Drone &amp; Defense adjacent groups, plus add the cash card to the Portfolio page. Starting with the data reindex.</t>
  </si>
  <si>
    <t xml:space="preserve">AXON</t>
  </si>
  <si>
    <t xml:space="preserve">Axon Enterprise</t>
  </si>
  <si>
    <t xml:space="preserve">Tasers, police body cameras, drones and the evidence software behind them.</t>
  </si>
  <si>
    <t xml:space="preserve">Scottsdale, Arizona, United States</t>
  </si>
  <si>
    <t xml:space="preserve">5,100</t>
  </si>
  <si>
    <t xml:space="preserve">Sells public safety equipment and cloud software in the US and abroad, including TASER stun devices, body cameras and evidence-handling services. To equip police and other first responders with cameras, less-lethal devices and software for storing and sharing video evidence.</t>
  </si>
  <si>
    <t xml:space="preserve">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t>
  </si>
  <si>
    <t xml:space="preserve">LMT</t>
  </si>
  <si>
    <t xml:space="preserve">Lockheed Martin</t>
  </si>
  <si>
    <t xml:space="preserve">The world's largest defence contractor — F-35 fighter jets and missile defence.</t>
  </si>
  <si>
    <t xml:space="preserve">1912</t>
  </si>
  <si>
    <t xml:space="preserve">Bethesda, Maryland, United States</t>
  </si>
  <si>
    <t xml:space="preserve">123,000</t>
  </si>
  <si>
    <t xml:space="preserve">Four divisions - combat and transport aircraft, missiles, helicopters and space systems - selling mainly to the US government and to allied governments abroad. To research, design and build advanced defence and space technology for the United States government and its allies.</t>
  </si>
  <si>
    <t xml:space="preserve">NOC</t>
  </si>
  <si>
    <t xml:space="preserve">Northrop Grumman</t>
  </si>
  <si>
    <t xml:space="preserve">Builds the B-21 stealth bomber, nuclear missiles and space systems.</t>
  </si>
  <si>
    <t xml:space="preserve">1939</t>
  </si>
  <si>
    <t xml:space="preserve">Falls Church, Virginia, United States</t>
  </si>
  <si>
    <t xml:space="preserve">95,000</t>
  </si>
  <si>
    <t xml:space="preserve">Four segments - aircraft, defence, mission and space systems - with work in the United States, Asia-Pacific, Europe and other countries. To supply aircraft, nuclear deterrent systems, satellites and military command and communication systems to defence customers.</t>
  </si>
  <si>
    <t xml:space="preserve">ONDS</t>
  </si>
  <si>
    <t xml:space="preserve">Ondas Holdings</t>
  </si>
  <si>
    <t xml:space="preserve">Defence and security drones and counter-drone systems, plus private wireless networks.</t>
  </si>
  <si>
    <t xml:space="preserve">2014</t>
  </si>
  <si>
    <t xml:space="preserve">West Palm Beach, Florida, United States</t>
  </si>
  <si>
    <t xml:space="preserve">495</t>
  </si>
  <si>
    <t xml:space="preserve">Two arms, private wireless networks and drones, sold in the US and abroad to railways, utilities, oil and gas firms, public safety bodies and government. To provide secure private wireless communications and self-flying drones that gather data and defend against hostile drones.</t>
  </si>
  <si>
    <t xml:space="preserve">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</si>
  <si>
    <t xml:space="preserve">PLTR</t>
  </si>
  <si>
    <t xml:space="preserve">Palantir</t>
  </si>
  <si>
    <t xml:space="preserve">Software that helps governments and companies make sense of huge amounts of data.</t>
  </si>
  <si>
    <t xml:space="preserve">Aventura, Florida, United States</t>
  </si>
  <si>
    <t xml:space="preserve">4,429</t>
  </si>
  <si>
    <t xml:space="preserve">Sells software platforms in the United States, the United Kingdom and internationally, serving intelligence and defence agencies as well as businesses. To build software that helps governments and companies make sense of large amounts of data, including through artificial intelligence.</t>
  </si>
  <si>
    <t xml:space="preserve">RCAT</t>
  </si>
  <si>
    <t xml:space="preserve">Red Cat Holdings</t>
  </si>
  <si>
    <t xml:space="preserve">Small military drones; its Black Widow won a US Army reconnaissance programme.</t>
  </si>
  <si>
    <t xml:space="preserve">South Salt Lake, Utah, United States</t>
  </si>
  <si>
    <t xml:space="preserve">244</t>
  </si>
  <si>
    <t xml:space="preserve">Designs and makes small drones and uncrewed boats in the United States for defence, national security and commercial users such as police and inspectors. To supply small unmanned aircraft and robotic systems used for reconnaissance, surveillance and defence missions.</t>
  </si>
  <si>
    <t xml:space="preserve">RTX</t>
  </si>
  <si>
    <t xml:space="preserve">RTX Corp</t>
  </si>
  <si>
    <t xml:space="preserve">Patriot and AIM-9X missiles, jet engines, and aerospace components.</t>
  </si>
  <si>
    <t xml:space="preserve">1934</t>
  </si>
  <si>
    <t xml:space="preserve">180,000</t>
  </si>
  <si>
    <t xml:space="preserve">Three segments - Collins Aerospace, Pratt &amp; Whitney aircraft engines and Raytheon - serving commercial, military and government customers worldwide. To provide aerospace and defence systems and services to commercial, military and government customers around the world.</t>
  </si>
  <si>
    <t xml:space="preserve">IBM</t>
  </si>
  <si>
    <t xml:space="preserve">Enterprise software and consulting, plus one of the leading quantum computing programmes.</t>
  </si>
  <si>
    <t xml:space="preserve">1911</t>
  </si>
  <si>
    <t xml:space="preserve">Armonk, New York, United States</t>
  </si>
  <si>
    <t xml:space="preserve">264,300</t>
  </si>
  <si>
    <t xml:space="preserve">Four segments - software, consulting, computing equipment and customer financing - with customers across the Americas, Europe, Africa, the Middle East and Asia. To provide combined computing products and services, centred on cloud computing and artificial intelligence, to large organisations.</t>
  </si>
  <si>
    <t xml:space="preserve">Quantum</t>
  </si>
  <si>
    <t xml:space="preserve">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</si>
  <si>
    <t xml:space="preserve">IONQ</t>
  </si>
  <si>
    <t xml:space="preserve">IonQ</t>
  </si>
  <si>
    <t xml:space="preserve">Builds quantum computers using trapped ions; still early-stage and loss-making.</t>
  </si>
  <si>
    <t xml:space="preserve">College Park, Maryland, United States</t>
  </si>
  <si>
    <t xml:space="preserve">1,132</t>
  </si>
  <si>
    <t xml:space="preserve">Builds quantum computers in the United States and Switzerland and sells access to them directly and through the Amazon, Microsoft and Google cloud services. To develop quantum computers, plus quantum-based secure communications and detection systems, and sell access to and support for them.</t>
  </si>
  <si>
    <t xml:space="preserve">ADBE</t>
  </si>
  <si>
    <t xml:space="preserve">Adobe</t>
  </si>
  <si>
    <t xml:space="preserve">Photoshop and the creative software suite, now adding AI design tools.</t>
  </si>
  <si>
    <t xml:space="preserve">1982</t>
  </si>
  <si>
    <t xml:space="preserve">31,360</t>
  </si>
  <si>
    <t xml:space="preserve">Operates worldwide, selling content creation tools to individuals, teams and large companies, plus marketing, publishing and advertising services for brands. To give individuals, teams and businesses the tools to create, publish and promote content.</t>
  </si>
  <si>
    <t xml:space="preserve">SaaS</t>
  </si>
  <si>
    <t xml:space="preserve">2026-07-28</t>
  </si>
  <si>
    <t xml:space="preserve">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</si>
  <si>
    <t xml:space="preserve">APP</t>
  </si>
  <si>
    <t xml:space="preserve">AppLovin</t>
  </si>
  <si>
    <t xml:space="preserve">Advertising software that helps mobile apps and games find new users.</t>
  </si>
  <si>
    <t xml:space="preserve">Palo Alto, California, United States</t>
  </si>
  <si>
    <t xml:space="preserve">898</t>
  </si>
  <si>
    <t xml:space="preserve">Two segments, advertising and apps, serving advertisers, mobile app publishers, small businesses and streaming TV companies in the US and abroad. To provide advertising tools driven by artificial intelligence that help businesses find and reach customers.</t>
  </si>
  <si>
    <t xml:space="preserve">⚠️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</si>
  <si>
    <t xml:space="preserve">CDNS</t>
  </si>
  <si>
    <t xml:space="preserve">Cadence Design Systems</t>
  </si>
  <si>
    <t xml:space="preserve">The software that engineers use to design computer chips.</t>
  </si>
  <si>
    <t xml:space="preserve">1988</t>
  </si>
  <si>
    <t xml:space="preserve">13,800</t>
  </si>
  <si>
    <t xml:space="preserve">Sells software, testing hardware and ready-made circuit designs to electronics and chip makers, and works in partnership with NVIDIA. To provide the software, hardware and design building blocks that engineers use to design computer chips and electronic systems.</t>
  </si>
  <si>
    <t xml:space="preserve">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</si>
  <si>
    <t xml:space="preserve">CRM</t>
  </si>
  <si>
    <t xml:space="preserve">Salesforce</t>
  </si>
  <si>
    <t xml:space="preserve">Salesforce — the customer-management software used by sales teams worldwide.</t>
  </si>
  <si>
    <t xml:space="preserve">83,334</t>
  </si>
  <si>
    <t xml:space="preserve">Sells customer-management software in the United States, Europe and Asia-Pacific to banks, hospitals, manufacturers, carmakers and government bodies. To connect companies with their customers through software, increasingly using automated assistants that work alongside staff.</t>
  </si>
  <si>
    <t xml:space="preserve">Nothing on either list reports earnings between today and Aug 20. The nearest is Salesforce on Aug 26 (company-confirmed). Twenty days out — far enough that you're not gambling on an earnings print, but close enough that you should know it's coming.</t>
  </si>
  <si>
    <t xml:space="preserve">DDOG</t>
  </si>
  <si>
    <t xml:space="preserve">Datadog</t>
  </si>
  <si>
    <t xml:space="preserve">Monitoring software that tells companies the moment their systems break.</t>
  </si>
  <si>
    <t xml:space="preserve">New York, New York, United States</t>
  </si>
  <si>
    <t xml:space="preserve">8,100</t>
  </si>
  <si>
    <t xml:space="preserve">Runs an internet-based service that watches over customers' software and computer systems, sold in the United States and internationally. To let organisations see how their software and computer systems are performing and keep them secure.</t>
  </si>
  <si>
    <t xml:space="preserve">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</si>
  <si>
    <t xml:space="preserve">MDB</t>
  </si>
  <si>
    <t xml:space="preserve">MongoDB</t>
  </si>
  <si>
    <t xml:space="preserve">MongoDB — a widely used database for modern applications.</t>
  </si>
  <si>
    <t xml:space="preserve">2007</t>
  </si>
  <si>
    <t xml:space="preserve">5,636</t>
  </si>
  <si>
    <t xml:space="preserve">Sells its database worldwide as a hosted online service, as software companies run themselves, and as a free version, plus consulting and training. To provide a general-purpose database that software developers use to store and organise information.</t>
  </si>
  <si>
    <t xml:space="preserve">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</si>
  <si>
    <t xml:space="preserve">NOW</t>
  </si>
  <si>
    <t xml:space="preserve">ServiceNow</t>
  </si>
  <si>
    <t xml:space="preserve">ServiceNow — workflow software that automates company IT and HR tasks.</t>
  </si>
  <si>
    <t xml:space="preserve">29,187</t>
  </si>
  <si>
    <t xml:space="preserve">Sells through resellers and partners in North America, Brazil, Europe, Africa, the Middle East and Asia-Pacific to government, banks, hospitals and manufacturers. To provide internet-based software that organises and automates the everyday work flowing between a company's departments.</t>
  </si>
  <si>
    <t xml:space="preserve">ORCL</t>
  </si>
  <si>
    <t xml:space="preserve">Oracle</t>
  </si>
  <si>
    <t xml:space="preserve">Databases and business software, and now a large AI cloud provider.</t>
  </si>
  <si>
    <t xml:space="preserve">141,000</t>
  </si>
  <si>
    <t xml:space="preserve">Sells worldwide, directly and through partners, to businesses, government agencies and schools, supplying computing equipment alongside its software. To supply the databases, business software and rented computing power that organisations use to run their operations.</t>
  </si>
  <si>
    <t xml:space="preserve">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</si>
  <si>
    <t xml:space="preserve">SNOW</t>
  </si>
  <si>
    <t xml:space="preserve">Snowflake</t>
  </si>
  <si>
    <t xml:space="preserve">Cloud data warehouse where companies store and analyse all their data.</t>
  </si>
  <si>
    <t xml:space="preserve">Menlo Park, California, United States</t>
  </si>
  <si>
    <t xml:space="preserve">9,060</t>
  </si>
  <si>
    <t xml:space="preserve">Sells its internet-based data platform to organisations of many kinds in the United States and internationally. To let organisations gather all their data in one place to gain business insight, share it, and apply artificial intelligence to it.</t>
  </si>
  <si>
    <t xml:space="preserve">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</si>
  <si>
    <t xml:space="preserve">TEAM</t>
  </si>
  <si>
    <t xml:space="preserve">Atlassian</t>
  </si>
  <si>
    <t xml:space="preserve">Atlassian — Jira, Confluence and Trello, the tools teams use to track work.</t>
  </si>
  <si>
    <t xml:space="preserve">Sydney, Australia</t>
  </si>
  <si>
    <t xml:space="preserve">13,813</t>
  </si>
  <si>
    <t xml:space="preserve">Sells worldwide a family of teamwork tools, including Jira for tracking projects, Confluence for shared documents and Trello for to-do lists. To connect all the teams in an organisation through one shared system of work so they can get more done.</t>
  </si>
  <si>
    <t xml:space="preserve">VEEV</t>
  </si>
  <si>
    <t xml:space="preserve">Veeva Systems</t>
  </si>
  <si>
    <t xml:space="preserve">Cloud software built specifically for pharmaceutical and life-science companies.</t>
  </si>
  <si>
    <t xml:space="preserve">Pleasanton, California, United States</t>
  </si>
  <si>
    <t xml:space="preserve">7,928</t>
  </si>
  <si>
    <t xml:space="preserve">Serves drug and medical companies in North America, Europe, Asia-Pacific, the Middle East, Africa and Latin America, adding consulting and support services. To provide the online software and data that drug and medical firms use to run sales, clinical trials, quality checks and regulatory paperwork.</t>
  </si>
  <si>
    <t xml:space="preserve">ZETA</t>
  </si>
  <si>
    <t xml:space="preserve">Zeta Global</t>
  </si>
  <si>
    <t xml:space="preserve">Marketing software that uses data and AI to target customers.</t>
  </si>
  <si>
    <t xml:space="preserve">3,300</t>
  </si>
  <si>
    <t xml:space="preserve">Sells cloud-based marketing and customer-data software to large companies in the United States and other countries. Aims to help large companies find, grow and keep customers more cheaply and effectively than rival marketing tools.</t>
  </si>
  <si>
    <t xml:space="preserve">⚠️ One correction worth knowing: you may see headlines saying "Zeta missed on earnings per share." They're wrong. Data vendors compared an *adjusted* estimate against the company's *GAAP* actual — an apples-to-oranges comparison. Zeta never published an adjusted number. Ignore those headlines.</t>
  </si>
  <si>
    <t xml:space="preserve">KO</t>
  </si>
  <si>
    <t xml:space="preserve">Coca-Cola</t>
  </si>
  <si>
    <t xml:space="preserve">Coca-Cola — the world's largest soft-drink company.</t>
  </si>
  <si>
    <t xml:space="preserve">1886</t>
  </si>
  <si>
    <t xml:space="preserve">Atlanta, Georgia, United States</t>
  </si>
  <si>
    <t xml:space="preserve">65,900</t>
  </si>
  <si>
    <t xml:space="preserve">Makes drink concentrates and syrups sold worldwide through independent bottling partners, distributors and fountain retailers. Aims to make and sell a wide range of non-alcoholic drinks, from soft drinks to water, coffee, tea and juice, around the world.</t>
  </si>
  <si>
    <t xml:space="preserve">Consumer / F&amp;B</t>
  </si>
  <si>
    <t xml:space="preserve">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</si>
  <si>
    <t xml:space="preserve">MCD</t>
  </si>
  <si>
    <t xml:space="preserve">McDonald's</t>
  </si>
  <si>
    <t xml:space="preserve">McDonald's — the world's largest fast-food restaurant chain.</t>
  </si>
  <si>
    <t xml:space="preserve">1940</t>
  </si>
  <si>
    <t xml:space="preserve">Chicago, Illinois, United States</t>
  </si>
  <si>
    <t xml:space="preserve">150,000</t>
  </si>
  <si>
    <t xml:space="preserve">Owns, operates and franchises McDonald's restaurants in the United States and internationally, with most outlets run by franchisees. Aims to serve familiar fast food such as burgers, chicken, fries, breakfast and drinks through a largely franchised restaurant network.</t>
  </si>
  <si>
    <t xml:space="preserve">⚠️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</si>
  <si>
    <t xml:space="preserve">SBUX</t>
  </si>
  <si>
    <t xml:space="preserve">Starbucks</t>
  </si>
  <si>
    <t xml:space="preserve">Starbucks — the global coffee-shop chain.</t>
  </si>
  <si>
    <t xml:space="preserve">Seattle, Washington, United States</t>
  </si>
  <si>
    <t xml:space="preserve">381,000</t>
  </si>
  <si>
    <t xml:space="preserve">Roasts and sells coffee through its own and licensed stores internationally, and sells packaged coffee via grocery and food-service accounts. Aims to be a leading roaster, marketer and retailer of coffee worldwide, selling drinks, food and packaged coffee under brands such as Starbucks and Teavana.</t>
  </si>
  <si>
    <t xml:space="preserve">YUM</t>
  </si>
  <si>
    <t xml:space="preserve">Yum! Brands</t>
  </si>
  <si>
    <t xml:space="preserve">Owns KFC, Pizza Hut and Taco Bell.</t>
  </si>
  <si>
    <t xml:space="preserve">Louisville, Kentucky, United States</t>
  </si>
  <si>
    <t xml:space="preserve">49,000</t>
  </si>
  <si>
    <t xml:space="preserve">Runs and franchises fast-food restaurants in the United States, China and internationally through four divisions: KFC, Taco Bell, Pizza Hut and Habit Burger &amp; Grill. Aims to develop, operate and franchise quick-service restaurant brands around the world.</t>
  </si>
  <si>
    <t xml:space="preserve">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</si>
  <si>
    <t xml:space="preserve">CRSP</t>
  </si>
  <si>
    <t xml:space="preserve">CRISPR Therapeutics</t>
  </si>
  <si>
    <t xml:space="preserve">Gene-editing biotech; co-developed Casgevy, the first approved CRISPR medicine.</t>
  </si>
  <si>
    <t xml:space="preserve">Zug, Switzerland</t>
  </si>
  <si>
    <t xml:space="preserve">393</t>
  </si>
  <si>
    <t xml:space="preserve">A Swiss-based gene-editing research company whose approved product Casgevy treats inherited blood disorders; it works closely with Vertex Pharmaceuticals. Aims to develop gene-based medicines for serious illnesses, including blood disorders, cancer and type 1 diabetes.</t>
  </si>
  <si>
    <t xml:space="preserve">Healthcare</t>
  </si>
  <si>
    <t xml:space="preserve">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t>
  </si>
  <si>
    <t xml:space="preserve">HNGE</t>
  </si>
  <si>
    <t xml:space="preserve">Hinge Health</t>
  </si>
  <si>
    <t xml:space="preserve">Hinge Health — app-based physical therapy for back and joint pain.</t>
  </si>
  <si>
    <t xml:space="preserve">1,437</t>
  </si>
  <si>
    <t xml:space="preserve">Provides remote treatment for muscle, bone and joint problems, mainly to employers that pay their own staff health costs, using motion tracking and a wearable device. Aims to build a health system that automates and widens care for back, muscle and joint pain, from injury through to recovery after surgery.</t>
  </si>
  <si>
    <t xml:space="preserve">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</si>
  <si>
    <t xml:space="preserve">JNJ</t>
  </si>
  <si>
    <t xml:space="preserve">Johnson &amp; Johnson</t>
  </si>
  <si>
    <t xml:space="preserve">Johnson &amp; Johnson — prescription medicines and medical devices.</t>
  </si>
  <si>
    <t xml:space="preserve">New Brunswick, New Jersey, United States</t>
  </si>
  <si>
    <t xml:space="preserve">138,200</t>
  </si>
  <si>
    <t xml:space="preserve">Researches, makes and sells health products worldwide through two arms: prescription medicines, and medical devices for surgery, bones, the heart and eyes. Aims to research, develop and sell medicines and medical devices for conditions such as cancer, immune disease, and heart and eye problems.</t>
  </si>
  <si>
    <t xml:space="preserve">&gt;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</si>
  <si>
    <t xml:space="preserve">TEM</t>
  </si>
  <si>
    <t xml:space="preserve">Tempus AI</t>
  </si>
  <si>
    <t xml:space="preserve">Tempus AI — applies AI to medical and genetic data to guide cancer treatment.</t>
  </si>
  <si>
    <t xml:space="preserve">3,800</t>
  </si>
  <si>
    <t xml:space="preserve">Runs laboratories and a data service in the United States that test patients' genes for doctors, and works with drug makers such as AstraZeneca and Merck. Aims to link doctors directly to its own laboratory testing and large stores of patient data so treatment choices are better informed.</t>
  </si>
  <si>
    <t xml:space="preserve">TMDX</t>
  </si>
  <si>
    <t xml:space="preserve">TransMedics Group</t>
  </si>
  <si>
    <t xml:space="preserve">'Organ-in-a-box' machines that keep donor organs alive during transport.</t>
  </si>
  <si>
    <t xml:space="preserve">Andover, Massachusetts, United States</t>
  </si>
  <si>
    <t xml:space="preserve">Sells its Organ Care System, a portable machine that keeps donor organs alive outside the body, to transplant centres in the United States and abroad. Aims to transform organ transplant treatment for patients whose organs have failed.</t>
  </si>
  <si>
    <t xml:space="preserve">UNH</t>
  </si>
  <si>
    <t xml:space="preserve">UnitedHealth</t>
  </si>
  <si>
    <t xml:space="preserve">America's largest health insurer, plus a very large healthcare services arm.</t>
  </si>
  <si>
    <t xml:space="preserve">Eden Prairie, Minnesota, United States</t>
  </si>
  <si>
    <t xml:space="preserve">390,000</t>
  </si>
  <si>
    <t xml:space="preserve">Sells health insurance to employers, governments and individuals, and through its Optum arm provides medical care, pharmacy services and health software. Aims to run a health care company that both provides insurance cover and delivers the care, pharmacy and data services behind it.</t>
  </si>
  <si>
    <t xml:space="preserve">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</si>
  <si>
    <t xml:space="preserve">APLD</t>
  </si>
  <si>
    <t xml:space="preserve">Applied Digital</t>
  </si>
  <si>
    <t xml:space="preserve">Builds and rents out data centres designed for AI computing.</t>
  </si>
  <si>
    <t xml:space="preserve">2001</t>
  </si>
  <si>
    <t xml:space="preserve">Dallas, Texas, United States</t>
  </si>
  <si>
    <t xml:space="preserve">256</t>
  </si>
  <si>
    <t xml:space="preserve">Designs, builds and runs data centres in North America, hosting machines for crypto mining customers and renting computing power to artificial-intelligence developers. Aims to supply the buildings, electricity and computing capacity that artificial-intelligence and other heavy computing customers need.</t>
  </si>
  <si>
    <t xml:space="preserve">Neocloud Watch</t>
  </si>
  <si>
    <t xml:space="preserve">CIFR</t>
  </si>
  <si>
    <t xml:space="preserve">Cipher Mining</t>
  </si>
  <si>
    <t xml:space="preserve">Bitcoin miner converting its power sites into AI data-centre hosting.</t>
  </si>
  <si>
    <t xml:space="preserve">2021</t>
  </si>
  <si>
    <t xml:space="preserve">66</t>
  </si>
  <si>
    <t xml:space="preserve">Builds and runs large data centres in the United States: one site currently powers bitcoin mining, with further sites being developed for big cloud-computing tenants. Aims to develop industrial-scale data centres for bitcoin mining and for renting heavy computing capacity to large technology customers.</t>
  </si>
  <si>
    <t xml:space="preserve">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</si>
  <si>
    <t xml:space="preserve">CORZ</t>
  </si>
  <si>
    <t xml:space="preserve">Core Scientific</t>
  </si>
  <si>
    <t xml:space="preserve">Former bitcoin miner now hosting AI and high-performance computing.</t>
  </si>
  <si>
    <t xml:space="preserve">Dover, Delaware, United States</t>
  </si>
  <si>
    <t xml:space="preserve">325</t>
  </si>
  <si>
    <t xml:space="preserve">Runs data centres across the United States providing space, power, cooling and security to customers, and also operates its own machines that mine bitcoin. Aims to supply the physical setting and power for heavy computing work, including artificial intelligence, alongside its digital-asset mining.</t>
  </si>
  <si>
    <t xml:space="preserve">CRWV</t>
  </si>
  <si>
    <t xml:space="preserve">CoreWeave</t>
  </si>
  <si>
    <t xml:space="preserve">CoreWeave — rents Nvidia GPU computing power to AI companies.</t>
  </si>
  <si>
    <t xml:space="preserve">Livingston, New Jersey, United States</t>
  </si>
  <si>
    <t xml:space="preserve">2,189</t>
  </si>
  <si>
    <t xml:space="preserve">Rents computing power over the internet in the United States, supplying specialist chips, storage and networking used for artificial-intelligence work. Aims to run complex artificial-intelligence computing at large scale through its own cloud software and services.</t>
  </si>
  <si>
    <t xml:space="preserve">DELL</t>
  </si>
  <si>
    <t xml:space="preserve">Dell Technologies</t>
  </si>
  <si>
    <t xml:space="preserve">Servers and PCs; one of the largest suppliers of AI server systems.</t>
  </si>
  <si>
    <t xml:space="preserve">Round Rock, Texas, United States</t>
  </si>
  <si>
    <t xml:space="preserve">97,000</t>
  </si>
  <si>
    <t xml:space="preserve">Designs, makes and sells computers and data-centre equipment across the Americas, Europe, the Middle East and Asia, split between business infrastructure and personal computers. Aims to supply computing products, services and financing to businesses, governments, schools, hospitals and consumers worldwide.</t>
  </si>
  <si>
    <t xml:space="preserve">HPE</t>
  </si>
  <si>
    <t xml:space="preserve">Hewlett Packard Enterprise</t>
  </si>
  <si>
    <t xml:space="preserve">Enterprise servers, storage and networking equipment for data centres.</t>
  </si>
  <si>
    <t xml:space="preserve">Spring, Texas, United States</t>
  </si>
  <si>
    <t xml:space="preserve">67,000</t>
  </si>
  <si>
    <t xml:space="preserve">Makes servers, storage and networking equipment and sells cloud and financing services worldwide, organised into five divisions. Aims to provide businesses around the world with the computing, storage and network equipment and services they rely on.</t>
  </si>
  <si>
    <t xml:space="preserve">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</si>
  <si>
    <t xml:space="preserve">HUT</t>
  </si>
  <si>
    <t xml:space="preserve">Hut 8 Corp</t>
  </si>
  <si>
    <t xml:space="preserve">Owns power sites and data centres leased for AI; bitcoin mining held via a stake.</t>
  </si>
  <si>
    <t xml:space="preserve">2011</t>
  </si>
  <si>
    <t xml:space="preserve">Miami, Florida, United States</t>
  </si>
  <si>
    <t xml:space="preserve">248</t>
  </si>
  <si>
    <t xml:space="preserve">Operates power and data-centre sites across the United States and Canada, used for bitcoin mining, data-centre services and renting computing power. Aims to combine electricity supply, data centres and computing capacity to serve customers whose work uses very large amounts of power.</t>
  </si>
  <si>
    <t xml:space="preserve">IREN</t>
  </si>
  <si>
    <t xml:space="preserve">IREN (Iris Energy)</t>
  </si>
  <si>
    <t xml:space="preserve">Data-centre operator shifting from bitcoin mining to AI computing.</t>
  </si>
  <si>
    <t xml:space="preserve">2018</t>
  </si>
  <si>
    <t xml:space="preserve">Sydney, New South Wales, Australia</t>
  </si>
  <si>
    <t xml:space="preserve">257</t>
  </si>
  <si>
    <t xml:space="preserve">Owns and runs data centres, electrical infrastructure and computing hardware in Australia and Canada, and mines bitcoin. Aims to own the whole chain behind its business, from electricity supply and buildings to the computers themselves.</t>
  </si>
  <si>
    <t xml:space="preserve">KEEL</t>
  </si>
  <si>
    <t xml:space="preserve">Keel Infrastructure</t>
  </si>
  <si>
    <t xml:space="preserve">Former crypto miner pivoting to AI data centres; still deeply loss-making.</t>
  </si>
  <si>
    <t xml:space="preserve">170</t>
  </si>
  <si>
    <t xml:space="preserve">Owns and runs data centres in the United States and Canada that house computers, and also provides electrical contracting work in Quebec. To operate digital and energy sites in North America for heavy computing and artificial intelligence work.</t>
  </si>
  <si>
    <t xml:space="preserve">NBIS</t>
  </si>
  <si>
    <t xml:space="preserve">Nebius Group</t>
  </si>
  <si>
    <t xml:space="preserve">Nebius — European AI cloud provider spun out of Yandex.</t>
  </si>
  <si>
    <t xml:space="preserve">2000</t>
  </si>
  <si>
    <t xml:space="preserve">Schiphol, Netherlands</t>
  </si>
  <si>
    <t xml:space="preserve">1,543</t>
  </si>
  <si>
    <t xml:space="preserve">Builds and rents large banks of computers for artificial intelligence work in the US, UK and elsewhere; also owns a retraining school and a self-driving vehicle unit. To build the full stack of computing infrastructure that the world's artificial intelligence industry needs.</t>
  </si>
  <si>
    <t xml:space="preserve">NOK</t>
  </si>
  <si>
    <t xml:space="preserve">Nokia (ADR)</t>
  </si>
  <si>
    <t xml:space="preserve">Nokia — telecom network equipment, now also selling data-centre networking.</t>
  </si>
  <si>
    <t xml:space="preserve">1865</t>
  </si>
  <si>
    <t xml:space="preserve">Espoo, Finland</t>
  </si>
  <si>
    <t xml:space="preserve">78,005</t>
  </si>
  <si>
    <t xml:space="preserve">Supplies mobile, fixed-line and internet network equipment across the Americas, China, India, Asia Pacific, Europe, the Middle East and Africa through four business segments. To provide the mobile, fixed and cloud networks that carry communications, and to license its patents and brand.</t>
  </si>
  <si>
    <t xml:space="preserve">⚠️ NOK's 52-week range is $4.00 to $17.45 — that looked wrong to me for a company Nokia's size, so I refused to publish it until three independent sources agreed. They do. It's real: the stock ran to about $17 mid-year and has since roughly halved to $9.14. Whatever the story is there, it's a violent one, and worth understanding before you size anything.</t>
  </si>
  <si>
    <t xml:space="preserve">SMCI</t>
  </si>
  <si>
    <t xml:space="preserve">Super Micro Computer</t>
  </si>
  <si>
    <t xml:space="preserve">Builds the AI server racks that house Nvidia's chips.</t>
  </si>
  <si>
    <t xml:space="preserve">6,238</t>
  </si>
  <si>
    <t xml:space="preserve">Designs and sells computer servers and storage systems in the United States, Asia and Europe, including complete racks installed in data centres. To supply servers built on modular, open designs for data centre, cloud and artificial intelligence customers.</t>
  </si>
  <si>
    <t xml:space="preserve">STRL</t>
  </si>
  <si>
    <t xml:space="preserve">Sterling Infrastructure</t>
  </si>
  <si>
    <t xml:space="preserve">Does the site groundwork and utilities underneath data centres and chip plants.</t>
  </si>
  <si>
    <t xml:space="preserve">1955</t>
  </si>
  <si>
    <t xml:space="preserve">The Woodlands, Texas, United States</t>
  </si>
  <si>
    <t xml:space="preserve">6,200</t>
  </si>
  <si>
    <t xml:space="preserve">Prepares sites for data centres, warehouses and power plants, builds roads, bridges and airports, and pours house foundations across the southern and eastern United States. To provide site preparation, transport construction and building work in the United States through three business segments.</t>
  </si>
  <si>
    <t xml:space="preserve">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t>
  </si>
  <si>
    <t xml:space="preserve">HOOD</t>
  </si>
  <si>
    <t xml:space="preserve">Robinhood Markets</t>
  </si>
  <si>
    <t xml:space="preserve">Robinhood — the commission-free app for trading shares and crypto.</t>
  </si>
  <si>
    <t xml:space="preserve">2,900</t>
  </si>
  <si>
    <t xml:space="preserve">Runs an online investing service in the United States for shares and funds, and also offers credit cards, cash accounts and crypto wallets. To let ordinary people invest easily in shares and funds, with free learning material alongside.</t>
  </si>
  <si>
    <t xml:space="preserve">Digital Fintech</t>
  </si>
  <si>
    <t xml:space="preserve">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</si>
  <si>
    <t xml:space="preserve">LMND</t>
  </si>
  <si>
    <t xml:space="preserve">Lemonade</t>
  </si>
  <si>
    <t xml:space="preserve">Lemonade — app-based renters, home, car and pet insurance run largely by AI.</t>
  </si>
  <si>
    <t xml:space="preserve">1,282</t>
  </si>
  <si>
    <t xml:space="preserve">Sells home, renters, landlord, car, pet and life insurance in the United States, Europe and the United Kingdom, and acts as agent for other insurers. To provide simple cover for stolen or damaged property and for accidents the customer is responsible for.</t>
  </si>
  <si>
    <t xml:space="preserve">MA</t>
  </si>
  <si>
    <t xml:space="preserve">Mastercard</t>
  </si>
  <si>
    <t xml:space="preserve">Mastercard — operates one of the two big global card payment networks.</t>
  </si>
  <si>
    <t xml:space="preserve">1966</t>
  </si>
  <si>
    <t xml:space="preserve">Purchase, New York, United States</t>
  </si>
  <si>
    <t xml:space="preserve">39,800</t>
  </si>
  <si>
    <t xml:space="preserve">Processes card and account payments for banks, shops, businesses and governments in the United States and internationally. To provide payment processing and related products and services worldwide as a technology company.</t>
  </si>
  <si>
    <t xml:space="preserve">| Compounders | MA | Mastercard | 27 | +17% | 46% | 100% gross margin, ROE 232% — elite |</t>
  </si>
  <si>
    <t xml:space="preserve">NU</t>
  </si>
  <si>
    <t xml:space="preserve">Nu Holdings</t>
  </si>
  <si>
    <t xml:space="preserve">Nu Holdings — Latin America's largest digital-only bank.</t>
  </si>
  <si>
    <t xml:space="preserve">Sao Paulo, SP, Brazil</t>
  </si>
  <si>
    <t xml:space="preserve">10,027</t>
  </si>
  <si>
    <t xml:space="preserve">Runs a branchless digital bank serving customers in Brazil, Mexico, Colombia, the Cayman Islands and the United States. To offer everyday banking, cards, loans, savings and insurance entirely through a mobile phone app.</t>
  </si>
  <si>
    <t xml:space="preserve">PYPL</t>
  </si>
  <si>
    <t xml:space="preserve">PayPal</t>
  </si>
  <si>
    <t xml:space="preserve">PayPal — online payments and the Venmo app.</t>
  </si>
  <si>
    <t xml:space="preserve">23,800</t>
  </si>
  <si>
    <t xml:space="preserve">Runs an online payments network linking shops and shoppers worldwide, under names including PayPal, Venmo, Braintree, Xoom and Honey. To let people and businesses anywhere pay, send and receive money digitally.</t>
  </si>
  <si>
    <t xml:space="preserve">SOFI</t>
  </si>
  <si>
    <t xml:space="preserve">SoFi Technologies</t>
  </si>
  <si>
    <t xml:space="preserve">SoFi — a digital bank combining loans, investing and banking in one app.</t>
  </si>
  <si>
    <t xml:space="preserve">6,100</t>
  </si>
  <si>
    <t xml:space="preserve">A lender and online bank serving the United States, Latin America, Canada and Hong Kong, split into lending, banking technology, and financial services. To let its members borrow, save, spend, invest and protect their money in one place.</t>
  </si>
  <si>
    <t xml:space="preserve">Worth noting the perverse detail: 12 of the 23 whitelisted names (ADBE, COIN, HOOD, JNJ, KO, PYPL, SBUX, SHOP, SOFI, UBER, UNH, V) are watchlist-only — you own none of them. So nearly half your free entitlement is spent on names you don't hold, while $242K of what you do hold goes unpriced.</t>
  </si>
  <si>
    <t xml:space="preserve">V</t>
  </si>
  <si>
    <t xml:space="preserve">Visa</t>
  </si>
  <si>
    <t xml:space="preserve">Visa — the world's largest payment network, earning a small fee on card transactions.</t>
  </si>
  <si>
    <t xml:space="preserve">1958</t>
  </si>
  <si>
    <t xml:space="preserve">34,100</t>
  </si>
  <si>
    <t xml:space="preserve">Runs VisaNet, a network that approves and settles card payments in the United States and internationally for banks, shops and governments. To move money for consumers, sellers, banks and governments through its payment network and card brands.</t>
  </si>
  <si>
    <t xml:space="preserve">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</si>
  <si>
    <t xml:space="preserve">CRWD</t>
  </si>
  <si>
    <t xml:space="preserve">CrowdStrike</t>
  </si>
  <si>
    <t xml:space="preserve">CrowdStrike — cloud security that protects company laptops and servers.</t>
  </si>
  <si>
    <t xml:space="preserve">10,698</t>
  </si>
  <si>
    <t xml:space="preserve">Sells computer security by subscription over the internet in the United States and internationally, protecting company devices, cloud systems and data. To protect an organisation's devices, cloud systems, staff identities and data through one subscription platform.</t>
  </si>
  <si>
    <t xml:space="preserve">Cybersecurity</t>
  </si>
  <si>
    <t xml:space="preserve">FTNT</t>
  </si>
  <si>
    <t xml:space="preserve">Fortinet</t>
  </si>
  <si>
    <t xml:space="preserve">Fortinet — firewalls and network security hardware and software.</t>
  </si>
  <si>
    <t xml:space="preserve">15,109</t>
  </si>
  <si>
    <t xml:space="preserve">Sells computer security and networking products worldwide, including firewalls, its own security chips, and cloud-based protection services. To bring computer networking and security together into one connected system for customers worldwide.</t>
  </si>
  <si>
    <t xml:space="preserve">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</si>
  <si>
    <t xml:space="preserve">NET</t>
  </si>
  <si>
    <t xml:space="preserve">Cloudflare</t>
  </si>
  <si>
    <t xml:space="preserve">Cloudflare — speeds up and protects a large share of the world's websites.</t>
  </si>
  <si>
    <t xml:space="preserve">2009</t>
  </si>
  <si>
    <t xml:space="preserve">5,156</t>
  </si>
  <si>
    <t xml:space="preserve">Runs a worldwide network that protects and speeds up business websites, plus tools for software builders and free services for the public. To give businesses everywhere cloud-based security, faster websites, and building blocks for their own software.</t>
  </si>
  <si>
    <t xml:space="preserve">NET was a move, not an addition. Each stock can only sit in one group on the dashboard, so putting Cloudflare into SaaS took it out of Cybersecurity. Cybersecurity now has four names instead of five. If you'd rather it stayed in Cybersecurity, say the word and I'll put it back.</t>
  </si>
  <si>
    <t xml:space="preserve">PANW</t>
  </si>
  <si>
    <t xml:space="preserve">Palo Alto Networks</t>
  </si>
  <si>
    <t xml:space="preserve">Palo Alto Networks — the largest pure-play cybersecurity company.</t>
  </si>
  <si>
    <t xml:space="preserve">2005</t>
  </si>
  <si>
    <t xml:space="preserve">16,068</t>
  </si>
  <si>
    <t xml:space="preserve">Sells computer security products to companies, telecoms firms and governments across the Americas, Europe, the Middle East, Africa, Asia Pacific and Japan. To protect customers' networks, cloud systems, security teams and their new artificial intelligence systems.</t>
  </si>
  <si>
    <t xml:space="preserve">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</si>
  <si>
    <t xml:space="preserve">RBRK</t>
  </si>
  <si>
    <t xml:space="preserve">Rubrik</t>
  </si>
  <si>
    <t xml:space="preserve">Rubrik — data backup and fast recovery after ransomware attacks.</t>
  </si>
  <si>
    <t xml:space="preserve">3,797</t>
  </si>
  <si>
    <t xml:space="preserve">Sells data protection and backup services worldwide to customers in finance, retail, transport, energy, healthcare, education and the public sector. To keep customers' data safe and help them recover quickly after a cyber attack.</t>
  </si>
  <si>
    <t xml:space="preserve">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</si>
  <si>
    <t xml:space="preserve">ZS</t>
  </si>
  <si>
    <t xml:space="preserve">Zscaler</t>
  </si>
  <si>
    <t xml:space="preserve">Zscaler — cloud security that replaces traditional corporate firewalls.</t>
  </si>
  <si>
    <t xml:space="preserve">7,923</t>
  </si>
  <si>
    <t xml:space="preserve">Runs cloud-based security services worldwide that inspect the internet traffic between staff and the applications and files they use. To protect companies by checking every connection through the cloud rather than trusting anyone inside the network.</t>
  </si>
  <si>
    <t xml:space="preserve">BWXT</t>
  </si>
  <si>
    <t xml:space="preserve">BWX Technologies</t>
  </si>
  <si>
    <t xml:space="preserve">Builds the nuclear reactors that power US Navy submarines and carriers.</t>
  </si>
  <si>
    <t xml:space="preserve">1867</t>
  </si>
  <si>
    <t xml:space="preserve">Lynchburg, Virginia, United States</t>
  </si>
  <si>
    <t xml:space="preserve">10,400</t>
  </si>
  <si>
    <t xml:space="preserve">Makes nuclear components and fuel, including precision parts for naval reactors, plus medical radioisotopes, steam generators and engineering services. To supply nuclear parts, fuel and services to government and commercial customers and support power plants through their life.</t>
  </si>
  <si>
    <t xml:space="preserve">Nuclear Energy</t>
  </si>
  <si>
    <t xml:space="preserve">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</si>
  <si>
    <t xml:space="preserve">CCJ</t>
  </si>
  <si>
    <t xml:space="preserve">Cameco</t>
  </si>
  <si>
    <t xml:space="preserve">Cameco — one of the world's largest uranium miners.</t>
  </si>
  <si>
    <t xml:space="preserve">Saskatoon, Saskatchewan, Canada</t>
  </si>
  <si>
    <t xml:space="preserve">2,424</t>
  </si>
  <si>
    <t xml:space="preserve">Mines, mills and sells uranium and runs fuel refining and conversion, plus its Westinghouse arm which makes reactor equipment; sells in the Americas, Europe and Asia. To supply uranium and nuclear fuel services used to generate electricity around the world.</t>
  </si>
  <si>
    <t xml:space="preserve">&gt;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</si>
  <si>
    <t xml:space="preserve">CEG</t>
  </si>
  <si>
    <t xml:space="preserve">Constellation Energy</t>
  </si>
  <si>
    <t xml:space="preserve">America's largest nuclear power operator, selling electricity to data centres.</t>
  </si>
  <si>
    <t xml:space="preserve">Baltimore, Maryland, United States</t>
  </si>
  <si>
    <t xml:space="preserve">15,339</t>
  </si>
  <si>
    <t xml:space="preserve">Runs about 31,676 megawatts of nuclear, wind, solar, natural gas and hydro power plants across the Mid-Atlantic, Midwest, New York and Texas. To produce and sell electricity, natural gas and cleaner energy services to homes, businesses and public bodies in the United States.</t>
  </si>
  <si>
    <t xml:space="preserve">Three — two of your existing holdings report this week. Constellation (CEG) reports tomorrow, Aug 6, and Vistra (VST) reports Friday, Aug 7. You own both. Wait and see those before adding anything else to the power/energy side. CEG also declared a dividend of $0.4265 per share this morning.</t>
  </si>
  <si>
    <t xml:space="preserve">LEU</t>
  </si>
  <si>
    <t xml:space="preserve">Centrus Energy</t>
  </si>
  <si>
    <t xml:space="preserve">Centrus — the only US-owned uranium enricher, making HALEU fuel for new reactors.</t>
  </si>
  <si>
    <t xml:space="preserve">467</t>
  </si>
  <si>
    <t xml:space="preserve">Supplies enriched uranium and other nuclear fuel components, and sells technical and manufacturing services, to customers in the US, Japan, the Netherlands and elsewhere. To supply the fuel that nuclear power plants run on, along with related technical and manufacturing work.</t>
  </si>
  <si>
    <t xml:space="preserve">NNE</t>
  </si>
  <si>
    <t xml:space="preserve">Nano Nuclear Energy</t>
  </si>
  <si>
    <t xml:space="preserve">Early-stage developer of very small ('micro') nuclear reactors.</t>
  </si>
  <si>
    <t xml:space="preserve">2022</t>
  </si>
  <si>
    <t xml:space="preserve">36</t>
  </si>
  <si>
    <t xml:space="preserve">Early-stage firm designing four small reactors (KRONOS, LOKI, ZEUS, ODIN) and planning a uranium fuel processing plant plus fuel transport and consulting work. To build very small nuclear reactors for remote and specialised sites and to supply the fuel for them.</t>
  </si>
  <si>
    <t xml:space="preserve">One gap: NNE has no reliable 52-week low. It's printing fresh lows almost daily and I got six conflicting candidates (14.71 / 14.78 / 14.89 / 15.44 / 15.78 / 18.04). It renders "range n/a" with no band. Your call whether to leave it null or pin the lowest evidenced print with a flag.</t>
  </si>
  <si>
    <t xml:space="preserve">OKLO</t>
  </si>
  <si>
    <t xml:space="preserve">Oklo</t>
  </si>
  <si>
    <t xml:space="preserve">Developing small fast reactors to power data centres; earned its first revenue in 2026.</t>
  </si>
  <si>
    <t xml:space="preserve">215</t>
  </si>
  <si>
    <t xml:space="preserve">Developing small nuclear plants called Aurora Powerhouse, each making 15 to 75 megawatts, plus technology to turn used nuclear fuel back into usable fuel. To supply electricity at large scale to US customers from its own small nuclear power plants.</t>
  </si>
  <si>
    <t xml:space="preserve">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</si>
  <si>
    <t xml:space="preserve">SMR</t>
  </si>
  <si>
    <t xml:space="preserve">NuScale Power</t>
  </si>
  <si>
    <t xml:space="preserve">NuScale — designer of small modular nuclear reactors.</t>
  </si>
  <si>
    <t xml:space="preserve">Corvallis, Oregon, United States</t>
  </si>
  <si>
    <t xml:space="preserve">428</t>
  </si>
  <si>
    <t xml:space="preserve">Sells small modular reactor units of 77 megawatts each and the design, licensing, construction, training and maintenance support that plants using them need. To provide small modular nuclear reactor technology and the services required to license, build and run plants using it.</t>
  </si>
  <si>
    <t xml:space="preserve">⚠️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</si>
  <si>
    <t xml:space="preserve">UUUU</t>
  </si>
  <si>
    <t xml:space="preserve">Energy Fuels</t>
  </si>
  <si>
    <t xml:space="preserve">US uranium miner that also processes rare-earth elements at its Utah mill.</t>
  </si>
  <si>
    <t xml:space="preserve">Lakewood, Colorado, United States</t>
  </si>
  <si>
    <t xml:space="preserve">1,069</t>
  </si>
  <si>
    <t xml:space="preserve">Explores for and recovers uranium from mineral properties in the United States, and also produces vanadium, rare earth materials and heavy mineral sands such as zircon and ilmenite. To find, recover and sell uranium and other critical minerals from its US mineral properties.</t>
  </si>
  <si>
    <t xml:space="preserve">VST</t>
  </si>
  <si>
    <t xml:space="preserve">Vistra</t>
  </si>
  <si>
    <t xml:space="preserve">Vistra — Texas power producer with nuclear and gas plants serving AI demand.</t>
  </si>
  <si>
    <t xml:space="preserve">1882</t>
  </si>
  <si>
    <t xml:space="preserve">Irving, Texas, United States</t>
  </si>
  <si>
    <t xml:space="preserve">6,390</t>
  </si>
  <si>
    <t xml:space="preserve">Serves about 5 million electricity and gas customers and runs roughly 44,000 megawatts of gas, nuclear, coal, solar and battery generation across US states. To generate electricity and sell it, along with natural gas, directly to homes, businesses and industry across the United States.</t>
  </si>
  <si>
    <t xml:space="preserve">XE</t>
  </si>
  <si>
    <t xml:space="preserve">X-energy (IPO Apr 24 '26)</t>
  </si>
  <si>
    <t xml:space="preserve">X-energy — small modular reactor developer; listed on the market in April 2026.</t>
  </si>
  <si>
    <t xml:space="preserve">Rockville, Maryland, United States</t>
  </si>
  <si>
    <t xml:space="preserve">889</t>
  </si>
  <si>
    <t xml:space="preserve">Designs nuclear reactors and makes their fuel; its Xe-100 unit produces 80 megawatts of electricity or 200 megawatts of heat, and it manufactures TRISO-X reactor fuel. To design and supply nuclear reactors together with the special fuel they run on.</t>
  </si>
  <si>
    <t xml:space="preserve">ETN</t>
  </si>
  <si>
    <t xml:space="preserve">Eaton</t>
  </si>
  <si>
    <t xml:space="preserve">Eaton — electrical equipment that manages power in buildings and data centres.</t>
  </si>
  <si>
    <t xml:space="preserve">1916</t>
  </si>
  <si>
    <t xml:space="preserve">Dublin, Ireland</t>
  </si>
  <si>
    <t xml:space="preserve">Makes electrical, aerospace, vehicle and hydraulic equipment through five divisions, selling in the US, Canada, Latin America, Europe and the Asia Pacific. To manage electrical and mechanical power for industrial, commercial and transport customers worldwide.</t>
  </si>
  <si>
    <t xml:space="preserve">Power and Electrification</t>
  </si>
  <si>
    <t xml:space="preserve">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</si>
  <si>
    <t xml:space="preserve">GEV</t>
  </si>
  <si>
    <t xml:space="preserve">GE Vernova</t>
  </si>
  <si>
    <t xml:space="preserve">GE Vernova — gas and wind turbines plus electricity grid equipment.</t>
  </si>
  <si>
    <t xml:space="preserve">2023</t>
  </si>
  <si>
    <t xml:space="preserve">Cambridge, Massachusetts, United States</t>
  </si>
  <si>
    <t xml:space="preserve">78,000</t>
  </si>
  <si>
    <t xml:space="preserve">Three divisions: Power (gas, nuclear, hydro, steam), Wind (onshore and offshore turbines) and Electrification (grid gear, solar, storage), selling in the US, Europe, Asia and Africa. To supply the equipment and services that generate, move, convert and store electricity.</t>
  </si>
  <si>
    <t xml:space="preserve">HUBB</t>
  </si>
  <si>
    <t xml:space="preserve">Hubbell</t>
  </si>
  <si>
    <t xml:space="preserve">Hubbell — electrical grid components and utility hardware.</t>
  </si>
  <si>
    <t xml:space="preserve">1888</t>
  </si>
  <si>
    <t xml:space="preserve">Shelton, Connecticut, United States</t>
  </si>
  <si>
    <t xml:space="preserve">18,000</t>
  </si>
  <si>
    <t xml:space="preserve">Two divisions make power grid transmission and distribution components and communications gear, plus wiring devices, connectors and industrial controls, sold in the US and abroad. To make and sell the electrical parts that power grids, buildings and industry depend on.</t>
  </si>
  <si>
    <t xml:space="preserve">HYLN</t>
  </si>
  <si>
    <t xml:space="preserve">Hyliion Holdings</t>
  </si>
  <si>
    <t xml:space="preserve">Hyliion — KARNO fuel-flexible generators; barely any revenue yet.</t>
  </si>
  <si>
    <t xml:space="preserve">Cedar Park, Texas, United States</t>
  </si>
  <si>
    <t xml:space="preserve">113</t>
  </si>
  <si>
    <t xml:space="preserve">Small firm developing the KARNO power generator for fixed and mobile use, able to run on natural gas, propane, hydrogen or ammonia. To build an electricity generator that can run on many different fuels, for both stationary and mobile use.</t>
  </si>
  <si>
    <t xml:space="preserve">MPWR</t>
  </si>
  <si>
    <t xml:space="preserve">Monolithic Power</t>
  </si>
  <si>
    <t xml:space="preserve">Power-management chips that feed clean, steady voltage to AI processors.</t>
  </si>
  <si>
    <t xml:space="preserve">4,501</t>
  </si>
  <si>
    <t xml:space="preserve">Designs power-management chips used in data centre servers, cars, appliances and networks, sold through distributors in China, Taiwan, Korea, Europe, the US and Japan. To supply the semiconductor parts that convert and control electrical power inside electronic systems.</t>
  </si>
  <si>
    <t xml:space="preserve">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</si>
  <si>
    <t xml:space="preserve">NVT</t>
  </si>
  <si>
    <t xml:space="preserve">nVent Electric</t>
  </si>
  <si>
    <t xml:space="preserve">nVent — electrical enclosures and liquid cooling systems for data centres.</t>
  </si>
  <si>
    <t xml:space="preserve">London, United Kingdom</t>
  </si>
  <si>
    <t xml:space="preserve">12,000</t>
  </si>
  <si>
    <t xml:space="preserve">Makes enclosures, cooling, cable management and electrical connection products under brands such as HOFFMAN and ERICO for data centres, industry and infrastructure worldwide. To connect and protect electrical systems in demanding settings such as data centres and industrial sites.</t>
  </si>
  <si>
    <t xml:space="preserve">POWI</t>
  </si>
  <si>
    <t xml:space="preserve">Power Integrations</t>
  </si>
  <si>
    <t xml:space="preserve">Power Integrations — energy-efficient power-conversion chips.</t>
  </si>
  <si>
    <t xml:space="preserve">877</t>
  </si>
  <si>
    <t xml:space="preserve">Designs and makes high-voltage power conversion chips used in phones, appliances, TVs, LED lighting, electric vehicles, solar and wind systems and electric trains. To supply the chips that convert high-voltage electricity into the lower voltages equipment needs.</t>
  </si>
  <si>
    <t xml:space="preserve">POWL</t>
  </si>
  <si>
    <t xml:space="preserve">Powell Industries</t>
  </si>
  <si>
    <t xml:space="preserve">Powell — electrical switchgear for utilities, industry and data centres.</t>
  </si>
  <si>
    <t xml:space="preserve">1947</t>
  </si>
  <si>
    <t xml:space="preserve">3,143</t>
  </si>
  <si>
    <t xml:space="preserve">Builds custom electrical switchgear and control-room modules for refineries, liquefied natural gas plants, utilities, data centres and mining, in the US, Canada, Middle East and Asia. To design, build and service the heavy electrical equipment industrial plants use to control power.</t>
  </si>
  <si>
    <t xml:space="preserve">PWR</t>
  </si>
  <si>
    <t xml:space="preserve">Quanta Services</t>
  </si>
  <si>
    <t xml:space="preserve">Quanta Services — builds and maintains electricity transmission lines.</t>
  </si>
  <si>
    <t xml:space="preserve">69,500</t>
  </si>
  <si>
    <t xml:space="preserve">Two divisions build and service electric power lines and substations, and underground gas, oil and industrial infrastructure, for utilities and energy companies. To build and maintain the infrastructure that delivers electricity, gas and communications.</t>
  </si>
  <si>
    <t xml:space="preserve">AIRJ</t>
  </si>
  <si>
    <t xml:space="preserve">AirJoule Technologies</t>
  </si>
  <si>
    <t xml:space="preserve">Early-stage technology that pulls water from air to cool and dehumidify data centres.</t>
  </si>
  <si>
    <t xml:space="preserve">Ronan, Montana, United States</t>
  </si>
  <si>
    <t xml:space="preserve">16</t>
  </si>
  <si>
    <t xml:space="preserve">Very small firm with technology that pulls water out of the air, plus dehumidifying, cooling, heat pump and water-recovery systems, including for data centres. To capture drinking-quality water and useful energy from the moisture in ordinary air.</t>
  </si>
  <si>
    <t xml:space="preserve">Renewal Energy</t>
  </si>
  <si>
    <t xml:space="preserve">BE</t>
  </si>
  <si>
    <t xml:space="preserve">Bloom Energy</t>
  </si>
  <si>
    <t xml:space="preserve">Bloom Energy — fuel cells that generate on-site electricity for data centres.</t>
  </si>
  <si>
    <t xml:space="preserve">2,214</t>
  </si>
  <si>
    <t xml:space="preserve">Designs and builds fuel-cell units that turn natural gas, biogas or hydrogen into on-site electricity for data centres, utilities, hospitals, schools, shops and factories. To supply clean, reliable electricity generated right where it is used, without burning the fuel.</t>
  </si>
  <si>
    <t xml:space="preserve">FLNC</t>
  </si>
  <si>
    <t xml:space="preserve">Fluence Energy</t>
  </si>
  <si>
    <t xml:space="preserve">Fluence — large grid-scale battery storage systems.</t>
  </si>
  <si>
    <t xml:space="preserve">1,670</t>
  </si>
  <si>
    <t xml:space="preserve">Builds large battery storage systems and the software that runs them, selling to power producers, utilities, developers and businesses in many countries. To help electricity grids store power from wind and sun so it can be used when it is actually needed.</t>
  </si>
  <si>
    <t xml:space="preserve">APP, FLNC and MELI fell because their numbers got worse. When analysts update, they will cut their forecasts, and the stock has further to adjust downward.</t>
  </si>
  <si>
    <t xml:space="preserve">MYRG</t>
  </si>
  <si>
    <t xml:space="preserve">MYR Group</t>
  </si>
  <si>
    <t xml:space="preserve">MYR Group — builds power lines, substations and data-centre electrical systems.</t>
  </si>
  <si>
    <t xml:space="preserve">1891</t>
  </si>
  <si>
    <t xml:space="preserve">Thornton, Colorado, United States</t>
  </si>
  <si>
    <t xml:space="preserve">9,000</t>
  </si>
  <si>
    <t xml:space="preserve">About 9,000 workers build and repair power lines, substations and commercial wiring for utilities, contractors, building owners and governments in the US and Canada. To build and maintain the electrical systems that carry power to homes, businesses and vehicles.</t>
  </si>
  <si>
    <t xml:space="preserve">NEE</t>
  </si>
  <si>
    <t xml:space="preserve">NextEra Energy</t>
  </si>
  <si>
    <t xml:space="preserve">NextEra — the largest US utility and the world's biggest wind and solar operator.</t>
  </si>
  <si>
    <t xml:space="preserve">1925</t>
  </si>
  <si>
    <t xml:space="preserve">Juno Beach, Florida, United States</t>
  </si>
  <si>
    <t xml:space="preserve">17,300</t>
  </si>
  <si>
    <t xml:space="preserve">Runs power plants using wind, sun, nuclear and natural gas plus power lines, batteries and pipelines; its Florida utility serves about 12 million people. To generate, store and deliver electricity across North America, leaning heavily on wind, sun and nuclear power.</t>
  </si>
  <si>
    <t xml:space="preserve">NRG</t>
  </si>
  <si>
    <t xml:space="preserve">NRG Energy</t>
  </si>
  <si>
    <t xml:space="preserve">Texas power producer and retail electricity seller, with a large data-centre deal.</t>
  </si>
  <si>
    <t xml:space="preserve">16,702</t>
  </si>
  <si>
    <t xml:space="preserve">Sells electricity and home services to households and businesses in the US and Canada under names such as NRG, Reliant and Vivint, and owns power plants. To supply homes and businesses with electricity while helping them manage their energy use and protect their property.</t>
  </si>
  <si>
    <t xml:space="preserve">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t>
  </si>
  <si>
    <t xml:space="preserve">VRT</t>
  </si>
  <si>
    <t xml:space="preserve">Vertiv Holdings</t>
  </si>
  <si>
    <t xml:space="preserve">Vertiv — the power and cooling systems that keep data centres running.</t>
  </si>
  <si>
    <t xml:space="preserve">2016</t>
  </si>
  <si>
    <t xml:space="preserve">Westerville, Ohio, United States</t>
  </si>
  <si>
    <t xml:space="preserve">34,000</t>
  </si>
  <si>
    <t xml:space="preserve">About 34,000 staff in more than 40 countries make the power and cooling equipment that keeps data centres and telephone networks running, under brands such as Liebert. To keep the equipment behind data centres and networks powered, cooled and running without interruption.</t>
  </si>
  <si>
    <t xml:space="preserve">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</si>
  <si>
    <t xml:space="preserve">AFRM</t>
  </si>
  <si>
    <t xml:space="preserve">Affirm Holdings</t>
  </si>
  <si>
    <t xml:space="preserve">Affirm — buy-now-pay-later lending offered at online checkouts.</t>
  </si>
  <si>
    <t xml:space="preserve">2,206</t>
  </si>
  <si>
    <t xml:space="preserve">Runs a payment service that lets shoppers pay in instalments at small shops, large chains, online brands and travel sites, with funding from partner banks and investors. To let people spread the cost of a purchase over time through a payment network shared with the shops they buy from.</t>
  </si>
  <si>
    <t xml:space="preserve">Digital Applications</t>
  </si>
  <si>
    <t xml:space="preserve">&gt;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</si>
  <si>
    <t xml:space="preserve">BKNG</t>
  </si>
  <si>
    <t xml:space="preserve">Booking Holdings</t>
  </si>
  <si>
    <t xml:space="preserve">Booking.com, Priceline and Agoda — the world's biggest online travel agency.</t>
  </si>
  <si>
    <t xml:space="preserve">Norwalk, Connecticut, United States</t>
  </si>
  <si>
    <t xml:space="preserve">24,300</t>
  </si>
  <si>
    <t xml:space="preserve">Runs travel and restaurant booking websites including Booking.com, Priceline, Agoda, KAYAK and OpenTable, used by travellers and hotel owners worldwide. To help people book somewhere to stay, a way to get there and a table to eat at, all in one place online.</t>
  </si>
  <si>
    <t xml:space="preserve">MELI</t>
  </si>
  <si>
    <t xml:space="preserve">MercadoLibre</t>
  </si>
  <si>
    <t xml:space="preserve">MercadoLibre — Latin America's Amazon, plus a large payments business.</t>
  </si>
  <si>
    <t xml:space="preserve">Montevideo, Uruguay</t>
  </si>
  <si>
    <t xml:space="preserve">123,670</t>
  </si>
  <si>
    <t xml:space="preserve">Runs online shopping sites in Brazil, Mexico, Argentina and beyond, with its own payments, lending, shipping and advertising arms and about 123,670 staff. To make buying, selling, paying and borrowing online simple for people and small businesses across Latin America.</t>
  </si>
  <si>
    <t xml:space="preserve">On MELI: I'm parking it, not rejecting it. It generates cash more cheaply than anything else on your list and revenue is growing 50%. But it reported last night and the market hasn't finished digesting it. Worth revisiting in a week once the dust settles.</t>
  </si>
  <si>
    <t xml:space="preserve">NFLX</t>
  </si>
  <si>
    <t xml:space="preserve">Netflix</t>
  </si>
  <si>
    <t xml:space="preserve">Netflix — the world's largest video streaming service.</t>
  </si>
  <si>
    <t xml:space="preserve">Los Gatos, California, United States</t>
  </si>
  <si>
    <t xml:space="preserve">16,000</t>
  </si>
  <si>
    <t xml:space="preserve">Streams series, films, games and live programmes in many languages to paying subscribers who watch on televisions, phones and set-top boxes around the world. To be a worldwide entertainment service offering a wide range of programmes people can watch whenever they choose.</t>
  </si>
  <si>
    <t xml:space="preserve">SE</t>
  </si>
  <si>
    <t xml:space="preserve">Sea Limited</t>
  </si>
  <si>
    <t xml:space="preserve">Sea Limited — Shopee shopping, Garena games and Monee payments across South-East Asia.</t>
  </si>
  <si>
    <t xml:space="preserve">102,700</t>
  </si>
  <si>
    <t xml:space="preserve">Runs the Shopee shopping marketplace, the Garena games business and Monee financial services across Southeast Asia and Latin America, with about 102,700 staff. To bring shopping, games and financial services to people across Southeast Asia and other regions through one technology company.</t>
  </si>
  <si>
    <t xml:space="preserve">SHOP</t>
  </si>
  <si>
    <t xml:space="preserve">Shopify</t>
  </si>
  <si>
    <t xml:space="preserve">Shopify — the software that lets anyone set up and run an online store.</t>
  </si>
  <si>
    <t xml:space="preserve">Ottawa, Ontario, Canada</t>
  </si>
  <si>
    <t xml:space="preserve">7,600</t>
  </si>
  <si>
    <t xml:space="preserve">Provides software that lets shopkeepers of any size sell online, in physical stores and on marketplaces, and handles their payments, shipping and till equipment. To give merchants of any size the tools to run a business and sell wherever their customers are.</t>
  </si>
  <si>
    <t xml:space="preserve">SOUN</t>
  </si>
  <si>
    <t xml:space="preserve">SoundHound AI</t>
  </si>
  <si>
    <t xml:space="preserve">SoundHound — voice AI for restaurant drive-thrus, cars and call centres.</t>
  </si>
  <si>
    <t xml:space="preserve">954</t>
  </si>
  <si>
    <t xml:space="preserve">About 954 staff build voice-recognition software used in cars, televisions, restaurant ordering and customer service, sold in the US, Japan, Korea, France and Germany. To let people speak to machines in ordinary language and get useful answers back.</t>
  </si>
  <si>
    <t xml:space="preserve">UBER</t>
  </si>
  <si>
    <t xml:space="preserve">Uber Technologies</t>
  </si>
  <si>
    <t xml:space="preserve">Uber — ride-hailing and food delivery around the world.</t>
  </si>
  <si>
    <t xml:space="preserve">Runs a phone app linking riders with drivers and hire cars, diners with restaurants and shops, and companies shipping goods with lorry drivers. To make getting a ride, a meal or a delivery as simple as pressing a button on a phone.</t>
  </si>
  <si>
    <t xml:space="preserve">This is the discipline point. Uber is a sophisticated technology company that deployed AI aggressively across its organisation and, by its own admission, cannot yet prove it paid for itself. "This company uses AI" is not a thesis. "AI attacks a cost line that is large, and compounds on data nobody else has" — that's a thesis.</t>
  </si>
  <si>
    <t xml:space="preserve">WDAY</t>
  </si>
  <si>
    <t xml:space="preserve">Workday</t>
  </si>
  <si>
    <t xml:space="preserve">Workday — cloud software for company HR and finance departments.</t>
  </si>
  <si>
    <t xml:space="preserve">21,000</t>
  </si>
  <si>
    <t xml:space="preserve">Sells internet-based software that large employers use to run pay, hiring and accounting, serving banks, hospitals, schools, governments, shops and manufacturers. To give organisations one online system for managing their people and their money.</t>
  </si>
  <si>
    <t xml:space="preserve">CAT</t>
  </si>
  <si>
    <t xml:space="preserve">Caterpillar</t>
  </si>
  <si>
    <t xml:space="preserve">Caterpillar — the world's biggest maker of construction and mining machinery.</t>
  </si>
  <si>
    <t xml:space="preserve">118,000</t>
  </si>
  <si>
    <t xml:space="preserve">About 118,000 staff make diggers, loaders, mining trucks, engines, turbines and locomotives sold worldwide, and the company also lends customers the money to buy them. To supply the machines and engines used to build, mine and move things around the world.</t>
  </si>
  <si>
    <t xml:space="preserve">Industrial STX</t>
  </si>
  <si>
    <t xml:space="preserve">DE</t>
  </si>
  <si>
    <t xml:space="preserve">Deere &amp; Co</t>
  </si>
  <si>
    <t xml:space="preserve">Deere (John Deere) — the world's largest maker of farm machinery.</t>
  </si>
  <si>
    <t xml:space="preserve">1837</t>
  </si>
  <si>
    <t xml:space="preserve">Moline, Illinois, United States</t>
  </si>
  <si>
    <t xml:space="preserve">73,100</t>
  </si>
  <si>
    <t xml:space="preserve">About 73,100 staff make tractors, harvesters, lawn equipment and construction and forestry machines sold worldwide, with a finance arm that lends buyers the money. To make the machinery that farmers, builders and foresters rely on, with technology that makes their work more precise.</t>
  </si>
  <si>
    <t xml:space="preserve">GE</t>
  </si>
  <si>
    <t xml:space="preserve">GE Aerospace</t>
  </si>
  <si>
    <t xml:space="preserve">GE Aerospace — builds and services jet engines for airlines and the military.</t>
  </si>
  <si>
    <t xml:space="preserve">1892</t>
  </si>
  <si>
    <t xml:space="preserve">Evendale, Ohio, United States</t>
  </si>
  <si>
    <t xml:space="preserve">57,000</t>
  </si>
  <si>
    <t xml:space="preserve">About 57,000 staff design, build and service jet engines, propellers and aircraft systems for airlines and armed forces in North America, Europe, Asia and the Middle East. To keep aircraft flying by making and maintaining the engines that power passenger and military planes.</t>
  </si>
  <si>
    <t xml:space="preserve">MMM</t>
  </si>
  <si>
    <t xml:space="preserve">3M Co</t>
  </si>
  <si>
    <t xml:space="preserve">3M — a diversified industrial: tapes, abrasives, safety gear and electronics.</t>
  </si>
  <si>
    <t xml:space="preserve">1902</t>
  </si>
  <si>
    <t xml:space="preserve">Saint Paul, Minnesota, United States</t>
  </si>
  <si>
    <t xml:space="preserve">60,500</t>
  </si>
  <si>
    <t xml:space="preserve">About 60,500 staff make abrasives, glues, safety gear, car and electronics materials and household goods, sold through shops, wholesalers, websites and direct sales. To apply its science to practical products for industry, transport, building, healthcare and the home.</t>
  </si>
  <si>
    <t xml:space="preserve">Week</t>
  </si>
  <si>
    <t xml:space="preserve">View</t>
  </si>
  <si>
    <t xml:space="preserve">Executive summary (green = positive, red = negative / risk)</t>
  </si>
  <si>
    <t xml:space="preserve">2026-07-20  (Jul 20-26, 2026)</t>
  </si>
  <si>
    <t xml:space="preserve">NEGATIVE</t>
  </si>
  <si>
    <r>
      <rPr>
        <sz val="10"/>
        <color rgb="FFC00000"/>
        <rFont val="Arial"/>
        <family val="0"/>
        <charset val="1"/>
      </rPr>
      <t xml:space="preserve">- AAPL is the only name priced above its average analyst fair value (-4.6% conviction) while sitting at its all-time high, at 40x trailing earnings.
- Worst quadrant of the seven mega-caps: thinnest profit margin (47.9%) at the highest multiple (40.5x). Smallest position, thankfully.
</t>
    </r>
    <r>
      <rPr>
        <sz val="10"/>
        <color rgb="FF000000"/>
        <rFont val="Arial"/>
        <family val="0"/>
        <charset val="1"/>
      </rPr>
      <t xml:space="preserve">  Analysts split: HSBC upgraded Hold to Buy (Jul 17) while KeyBanc downgraded to Underweight (Jul 14) - a genuine bull-bear divide.
  Dad's handwritten AAPL target read as $320 (could be $220, rejected as inconsistent with the $326 price); confirmation requested.</t>
    </r>
  </si>
  <si>
    <t xml:space="preserve">2026-07-27  (Jul 27 - Aug 02, 2026)</t>
  </si>
  <si>
    <r>
      <rPr>
        <sz val="10"/>
        <color rgb="FFC00000"/>
        <rFont val="Arial"/>
        <family val="0"/>
        <charset val="1"/>
      </rPr>
      <t xml:space="preserve">- AAPL prints 96% of its 52-week range with only -2% to the high - the ladder says there's nothing left to buy here.
</t>
    </r>
    <r>
      <rPr>
        <sz val="10"/>
        <color rgb="FF000000"/>
        <rFont val="Arial"/>
        <family val="0"/>
        <charset val="1"/>
      </rPr>
      <t xml:space="preserve">  Fundamentals refreshed Jul 31 after AAPL's earnings, alongside AMZN, COIN, MA and a KLAC catch-up.</t>
    </r>
  </si>
  <si>
    <t xml:space="preserve">2026-08-03  (Aug 03-09, 2026)</t>
  </si>
  <si>
    <t xml:space="preserve">NEUTRAL</t>
  </si>
  <si>
    <t xml:space="preserve">  Apple cited as one of the chip designers (with Nvidia, AMD, Google, Amazon) that all depend on TSMC for leading-edge manufacturing.
  Apple's platform power noted as a risk to META: its 2021 privacy change cost META roughly $10B a year and could happen again.</t>
  </si>
  <si>
    <t xml:space="preserve">MIXED</t>
  </si>
  <si>
    <r>
      <rPr>
        <sz val="10"/>
        <color rgb="FF1E7B34"/>
        <rFont val="Arial"/>
        <family val="0"/>
        <charset val="1"/>
      </rPr>
      <t xml:space="preserve">+ Advisor's runner-up buy: +26.9% to a 65-analyst target, cheapest of five candidates at 3.6x sales and 29.6x forward earnings; suggested GTC limit ~$246-248.
</t>
    </r>
    <r>
      <rPr>
        <sz val="10"/>
        <color rgb="FF000000"/>
        <rFont val="Arial"/>
        <family val="0"/>
        <charset val="1"/>
      </rPr>
      <t xml:space="preserve">  Added 8 shares at $244.00 on Jul 22; now 202 shares at $46,595 cost, leaving $3,405 of the $50K plan.
</t>
    </r>
    <r>
      <rPr>
        <sz val="10"/>
        <color rgb="FFC00000"/>
        <rFont val="Arial"/>
        <family val="0"/>
        <charset val="1"/>
      </rPr>
      <t xml:space="preserve">- Jul 30 earnings is the key risk: AWS growth below ~17% or a capex guide-down would break the thesis; ideal entry seen as after the print.
</t>
    </r>
    <r>
      <rPr>
        <sz val="10"/>
        <color rgb="FF000000"/>
        <rFont val="Arial"/>
        <family val="0"/>
        <charset val="1"/>
      </rPr>
      <t xml:space="preserve">  FCF-based scoring deliberately harsh on AMZN (13.9) - it punishes mid-investment companies, so the metric looks worse than the business.</t>
    </r>
  </si>
  <si>
    <r>
      <rPr>
        <b val="true"/>
        <sz val="10"/>
        <color rgb="FFC00000"/>
        <rFont val="Arial"/>
        <family val="0"/>
        <charset val="1"/>
      </rPr>
      <t xml:space="preserve">RED FLAG: Q2 EPS of $5.75 includes a $53.4B pre-tax paper gain on the Anthropic stake; dashboard stores underlying TTM EPS of 8.61 ex-gain so the P/E isn't distorted.
</t>
    </r>
    <r>
      <rPr>
        <sz val="10"/>
        <color rgb="FF1E7B34"/>
        <rFont val="Arial"/>
        <family val="0"/>
        <charset val="1"/>
      </rPr>
      <t xml:space="preserve">+ Stock jumped 15% overnight after earnings, blowing straight through the standing buy limit.
</t>
    </r>
    <r>
      <rPr>
        <sz val="10"/>
        <color rgb="FF000000"/>
        <rFont val="Arial"/>
        <family val="0"/>
        <charset val="1"/>
      </rPr>
      <t xml:space="preserve">  Post-earnings fundamentals refreshed on the dashboard at the Jul 30 close.</t>
    </r>
  </si>
  <si>
    <r>
      <rPr>
        <sz val="10"/>
        <color rgb="FFC00000"/>
        <rFont val="Arial"/>
        <family val="0"/>
        <charset val="1"/>
      </rPr>
      <t xml:space="preserve">- Advisor pushed back on adding: least upside of ten names (+14.8% to target), only 2.5% below its 52-week high, 29.6x forward, 23% above Dad's limit - META preferred.
</t>
    </r>
    <r>
      <rPr>
        <sz val="10"/>
        <color rgb="FF1E7B34"/>
        <rFont val="Arial"/>
        <family val="0"/>
        <charset val="1"/>
      </rPr>
      <t xml:space="preserve">+ Robotics case: operating margin 11.4% to 13.7%; robot ~$3k/yr vs human ~$34k; 100 robotic centres in 18 months, 40% faster; Morgan Stanley sees up to $4B annual savings.
</t>
    </r>
    <r>
      <rPr>
        <sz val="10"/>
        <color rgb="FF000000"/>
        <rFont val="Arial"/>
        <family val="0"/>
        <charset val="1"/>
      </rPr>
      <t xml:space="preserve">  Bought 7 shares at $285.36 on Aug 4 ($2,006 with fees); now 209 shares at avg cost $232.54, worth $59,360, +22.1%; sleeve essentially full with $1,399 left.
</t>
    </r>
    <r>
      <rPr>
        <sz val="10"/>
        <color rgb="FFC00000"/>
        <rFont val="Arial"/>
        <family val="0"/>
        <charset val="1"/>
      </rPr>
      <t xml:space="preserve">- Watch item: if operating margin stalls below 14% next quarter despite the robot rollout, the savings are one-off, not structural.</t>
    </r>
  </si>
  <si>
    <r>
      <rPr>
        <sz val="10"/>
        <color rgb="FF1E7B34"/>
        <rFont val="Arial"/>
        <family val="0"/>
        <charset val="1"/>
      </rPr>
      <t xml:space="preserve">+ GOOGL is the book's quiet leader: +$15.6K of gain, more than the other six big holdings combined; only 13% off its high after a +12% YTD run - consolidation, not collapse.
</t>
    </r>
    <r>
      <rPr>
        <sz val="10"/>
        <color rgb="FFC00000"/>
        <rFont val="Arial"/>
        <family val="0"/>
        <charset val="1"/>
      </rPr>
      <t xml:space="preserve">- Q2 (Jul 22) beat on headlines but free cash flow turned negative - capex outran $39.1B operating cash flow, $49.6B raised issuing equity; stock fell ~5-6% to the low $340s.
- Capex is running ~42% of revenue and P/FCF is 72.5 and climbing; the fortress balance sheet (D/E 0.18) can afford it, but you are paying up while cash flow is impaired.
</t>
    </r>
    <r>
      <rPr>
        <sz val="10"/>
        <color rgb="FF1E7B34"/>
        <rFont val="Arial"/>
        <family val="0"/>
        <charset val="1"/>
      </rPr>
      <t xml:space="preserve">+ Bought the dip: +7 shares at ~$319.38 ($2,235.64) - now 205 shares at $269.88 avg cost, +17.7% unrealized; right instinct on a compounder whose Cloud is growing 82%.
</t>
    </r>
    <r>
      <rPr>
        <sz val="10"/>
        <color rgb="FFC00000"/>
        <rFont val="Arial"/>
        <family val="0"/>
        <charset val="1"/>
      </rPr>
      <t xml:space="preserve">- Discipline flag: Dad's written limit was under $300 and the fill was $319, about 6% above the plan; the real add sits near $300 if the capex selloff continues.
</t>
    </r>
    <r>
      <rPr>
        <sz val="10"/>
        <color rgb="FF000000"/>
        <rFont val="Arial"/>
        <family val="0"/>
        <charset val="1"/>
      </rPr>
      <t xml:space="preserve">  Weekly revision scan showed the Street's average GOOGL target drifting down 3.3%.</t>
    </r>
  </si>
  <si>
    <t xml:space="preserve">  Price could not be pinned down: a secondary page's $349.01 was distrusted after similar pages served stale data; the main page showed the Jul 30 close of $333.66.</t>
  </si>
  <si>
    <r>
      <rPr>
        <sz val="10"/>
        <color rgb="FFC00000"/>
        <rFont val="Arial"/>
        <family val="0"/>
        <charset val="1"/>
      </rPr>
      <t xml:space="preserve">- Verdict: skip for now - GOOGL (with AMZN and MSFT) is 23-33% above Dad's limits with the smallest upside of the group.
</t>
    </r>
    <r>
      <rPr>
        <sz val="10"/>
        <color rgb="FF1E7B34"/>
        <rFont val="Arial"/>
        <family val="0"/>
        <charset val="1"/>
      </rPr>
      <t xml:space="preserve">+ Ranked #2 on the AI-beneficiary list: 8x engineering speed and falling AI serving cost (CEO-stated), $356.13 at Jul 31, 28.0x earnings, +20% upside, high confidence.
</t>
    </r>
    <r>
      <rPr>
        <sz val="10"/>
        <color rgb="FF000000"/>
        <rFont val="Arial"/>
        <family val="0"/>
        <charset val="1"/>
      </rPr>
      <t xml:space="preserve">  Broker screen validated as a price source: POEMS 'Current Price' for GOOGL ($373.51, Aug 3) matched the official close to the cent.</t>
    </r>
  </si>
  <si>
    <r>
      <rPr>
        <sz val="10"/>
        <color rgb="FF1E7B34"/>
        <rFont val="Arial"/>
        <family val="0"/>
        <charset val="1"/>
      </rPr>
      <t xml:space="preserve">+ Meta is the book's anomaly: the fattest gross margin (81.9%) at one of the cheapest multiples (23.5x), yet only the 5th-largest position.
</t>
    </r>
    <r>
      <rPr>
        <sz val="10"/>
        <color rgb="FF000000"/>
        <rFont val="Arial"/>
        <family val="0"/>
        <charset val="1"/>
      </rPr>
      <t xml:space="preserve">  At $645.85 Meta slipped below every analyst's target (floor $664) - the market now disagrees with the entire Street in the bearish direction.
</t>
    </r>
    <r>
      <rPr>
        <sz val="10"/>
        <color rgb="FF1E7B34"/>
        <rFont val="Arial"/>
        <family val="0"/>
        <charset val="1"/>
      </rPr>
      <t xml:space="preserve">+ Advisor's single best order of the week: a good-til-cancelled limit buy on Meta at $600 ahead of its Jul 30 earnings - best business on the list.
</t>
    </r>
    <r>
      <rPr>
        <sz val="10"/>
        <color rgb="FFC00000"/>
        <rFont val="Arial"/>
        <family val="0"/>
        <charset val="1"/>
      </rPr>
      <t xml:space="preserve">- Meta dropped to $606 (-8.7% unrealized) as the whole book took the AI-capex hit; advice was to wait for the $600 limit rather than pay up at market.</t>
    </r>
  </si>
  <si>
    <r>
      <rPr>
        <sz val="10"/>
        <color rgb="FFC00000"/>
        <rFont val="Arial"/>
        <family val="0"/>
        <charset val="1"/>
      </rPr>
      <t xml:space="preserve">- Do not buy ahead of the Jul 29 report: implied move ~7% either way, and the unresolved issue is capex - $125-145B guided for the year with only $19.84B spent in Q1.
</t>
    </r>
    <r>
      <rPr>
        <sz val="10"/>
        <color rgb="FF000000"/>
        <rFont val="Arial"/>
        <family val="0"/>
        <charset val="1"/>
      </rPr>
      <t xml:space="preserve">  Buy ladder set at $560 and $535 (~$8,760), funded first in the queue; hard ceiling $600 because Meta now spends 1.57x its free cash flow on capex.
</t>
    </r>
    <r>
      <rPr>
        <sz val="10"/>
        <color rgb="FF1E7B34"/>
        <rFont val="Arial"/>
        <family val="0"/>
        <charset val="1"/>
      </rPr>
      <t xml:space="preserve">+ Post-earnings, at $585.61 Meta trades at 17.75x forward - already inside the attractive band; revised plan: buy ~8 shares around $588 before anything else.
+ By Jul 31 the call firmed: Meta first at $539 (8 shares, $4,312), High conviction; mind-changer is 2027 capex guided above ~$135B with no matching revenue line.
</t>
    </r>
    <r>
      <rPr>
        <sz val="10"/>
        <color rgb="FFC00000"/>
        <rFont val="Arial"/>
        <family val="0"/>
        <charset val="1"/>
      </rPr>
      <t xml:space="preserve">- Meta and Microsoft together carry -$10,783 of unrealized loss - two of the three largest positions; both still quality, but that is where the pain sits.
</t>
    </r>
    <r>
      <rPr>
        <sz val="10"/>
        <color rgb="FF000000"/>
        <rFont val="Arial"/>
        <family val="0"/>
        <charset val="1"/>
      </rPr>
      <t xml:space="preserve">  Data caveat: TradingView served a phantom $646.01 Meta price - a leftover placeholder in the raw page, never a real quote.</t>
    </r>
  </si>
  <si>
    <r>
      <rPr>
        <sz val="10"/>
        <color rgb="FF1E7B34"/>
        <rFont val="Arial"/>
        <family val="0"/>
        <charset val="1"/>
      </rPr>
      <t xml:space="preserve">+ Q2: revenue +28% to $60.8B (a beat), ads up 14% in volume and 12% in price - but EPS missed ($6.18 vs $7.13) and capex guidance rose to $130-145B, so the stock fell.
+ The 'Meta Compute' announcement - renting out spare AI computing power - reframed capex as a future revenue line; the stock jumped 6.2% to $591.
+ At ~17.6-17.9x forward earnings Meta is the cheapest mega-cap on the list, below even the bottom of analysts' $700-880 fair-value band; average target $762 (+29%).
+ Recommendation: buy ~10 shares (~$5,820) of the $12,810 remaining budget, cutting average cost from $664.10 to ~$651.60; hold ~$7,000 back for a drop toward $540.
</t>
    </r>
    <r>
      <rPr>
        <sz val="10"/>
        <color rgb="FFC00000"/>
        <rFont val="Arial"/>
        <family val="0"/>
        <charset val="1"/>
      </rPr>
      <t xml:space="preserve">- Real risks: Apple/Google control the platforms (a 2021 privacy change cost ~$10B/yr), Reality Labs lost $4.6B in one quarter, and a break of $520 on heavy volume means value trap.
</t>
    </r>
    <r>
      <rPr>
        <sz val="10"/>
        <color rgb="FF000000"/>
        <rFont val="Arial"/>
        <family val="0"/>
        <charset val="1"/>
      </rPr>
      <t xml:space="preserve">  Executed: 3.5 Meta shares bought at $583.24 on Aug 5 as part of a six-name, $8,039.48 batch of fills.</t>
    </r>
  </si>
  <si>
    <r>
      <rPr>
        <sz val="10"/>
        <color rgb="FFC00000"/>
        <rFont val="Arial"/>
        <family val="0"/>
        <charset val="1"/>
      </rPr>
      <t xml:space="preserve">- Position in the red at -12.4%, though the Street's $559 average target implies +41.9% upside; damage came this year (-29% off high, -18% YTD).
- Conservative FCF-based Rule of 40 is 40.8 vs 57.2 on the profit version - the 16-point gap is the AI-capex tax on the hyperscalers.
</t>
    </r>
    <r>
      <rPr>
        <b val="true"/>
        <sz val="10"/>
        <color rgb="FFC00000"/>
        <rFont val="Arial"/>
        <family val="0"/>
        <charset val="1"/>
      </rPr>
      <t xml:space="preserve">RED FLAG: A scheduled refresh wrote MSFT at $381 against ~$421 verified live; the bad automated price source was flagged for a sanity check.
</t>
    </r>
    <r>
      <rPr>
        <sz val="10"/>
        <color rgb="FF000000"/>
        <rFont val="Arial"/>
        <family val="0"/>
        <charset val="1"/>
      </rPr>
      <t xml:space="preserve">  Analyst targets drifted mildly lower (-2.4%) in the weekly sweep.</t>
    </r>
  </si>
  <si>
    <r>
      <rPr>
        <sz val="10"/>
        <color rgb="FF1E7B34"/>
        <rFont val="Arial"/>
        <family val="0"/>
        <charset val="1"/>
      </rPr>
      <t xml:space="preserve">+ Q4 FY26 beat; stock gapped +8.9% overnight and printed $451.10 - the 113-share position swung from -$6,687 (-13.2%) to +$156 (+0.31%) in one session.
</t>
    </r>
    <r>
      <rPr>
        <sz val="10"/>
        <color rgb="FFC00000"/>
        <rFont val="Arial"/>
        <family val="0"/>
        <charset val="1"/>
      </rPr>
      <t xml:space="preserve">- About 33c of the 50c EPS beat was a one-time $3.2B mark-to-market gain on the Anthropic stake; the core beat was closer to 17c.
- The advisor's $402 limit never filled - 'right on the business, wrong on the entry'; revised advice: buy remaining ~$9,182 budget (~20 sh) at market, Medium-High.
</t>
    </r>
    <r>
      <rPr>
        <sz val="10"/>
        <color rgb="FF000000"/>
        <rFont val="Arial"/>
        <family val="0"/>
        <charset val="1"/>
      </rPr>
      <t xml:space="preserve">  MSFT displaced ASML in the funding queue (23x forward with Azure +43% beats ASML's 31.5x and sub-10% growth); META still goes first.
</t>
    </r>
    <r>
      <rPr>
        <sz val="10"/>
        <color rgb="FFC00000"/>
        <rFont val="Arial"/>
        <family val="0"/>
        <charset val="1"/>
      </rPr>
      <t xml:space="preserve">- Watch items: Q1 FY27 capex above $55B or an Azure guide under 42% extends the FCF trough; Anthropic/OpenAI investment marks cut both ways.
</t>
    </r>
    <r>
      <rPr>
        <sz val="10"/>
        <color rgb="FF000000"/>
        <rFont val="Arial"/>
        <family val="0"/>
        <charset val="1"/>
      </rPr>
      <t xml:space="preserve">  Price scare closed: POEMS showed $394.59 vs the board's $393.35 - the board was right and the '~$421' incident note was the bad number.</t>
    </r>
  </si>
  <si>
    <r>
      <rPr>
        <sz val="10"/>
        <color rgb="FF1E7B34"/>
        <rFont val="Arial"/>
        <family val="0"/>
        <charset val="1"/>
      </rPr>
      <t xml:space="preserve">+ AI-cost story ranked #3: ~$500M saved in call centres (CCO-stated), 30% of code AI-written; Q4 operating margin 45.1%, Azure +43%, Copilot past 30M paid seats.
</t>
    </r>
    <r>
      <rPr>
        <sz val="10"/>
        <color rgb="FFC00000"/>
        <rFont val="Arial"/>
        <family val="0"/>
        <charset val="1"/>
      </rPr>
      <t xml:space="preserve">- Still tagged 'skip for now' at $481.90: 23.6x forward with only +17% upside, 23-33% above Dad's limit; META at 17.6x is cheaper than MSFT, AMZN and GOOGL.
</t>
    </r>
    <r>
      <rPr>
        <sz val="10"/>
        <color rgb="FF000000"/>
        <rFont val="Arial"/>
        <family val="0"/>
        <charset val="1"/>
      </rPr>
      <t xml:space="preserve">  POEMS 'Current Price' verified as the official close (MSFT $487.65 matched to the cent), making broker screenshots a legitimate price source.</t>
    </r>
  </si>
  <si>
    <t xml:space="preserve">POSITIVE</t>
  </si>
  <si>
    <r>
      <rPr>
        <sz val="10"/>
        <color rgb="FF000000"/>
        <rFont val="Arial"/>
        <family val="0"/>
        <charset val="1"/>
      </rPr>
      <t xml:space="preserve">  Street average target on AMD drifted down 2.3% this week, part of mild downward revisions across several names.
</t>
    </r>
    <r>
      <rPr>
        <sz val="10"/>
        <color rgb="FF1E7B34"/>
        <rFont val="Arial"/>
        <family val="0"/>
        <charset val="1"/>
      </rPr>
      <t xml:space="preserve">+ Allocation plan shows $11.2K of unused budget room in AMD; the plan favors adding to winners in the Computing Chips group.</t>
    </r>
  </si>
  <si>
    <t xml:space="preserve">  Data housekeeping only: TradingView confirmed to offer display widgets, not a data feed, at any price tier.</t>
  </si>
  <si>
    <r>
      <rPr>
        <b val="true"/>
        <sz val="10"/>
        <color rgb="FFC00000"/>
        <rFont val="Arial"/>
        <family val="0"/>
        <charset val="1"/>
      </rPr>
      <t xml:space="preserve">RED FLAG: Dad's ambiguous 'AMP' note likely means AMD: do NOT buy today - AMD reports earnings after tonight's close and is already up 6.1% at $514. Pre-earnings buying is a coin flip.
</t>
    </r>
    <r>
      <rPr>
        <sz val="10"/>
        <color rgb="FF1E7B34"/>
        <rFont val="Arial"/>
        <family val="0"/>
        <charset val="1"/>
      </rPr>
      <t xml:space="preserve">+ AMD gained 7% in the Aug 4 risk-on session; portfolio hit $683,857 market value vs $560,432 cost, up $123,426 (+22.02%).
</t>
    </r>
    <r>
      <rPr>
        <sz val="10"/>
        <color rgb="FFC00000"/>
        <rFont val="Arial"/>
        <family val="0"/>
        <charset val="1"/>
      </rPr>
      <t xml:space="preserve">- CORZ warning: AMD holds warrants for 30M Core Scientific shares at $23.47 that would dilute CORZ holders the moment the trade works.</t>
    </r>
  </si>
  <si>
    <r>
      <rPr>
        <sz val="10"/>
        <color rgb="FFC00000"/>
        <rFont val="Arial"/>
        <family val="0"/>
        <charset val="1"/>
      </rPr>
      <t xml:space="preserve">- Advisor's verdict: do not buy ARM now — the most expensive stock on the board (318x trailing, 124x forward earnings, 58x sales, 3.58 PEG) for only +23% revenue growth.
- Street conviction is thinnest on ARM: average target $302 vs a ~$270 price (+12%), with HSBC downgrading to Hold and UBS cutting its target from $470 to $360.
</t>
    </r>
    <r>
      <rPr>
        <b val="true"/>
        <sz val="10"/>
        <color rgb="FFC00000"/>
        <rFont val="Arial"/>
        <family val="0"/>
        <charset val="1"/>
      </rPr>
      <t xml:space="preserve">RED FLAG: ARM reports earnings Jul 29; the blackout rule bars new buying within 5 days of a binary event — at 124x forward there is zero cushion for a soft guide.
</t>
    </r>
    <r>
      <rPr>
        <sz val="10"/>
        <color rgb="FF000000"/>
        <rFont val="Arial"/>
        <family val="0"/>
        <charset val="1"/>
      </rPr>
      <t xml:space="preserve">  ARM was added as a watchlist column in Computing Chips with no budget or position, matching the notebook's plan; the watchlist trio is ARM, ASTS, SpaceX.
  What would change the view: a post-earnings price reset toward the $230s with guidance intact, or royalty revenue re-accelerating past 35-40% growth.</t>
    </r>
  </si>
  <si>
    <r>
      <rPr>
        <sz val="10"/>
        <color rgb="FFC00000"/>
        <rFont val="Arial"/>
        <family val="0"/>
        <charset val="1"/>
      </rPr>
      <t xml:space="preserve">- ARM's data feed was refreshed Jul 28 but denied by Jul 31 after the FMP entitlement shrank; stored prices for ARM ($224.89) and 30+ names were stuck at the Jul 29 row.
</t>
    </r>
    <r>
      <rPr>
        <sz val="10"/>
        <color rgb="FF000000"/>
        <rFont val="Arial"/>
        <family val="0"/>
        <charset val="1"/>
      </rPr>
      <t xml:space="preserve">  On the Jul 31 refresh ARM was held at its Jul 30 close because the Jul 31 print could not be verified.</t>
    </r>
  </si>
  <si>
    <t xml:space="preserve">+ ARM jumped +17% in the Aug 5 risk-on session that lifted the whole portfolio to +22.0% ($683,857 value on $560,432 cost).</t>
  </si>
  <si>
    <t xml:space="preserve">  Rotation-trade framing: money hyperscalers like Google spend on capex flows to NVDA, AVGO, memory makers and power names — the market sells the payer and buys the beneficiaries.</t>
  </si>
  <si>
    <r>
      <rPr>
        <sz val="10"/>
        <color rgb="FFC00000"/>
        <rFont val="Arial"/>
        <family val="0"/>
        <charset val="1"/>
      </rPr>
      <t xml:space="preserve">- Stale-data warning: for 36 of 47 holdings, including AVGO, MU, ASML and AMAT (~$98,000 together), the board showed live prices while the stored file still held Jul 28 prices.
</t>
    </r>
    <r>
      <rPr>
        <sz val="10"/>
        <color rgb="FF000000"/>
        <rFont val="Arial"/>
        <family val="0"/>
        <charset val="1"/>
      </rPr>
      <t xml:space="preserve">  AVGO's current price can be seen free in the market tape without paying for the FMP feed.</t>
    </r>
  </si>
  <si>
    <t xml:space="preserve">+ AVGO gained +6.6% in the Aug 5 risk-on session that took the portfolio to +22.0%.</t>
  </si>
  <si>
    <r>
      <rPr>
        <b val="true"/>
        <sz val="10"/>
        <color rgb="FFC00000"/>
        <rFont val="Arial"/>
        <family val="0"/>
        <charset val="1"/>
      </rPr>
      <t xml:space="preserve">RED FLAG: Both INTC buy conditions remain unmet and earnings are tomorrow - check the INTC section before placing anything.
</t>
    </r>
    <r>
      <rPr>
        <sz val="10"/>
        <color rgb="FFC00000"/>
        <rFont val="Arial"/>
        <family val="0"/>
        <charset val="1"/>
      </rPr>
      <t xml:space="preserve">- Of everything held, Intel is the position where the price has run furthest beyond what the business is doing.</t>
    </r>
  </si>
  <si>
    <t xml:space="preserve">  Intel appears only as a risk marker: evidence it (or Samsung) has closed the leading-edge manufacturing gap would change the high-conviction TSM view.</t>
  </si>
  <si>
    <r>
      <rPr>
        <sz val="10"/>
        <color rgb="FF000000"/>
        <rFont val="Arial"/>
        <family val="0"/>
        <charset val="1"/>
      </rPr>
      <t xml:space="preserve">  MCHP (Microchip Technology) added to Computing Chips at the Aug 7 close $84.69 (jumped ~14% that day on earnings). Makes microcontrollers and analog chips for cars, industry and data centres. Watchlist only.
</t>
    </r>
    <r>
      <rPr>
        <sz val="10"/>
        <color rgb="FF1E7B34"/>
        <rFont val="Arial"/>
        <family val="0"/>
        <charset val="1"/>
      </rPr>
      <t xml:space="preserve">+ The downturn is turning up: Q1 (Aug 6) sales +38%, back to profit, strong guidance, inventories clearing. Analysts see FY2027 earnings nearly doubling; 25 rate it Buy (avg ~$109). Pays a 2.2% dividend.
</t>
    </r>
    <r>
      <rPr>
        <sz val="10"/>
        <color rgb="FFC00000"/>
        <rFont val="Arial"/>
        <family val="0"/>
        <charset val="1"/>
      </rPr>
      <t xml:space="preserve">- Ignore the scary trailing P/E of 125 - that's depressed trough earnings; the real gauge is ~21x forward. Risks: still weighing a fab closure, 7% shorted, and the price already reflects the big earnings pop.
</t>
    </r>
    <r>
      <rPr>
        <sz val="10"/>
        <color rgb="FF000000"/>
        <rFont val="Arial"/>
        <family val="0"/>
        <charset val="1"/>
      </rPr>
      <t xml:space="preserve">  (new, not yet condensed) Aug 8 addition: MCHP (Microchip Technology, NASDAQ) added to Computing Chips at the Aug 7, 2026 close 84.69, UP 13.89% that day, stamp 'At close: Aug 7, 2026, 4:00 PM EDT', second-sourced by MarketBeat. Watchlist only - no position, no budget. Microchip makes microcontrollers, analog and ...</t>
    </r>
  </si>
  <si>
    <t xml:space="preserve">  Marvell fails the new deep-value screens (Price/FCF at most 10, EV/EBITDA under 10) - gates built for mature cash machines will permanently exclude growth names like it.
  Also flagged as a competitive threat elsewhere in the book: signs of Credo losing AEC cable share to Marvell or Amphenol would change the advisor's view on Credo.</t>
  </si>
  <si>
    <r>
      <rPr>
        <sz val="10"/>
        <color rgb="FF1E7B34"/>
        <rFont val="Arial"/>
        <family val="0"/>
        <charset val="1"/>
      </rPr>
      <t xml:space="preserve">+ NVDA scored best business on dad's list (+1.64 vs +0.52 next): +71% revenue, +111% EPS growth, 105% ROIC, 63% net margin, Rule of 40 of 118 — yet 0.46 PEG and 20x forward.
</t>
    </r>
    <r>
      <rPr>
        <sz val="10"/>
        <color rgb="FFC00000"/>
        <rFont val="Arial"/>
        <family val="0"/>
        <charset val="1"/>
      </rPr>
      <t xml:space="preserve">- Concentration flag: NVDA is already the largest position (~25% of the block) and at ~$208 the 383 shares are worth ~$80K — effectively at the cap on market value.
</t>
    </r>
    <r>
      <rPr>
        <sz val="10"/>
        <color rgb="FF000000"/>
        <rFont val="Arial"/>
        <family val="0"/>
        <charset val="1"/>
      </rPr>
      <t xml:space="preserve">  TSM was named the sharper portfolio move: near-identical quality, cheapest forward P/E (18.8), and it spreads the AI bet instead of doubling it.
</t>
    </r>
    <r>
      <rPr>
        <sz val="10"/>
        <color rgb="FF1E7B34"/>
        <rFont val="Arial"/>
        <family val="0"/>
        <charset val="1"/>
      </rPr>
      <t xml:space="preserve">+ Street revisions moved up: the lowest analyst target jumped $180 to $218 and consensus ~$302 to $319, with the $203 stock still below the lowest target on the Street.
</t>
    </r>
    <r>
      <rPr>
        <sz val="10"/>
        <color rgb="FF000000"/>
        <rFont val="Arial"/>
        <family val="0"/>
        <charset val="1"/>
      </rPr>
      <t xml:space="preserve">  Bought 9 more shares at $211.06 on Jul 25, lifting the position to 392 shares at $187.22 average cost; a planned IREN sell at $45 was withdrawn unfilled.
</t>
    </r>
    <r>
      <rPr>
        <sz val="10"/>
        <color rgb="FFC00000"/>
        <rFont val="Arial"/>
        <family val="0"/>
        <charset val="1"/>
      </rPr>
      <t xml:space="preserve">- The risk in one line: NVDA is cheap only if the growth is real — a hyperscaler capex pause, a Blackwell/Rubin demand air pocket, or China export escalation breaks the math.</t>
    </r>
  </si>
  <si>
    <r>
      <rPr>
        <sz val="10"/>
        <color rgb="FFC00000"/>
        <rFont val="Arial"/>
        <family val="0"/>
        <charset val="1"/>
      </rPr>
      <t xml:space="preserve">- A memory-glut panic (China's CXMT IPO) crashed KOSPI -10.8% and stirred circular-financing fears around NVDA's $250B OpenAI datacenter backstop; NVDA fell only 1.31%.
</t>
    </r>
    <r>
      <rPr>
        <sz val="10"/>
        <color rgb="FF000000"/>
        <rFont val="Arial"/>
        <family val="0"/>
        <charset val="1"/>
      </rPr>
      <t xml:space="preserve">  Advisor recommended a $190 limit for 34 shares; dad overrode at $196 and filled 10 shares at $195.895 — NVDA never touched $190 and closed $197.01. Advisor owns the miss.
  Position now 402 shares, $75,357.35 total cost, with $4,642.65 budget headroom (~23 shares); cash of $19,542.79 is pre-settlement until the buy clears Jul 30.
  Stated fallback: if any hyperscaler cuts 2027 capex guidance, $190 is not the bottom — the limit would move down to $170.</t>
    </r>
  </si>
  <si>
    <r>
      <rPr>
        <sz val="10"/>
        <color rgb="FF1E7B34"/>
        <rFont val="Arial"/>
        <family val="0"/>
        <charset val="1"/>
      </rPr>
      <t xml:space="preserve">+ SpaceX announced Aug 5 it will build its 'Starmind' AI exclusively on NVIDIA chips, targeting 10 gigawatts of compute by end-2027 — a huge new customer; NVDA rose 3.4%.
+ NVIDIA projects $1 trillion+ of big-cloud datacenter spending in 2027 vs ~$650B in 2026, and announced a Safe Superintelligence partnership Jul 27 (investment size unverified).
</t>
    </r>
    <r>
      <rPr>
        <sz val="10"/>
        <color rgb="FFC00000"/>
        <rFont val="Arial"/>
        <family val="0"/>
        <charset val="1"/>
      </rPr>
      <t xml:space="preserve">- Cautions: earnings land Aug 26, the SpaceX news is already in the price, and NVDA is already the largest position — 402 shares, ~$88K, 13% of the portfolio, budget 94% used.
</t>
    </r>
    <r>
      <rPr>
        <sz val="10"/>
        <color rgb="FF000000"/>
        <rFont val="Arial"/>
        <family val="0"/>
        <charset val="1"/>
      </rPr>
      <t xml:space="preserve">  Advice: buy up to 21 shares with the $4,643 headroom via limit order; dad bought 9 at $219.45 on Aug 6 (below the $221+ quote), leaving $2,667.60 (~12 shares) of budget.
  Exit tests: guidance below ~$91B or gross margin under 73%, hyperscaler 2027 capex cuts, price above ~$260 pre-earnings, or a marquee customer dual-sourcing chips.</t>
    </r>
  </si>
  <si>
    <r>
      <rPr>
        <sz val="10"/>
        <color rgb="FF000000"/>
        <rFont val="Arial"/>
        <family val="0"/>
        <charset val="1"/>
      </rPr>
      <t xml:space="preserve">  ON (ON Semiconductor / onsemi) added to Computing Chips at the Aug 7 close $81.17. Makes power and sensing chips for cars, industry and AI data centres. Watchlist only.
</t>
    </r>
    <r>
      <rPr>
        <sz val="10"/>
        <color rgb="FF1E7B34"/>
        <rFont val="Arial"/>
        <family val="0"/>
        <charset val="1"/>
      </rPr>
      <t xml:space="preserve">+ Profitable and recovering: revenue $6.2B, earnings up 43%, 16% return on capital, $1.5B cash flow; cheap on next year (forward P/E 21, PEG 0.62). Buying Synaptics (~$7B) for 'physical AI'.
</t>
    </r>
    <r>
      <rPr>
        <sz val="10"/>
        <color rgb="FFC00000"/>
        <rFont val="Arial"/>
        <family val="0"/>
        <charset val="1"/>
      </rPr>
      <t xml:space="preserve">- Trailing P/E looks high at 52 (earnings are depressed), and it's a cyclical chipmaker - high beta (2.0), 8% of shares shorted. Stock $81 vs a 52-week high of $135.</t>
    </r>
  </si>
  <si>
    <r>
      <rPr>
        <sz val="10"/>
        <color rgb="FF1E7B34"/>
        <rFont val="Arial"/>
        <family val="0"/>
        <charset val="1"/>
      </rPr>
      <t xml:space="preserve">+ Street chased TSM's earnings momentum: average target raised 12.6% ($520 to $586), implying +46% upside; it's the second-largest position, +14% on cost.
+ Cleanest value on the board: 18.8x forward P/E, 18.5 EV/EBITDA, 50% net margin, 55% ROIC - and it's the foundry NVDA physically depends on.
+ Advice: the next $8.5K is better spent on TSM than more NVDA - near-identical quality, cheaper, and it spreads the AI bet; TSM has ~$14K budget headroom.
</t>
    </r>
    <r>
      <rPr>
        <sz val="10"/>
        <color rgb="FF000000"/>
        <rFont val="Arial"/>
        <family val="0"/>
        <charset val="1"/>
      </rPr>
      <t xml:space="preserve">  Keep sale proceeds at the broker to avoid a Thai remittance tax event, and use limit orders - these names routinely gap 5%+ at the open.
  Housekeeping: a $254 commission drift vs POEMS includes a TSM trim of -$1.17; logged as a standing reconciliation item.</t>
    </r>
  </si>
  <si>
    <r>
      <rPr>
        <sz val="10"/>
        <color rgb="FF000000"/>
        <rFont val="Arial"/>
        <family val="0"/>
        <charset val="1"/>
      </rPr>
      <t xml:space="preserve">  Dad's preferred picks TSM and MU checked against his buy limits: TSM is 15% above its line - not actionable today; MU is the closer trigger after a -7% day.
</t>
    </r>
    <r>
      <rPr>
        <sz val="10"/>
        <color rgb="FFC00000"/>
        <rFont val="Arial"/>
        <family val="0"/>
        <charset val="1"/>
      </rPr>
      <t xml:space="preserve">- Data confession: TSM's 'live' price in a prior message was filled in rather than retrieved; all five affected names were re-pulled properly.</t>
    </r>
  </si>
  <si>
    <r>
      <rPr>
        <sz val="10"/>
        <color rgb="FF1E7B34"/>
        <rFont val="Arial"/>
        <family val="0"/>
        <charset val="1"/>
      </rPr>
      <t xml:space="preserve">+ Buy call on TSM at ~$417: 19x forward, +33% to the average target, no event risk - and even the most bearish of 25 analysts targets $500.
+ The numbers: revenue +30.6%, earnings +53.4%, 49.9% net margin, 54.6% ROIC at 18.8x forward - a combination that barely exists elsewhere.
</t>
    </r>
    <r>
      <rPr>
        <sz val="10"/>
        <color rgb="FF000000"/>
        <rFont val="Arial"/>
        <family val="0"/>
        <charset val="1"/>
      </rPr>
      <t xml:space="preserve">  Advice moved from wait to buy now once the full $18,928 cash was confirmed as own money; June revenue was +67.9% YoY, so the Aug 10 monthly print adds little.
  Actual fill was 4.5 shares at $416.273 ($1,881.79 with commission), not the 33 discussed; TSM now 107.5 shares at $37,850.87 cost, verified against POEMS.
</t>
    </r>
    <r>
      <rPr>
        <sz val="10"/>
        <color rgb="FFC00000"/>
        <rFont val="Arial"/>
        <family val="0"/>
        <charset val="1"/>
      </rPr>
      <t xml:space="preserve">- Key risk is Taiwan-China geopolitics - a real discount for a real danger; a TSMC guidance cut, US export controls, or a hyperscaler capex slowdown would stop the adds.</t>
    </r>
  </si>
  <si>
    <r>
      <rPr>
        <sz val="10"/>
        <color rgb="FF000000"/>
        <rFont val="Arial"/>
        <family val="0"/>
        <charset val="1"/>
      </rPr>
      <t xml:space="preserve">  Aehr Test Systems added as a watchlist name in Computing Chips at $76.32; analysts' average target is $115 (+51%).
</t>
    </r>
    <r>
      <rPr>
        <sz val="10"/>
        <color rgb="FFC00000"/>
        <rFont val="Arial"/>
        <family val="0"/>
        <charset val="1"/>
      </rPr>
      <t xml:space="preserve">- Red flag: revenue is shrinking (-15%) while the stock trades near 50x sales with a -26 Rule of 40 - the recovery bet is not in the numbers yet. Size it as a small call option.</t>
    </r>
  </si>
  <si>
    <r>
      <rPr>
        <sz val="10"/>
        <color rgb="FFC00000"/>
        <rFont val="Arial"/>
        <family val="0"/>
        <charset val="1"/>
      </rPr>
      <t xml:space="preserve">- FY26 revenue fell 15.2% to $50.0M with a $7.1M loss and negative operating cash flow; the cash pile came from ~$100M of share dilution, not the business.
- The FY27 guide of $130-150M implies a 3x jump on one quarter of evidence and is already fully priced at ~88x forward earnings; three customers each exceed 10% of revenue.
</t>
    </r>
    <r>
      <rPr>
        <sz val="10"/>
        <color rgb="FF000000"/>
        <rFont val="Arial"/>
        <family val="0"/>
        <charset val="1"/>
      </rPr>
      <t xml:space="preserve">  Advisor says the wafer-test theme is owned more safely via Teradyne and Applied Materials, and Aehr is misfiled - it belongs in Chips Manufacturing, not Computing Chips.
  Data caveat: the free price feed's access shrank between Jul 28 and 30; Aehr was among ~58 tickers whose refresh is now denied.</t>
    </r>
  </si>
  <si>
    <r>
      <rPr>
        <sz val="10"/>
        <color rgb="FF000000"/>
        <rFont val="Arial"/>
        <family val="0"/>
        <charset val="1"/>
      </rPr>
      <t xml:space="preserve">  Aehr moved to Chips Manufacturing per the handwritten note, was briefly moved to Photonic &amp; Optic Fiber on request, then reverted back the same day.
</t>
    </r>
    <r>
      <rPr>
        <sz val="10"/>
        <color rgb="FFC00000"/>
        <rFont val="Arial"/>
        <family val="0"/>
        <charset val="1"/>
      </rPr>
      <t xml:space="preserve">- Advisor backs the revert: revenue is still mostly silicon-carbide EV chip testing, that market is weak, and Aehr will not trade in step with the photonics names.</t>
    </r>
  </si>
  <si>
    <r>
      <rPr>
        <sz val="10"/>
        <color rgb="FF1E7B34"/>
        <rFont val="Arial"/>
        <family val="0"/>
        <charset val="1"/>
      </rPr>
      <t xml:space="preserve">+ Semi Equipment is one of the book's best-performing groups at +50%, with AMAT among the names pulling hard.
</t>
    </r>
    <r>
      <rPr>
        <sz val="10"/>
        <color rgb="FF000000"/>
        <rFont val="Arial"/>
        <family val="0"/>
        <charset val="1"/>
      </rPr>
      <t xml:space="preserve">  The AMAT/LRCX/KLAC/ASML/TER basket (~$57K) is effectively the biggest cost line of a memory fab - equipment depreciation is 40-50% of leading-edge DRAM cost.
</t>
    </r>
    <r>
      <rPr>
        <sz val="10"/>
        <color rgb="FFC00000"/>
        <rFont val="Arial"/>
        <family val="0"/>
        <charset val="1"/>
      </rPr>
      <t xml:space="preserve">- Advice: adding Tokyo materials names on top would add correlation, not diversification - same cycle, thinner margins, extra FX; wait for a correction before any small allocation.</t>
    </r>
  </si>
  <si>
    <r>
      <rPr>
        <sz val="10"/>
        <color rgb="FF000000"/>
        <rFont val="Arial"/>
        <family val="0"/>
        <charset val="1"/>
      </rPr>
      <t xml:space="preserve">  AEHR verdict: the wafer-level burn-in theme is already owned more safely through TER and AMAT; AEHR should be refiled beside ASML, AMAT, LRCX and KLAC.
</t>
    </r>
    <r>
      <rPr>
        <sz val="10"/>
        <color rgb="FFC00000"/>
        <rFont val="Arial"/>
        <family val="0"/>
        <charset val="1"/>
      </rPr>
      <t xml:space="preserve">- Data warning: for 36 of 47 holdings - incl AVGO, MU, ASML and AMAT, ~$98K combined - the board shows live prices but stored data is still from Jul 28; the math is stale.</t>
    </r>
  </si>
  <si>
    <r>
      <rPr>
        <sz val="10"/>
        <color rgb="FF1E7B34"/>
        <rFont val="Arial"/>
        <family val="0"/>
        <charset val="1"/>
      </rPr>
      <t xml:space="preserve">+ On the new portfolio wheel AMAT shows a fat gold rim - the position has roughly doubled.
</t>
    </r>
    <r>
      <rPr>
        <sz val="10"/>
        <color rgb="FF000000"/>
        <rFont val="Arial"/>
        <family val="0"/>
        <charset val="1"/>
      </rPr>
      <t xml:space="preserve">  All 110 dashboard names repriced at the Jul 31 close after Dad's handwritten note was applied.</t>
    </r>
  </si>
  <si>
    <t xml:space="preserve">  Groups now sort by position size: NVDA appears before AMKR because a 10% bad day costs about $7,800 on NVDA versus $340 on AMKR.</t>
  </si>
  <si>
    <t xml:space="preserve">- AMKR is down 27.26% - an older wound on the book, not damage from the Jul 28 selloff (unlike MU, which recovered to close +35.89% at $820.53).</t>
  </si>
  <si>
    <t xml:space="preserve">  Weekly audit re-based 57 market caps to verified share counts; AMKR's was one of the largest fixes, revised +37%.</t>
  </si>
  <si>
    <r>
      <rPr>
        <sz val="10"/>
        <color rgb="FF000000"/>
        <rFont val="Arial"/>
        <family val="0"/>
        <charset val="1"/>
      </rPr>
      <t xml:space="preserve">  Portfolio already owns ~$57K of AMAT/LRCX/KLAC/ASML/TER - the equipment line of a memory maker's costs (40-50% of leading-edge DRAM cost of goods).
</t>
    </r>
    <r>
      <rPr>
        <sz val="10"/>
        <color rgb="FFC00000"/>
        <rFont val="Arial"/>
        <family val="0"/>
        <charset val="1"/>
      </rPr>
      <t xml:space="preserve">- Adding Tokyo materials names would add correlation, not diversification - same cycle as the equipment names, thinner margins, extra FX.
</t>
    </r>
    <r>
      <rPr>
        <sz val="10"/>
        <color rgb="FF000000"/>
        <rFont val="Arial"/>
        <family val="0"/>
        <charset val="1"/>
      </rPr>
      <t xml:space="preserve">  Chips Manufacturing group cleaned up: five cybersecurity names split out, leaving ASML/LRCX/AMAT/KLAC/AMKR as a pure foundry/equipment group.</t>
    </r>
  </si>
  <si>
    <r>
      <rPr>
        <b val="true"/>
        <sz val="10"/>
        <color rgb="FFC00000"/>
        <rFont val="Arial"/>
        <family val="0"/>
        <charset val="1"/>
      </rPr>
      <t xml:space="preserve">RED FLAG: Do not add ASML above $1,450: the July 27 report of Shanghai achieving immersion-DUV mass production is an unresolved structural threat to its monopoly.
</t>
    </r>
    <r>
      <rPr>
        <sz val="10"/>
        <color rgb="FFC00000"/>
        <rFont val="Arial"/>
        <family val="0"/>
        <charset val="1"/>
      </rPr>
      <t xml:space="preserve">- Down 14% in five sessions yet still expensive: ~50-56x trailing vs a 37.9x five-year average and 61x price-to-free-cash-flow.
- Analyst targets span $885-$2,859 (a 3.2x spread) and all predate the China news; ASML no longer discloses bookings, so forward visibility is gone.
</t>
    </r>
    <r>
      <rPr>
        <sz val="10"/>
        <color rgb="FF000000"/>
        <rFont val="Arial"/>
        <family val="0"/>
        <charset val="1"/>
      </rPr>
      <t xml:space="preserve">  Funding queue revised: MSFT displaces ASML (66% of range, 31.5x forward, sub-10% growth is a worse marginal dollar); ASML waits for new cash.
  Reconciliation scare resolved: ASML is still held (13 shares); a missed row, not a sale - arithmetic proved POEMS carries it at $1,655.26.
</t>
    </r>
    <r>
      <rPr>
        <sz val="10"/>
        <color rgb="FFC00000"/>
        <rFont val="Arial"/>
        <family val="0"/>
        <charset val="1"/>
      </rPr>
      <t xml:space="preserve">- Data caveats: ASML's $21.5K position is among 36 holdings that cannot be auto-priced, and a previously quoted 'live' ASML price had been filled in, not retrieved.</t>
    </r>
  </si>
  <si>
    <t xml:space="preserve">  Cosmetic note only: no freely licensed ASML logo exists, so the dashboard shows a ticker monogram in the same gold-ringed disc.</t>
  </si>
  <si>
    <r>
      <rPr>
        <sz val="10"/>
        <color rgb="FF000000"/>
        <rFont val="Arial"/>
        <family val="0"/>
        <charset val="1"/>
      </rPr>
      <t xml:space="preserve">  Part of the ~$57K semi-equipment holding (AMAT, LRCX, KLAC, ASML, TER) that is effectively the depreciation line of Micron's P&amp;L.
</t>
    </r>
    <r>
      <rPr>
        <sz val="10"/>
        <color rgb="FFC00000"/>
        <rFont val="Arial"/>
        <family val="0"/>
        <charset val="1"/>
      </rPr>
      <t xml:space="preserve">- Adding Tokyo materials names would add correlation, not diversification - same cycle, thinner margins, extra FX on top of the equipment already owned.</t>
    </r>
  </si>
  <si>
    <t xml:space="preserve">  KLAC fundamentals caught up in the Jul 31 post-earnings dashboard refresh; peer set tidied with AEHR and TER proposed to join it in Chips Manufacturing.</t>
  </si>
  <si>
    <t xml:space="preserve">  Semi Equipment is among the book's best groups at +50%, with LRCX one of the names pulling hard.
  Part of the $57K equipment basket that already captures the wafer-demand thesis; a materials add would be a smaller, lower-margin echo of the same bet.</t>
  </si>
  <si>
    <t xml:space="preserve">  Statement checksum caught a transcription error (LRCX 269.60 vs actual 269.61); fixed along with ETN and MU misreads so all broker subtotals tie.</t>
  </si>
  <si>
    <t xml:space="preserve">  No LRCX-specific news; the week's notes covered research on other names.</t>
  </si>
  <si>
    <r>
      <rPr>
        <sz val="10"/>
        <color rgb="FF1E7B34"/>
        <rFont val="Arial"/>
        <family val="0"/>
        <charset val="1"/>
      </rPr>
      <t xml:space="preserve">+ Called the single best trade on the sheet: +187.7% YTD, +51% on the position; Street average target $1,486 implies +75% - though memory cycles cut both ways.
+ Buy plan set: GTC limits for 6 shares at $860 and 6 at $780; a ~$700 third tranche waits on a thesis check; cancel below $650; no buys within 5 days of late-Sept earnings.
</t>
    </r>
    <r>
      <rPr>
        <sz val="10"/>
        <color rgb="FF000000"/>
        <rFont val="Arial"/>
        <family val="0"/>
        <charset val="1"/>
      </rPr>
      <t xml:space="preserve">  Jul 21 fill: bought 2 shares at $921.01; average cost $585.49 on 29.45 shares; MU closed $970.82 (+12.2% day), position +66% unrealized.
</t>
    </r>
    <r>
      <rPr>
        <sz val="10"/>
        <color rgb="FFC00000"/>
        <rFont val="Arial"/>
        <family val="0"/>
        <charset val="1"/>
      </rPr>
      <t xml:space="preserve">- Bear case: SK Hynix and Samsung trade at 5-6x forward vs MU's ~12x - MU has the most multiple to lose if Samsung's yields fix and supply floods.
</t>
    </r>
    <r>
      <rPr>
        <sz val="10"/>
        <color rgb="FF000000"/>
        <rFont val="Arial"/>
        <family val="0"/>
        <charset val="1"/>
      </rPr>
      <t xml:space="preserve">  Spreadsheet fix: MU cost is $50 too high - row 61 carries a $58.56 commission vs the normal $8.56; correcting it ties MU to POEMS exactly.
  SK hynix added to the watchlist beside MU as a cross-check; SKHY is cheaper on every multiple but Korea-listed - MU stays the executable play.</t>
    </r>
  </si>
  <si>
    <r>
      <rPr>
        <sz val="10"/>
        <color rgb="FF1E7B34"/>
        <rFont val="Arial"/>
        <family val="0"/>
        <charset val="1"/>
      </rPr>
      <t xml:space="preserve">+ Dad's preferred pick MU triggered: fell to $869, ~3.5% under his $900 buy-below limit and ~12% off last week's ~$990. Recommendation: Buy MU today. Conviction: High.
</t>
    </r>
    <r>
      <rPr>
        <sz val="10"/>
        <color rgb="FF000000"/>
        <rFont val="Arial"/>
        <family val="0"/>
        <charset val="1"/>
      </rPr>
      <t xml:space="preserve">  Fill booked: 2 shares at $869.16 on Jul 28; average cost $603.80 on 31.45 shares; cash reconciled to the cent including a $39.18 ORCL dividend.
</t>
    </r>
    <r>
      <rPr>
        <b val="true"/>
        <sz val="10"/>
        <color rgb="FFC00000"/>
        <rFont val="Arial"/>
        <family val="0"/>
        <charset val="1"/>
      </rPr>
      <t xml:space="preserve">RED FLAG: Jul 28 memory crash: KOSPI -10.84% with a circuit breaker, SK Hynix -14.65%, MU -9.75% intraday on China CXMT supply fears; MU recovered to close at $820.53.
</t>
    </r>
    <r>
      <rPr>
        <sz val="10"/>
        <color rgb="FFC00000"/>
        <rFont val="Arial"/>
        <family val="0"/>
        <charset val="1"/>
      </rPr>
      <t xml:space="preserve">- Warning: MU's 167% revenue growth and 55.9% net margin are unsustainable, with CXMT bringing state-backed capacity; the +34.6% gain is real but unrealized.
</t>
    </r>
    <r>
      <rPr>
        <sz val="10"/>
        <color rgb="FF000000"/>
        <rFont val="Arial"/>
        <family val="0"/>
        <charset val="1"/>
      </rPr>
      <t xml:space="preserve">  Second add logged Aug 1: 2 shares at $828.63 ($1,665.81) - now 33.45 shares at $617.50 average, ~+$6,875 unrealized, $9,344.71 of MU budget left.
  Advice: don't buy SKHY; for more memory-cycle exposure add to MU or open STX - same thesis without the ~20% toll.</t>
    </r>
  </si>
  <si>
    <r>
      <rPr>
        <sz val="10"/>
        <color rgb="FFC00000"/>
        <rFont val="Arial"/>
        <family val="0"/>
        <charset val="1"/>
      </rPr>
      <t xml:space="preserve">- Stance shifted to 'Hold, don't add': MU's 5.7x forward multiple is a cycle-peak signal, not a bargain. Conviction: Medium-High.
- Cycle-top shape: up 179% YTD yet down 35% from the June high; ~85% gross margin near record while CXMT adds DRAM capacity and Micron commits $250bn+ of plants through 2035.
</t>
    </r>
    <r>
      <rPr>
        <sz val="10"/>
        <color rgb="FF1E7B34"/>
        <rFont val="Arial"/>
        <family val="0"/>
        <charset val="1"/>
      </rPr>
      <t xml:space="preserve">+ MU rose 5.8% in the Aug 4 memory rally and is the book's third-best performer at +34% - fine business, just not a buy today.
</t>
    </r>
    <r>
      <rPr>
        <sz val="10"/>
        <color rgb="FF000000"/>
        <rFont val="Arial"/>
        <family val="0"/>
        <charset val="1"/>
      </rPr>
      <t xml:space="preserve">  MU is the closest name to Dad's buy limit (+8.8% away) - which is precisely what makes it dangerous at this point in the cycle.</t>
    </r>
  </si>
  <si>
    <r>
      <rPr>
        <sz val="10"/>
        <color rgb="FF000000"/>
        <rFont val="Arial"/>
        <family val="0"/>
        <charset val="1"/>
      </rPr>
      <t xml:space="preserve">  SK Hynix added beside Micron in Memory &amp; Storage via its Korean listing (KRX 000660) at 1,836,000 won - no liquid US listing, so its column reads in won.
</t>
    </r>
    <r>
      <rPr>
        <sz val="10"/>
        <color rgb="FF1E7B34"/>
        <rFont val="Arial"/>
        <family val="0"/>
        <charset val="1"/>
      </rPr>
      <t xml:space="preserve">+ It holds ~50% of the HBM memory market yet trades at 4.8x forward - a turn cheaper than Micron on every multiple; Micron stays the executable play, SK Hynix the cross-check.</t>
    </r>
  </si>
  <si>
    <r>
      <rPr>
        <b val="true"/>
        <sz val="10"/>
        <color rgb="FFC00000"/>
        <rFont val="Arial"/>
        <family val="0"/>
        <charset val="1"/>
      </rPr>
      <t xml:space="preserve">RED FLAG: Memory crash Jul 28: KOSPI closed -10.84% with a circuit breaker and SK Hynix fell 14.65% in Seoul; advisor: do not touch SKHY hours before its Q2 report.
</t>
    </r>
    <r>
      <rPr>
        <sz val="10"/>
        <color rgb="FFC00000"/>
        <rFont val="Arial"/>
        <family val="0"/>
        <charset val="1"/>
      </rPr>
      <t xml:space="preserve">- The US shares trade ~33% above Seoul parity ($128.77 vs $96.58 of underlying value) and the conversion quota is exhausted - the premium can only compress.
- Q2 actually missed on revenue and operating profit; headline profit was inflated by a one-off Kioxia gain, and the 'cheap' 4.88x forward P/E is a classic peak-cycle trap.
- Verdict: don't buy SKHY - express the memory thesis through Micron or Seagate instead of paying the premium toll.
</t>
    </r>
    <r>
      <rPr>
        <sz val="10"/>
        <color rgb="FF000000"/>
        <rFont val="Arial"/>
        <family val="0"/>
        <charset val="1"/>
      </rPr>
      <t xml:space="preserve">  Dad bought anyway: 15 shares at $127.55 average ($1,913.26) against a $10,000 budget; advisor says leave the remaining $8,087 untouched until the premium drops below ~10%.
  Data caveat: SKHY's stored fundamentals (revenue +85%, 4.88x forward) are pre-Q2, stale and flattering; a refresh is wanted before more money goes in.</t>
    </r>
  </si>
  <si>
    <r>
      <rPr>
        <sz val="10"/>
        <color rgb="FF000000"/>
        <rFont val="Arial"/>
        <family val="0"/>
        <charset val="1"/>
      </rPr>
      <t xml:space="preserve">  SanDisk joined the Memory &amp; Storage watchlist; its Rule of 40 score of 202.8 is the second-highest in the entire universe tracked.
</t>
    </r>
    <r>
      <rPr>
        <sz val="10"/>
        <color rgb="FFC00000"/>
        <rFont val="Arial"/>
        <family val="0"/>
        <charset val="1"/>
      </rPr>
      <t xml:space="preserve">- Advisor's warning: that spectacular score is what peak cycle looks like in a commodity - paying an all-time-high price for peak earnings, as a third memory bet, is the trap.
</t>
    </r>
    <r>
      <rPr>
        <sz val="10"/>
        <color rgb="FF000000"/>
        <rFont val="Arial"/>
        <family val="0"/>
        <charset val="1"/>
      </rPr>
      <t xml:space="preserve">  It reports in early August, so buying now means holding a binary event; Amazon was preferred for the week's new money.</t>
    </r>
  </si>
  <si>
    <r>
      <rPr>
        <sz val="10"/>
        <color rgb="FFC00000"/>
        <rFont val="Arial"/>
        <family val="0"/>
        <charset val="1"/>
      </rPr>
      <t xml:space="preserve">- SanDisk was among the memory names hit hardest in the Jul 28 crash - commodity stocks at peak profits took the beating.
</t>
    </r>
    <r>
      <rPr>
        <sz val="10"/>
        <color rgb="FF000000"/>
        <rFont val="Arial"/>
        <family val="0"/>
        <charset val="1"/>
      </rPr>
      <t xml:space="preserve">  Data fixes: its market cap was rescaled (235.37 to 230.94) after a missed share-count adjustment, and its +2,633% rise off the 52-week low broke a chart scale.
  SanDisk's FY2026 results land Aug 5 - one of the near-term events expected to move the memory trade.</t>
    </r>
  </si>
  <si>
    <r>
      <rPr>
        <sz val="10"/>
        <color rgb="FF000000"/>
        <rFont val="Arial"/>
        <family val="0"/>
        <charset val="1"/>
      </rPr>
      <t xml:space="preserve">  The weekly audit re-based SanDisk's market cap upward by 42% - the largest correction among 57 fixes.
</t>
    </r>
    <r>
      <rPr>
        <sz val="10"/>
        <color rgb="FFC00000"/>
        <rFont val="Arial"/>
        <family val="0"/>
        <charset val="1"/>
      </rPr>
      <t xml:space="preserve">- It rallied +8.6% on the Aug 4 memory-chip run; advisor's counsel was not to start a fresh position at the top of a news spike, in the upper half of its yearly range.</t>
    </r>
  </si>
  <si>
    <r>
      <rPr>
        <sz val="10"/>
        <color rgb="FF1E7B34"/>
        <rFont val="Arial"/>
        <family val="0"/>
        <charset val="1"/>
      </rPr>
      <t xml:space="preserve">+ Advice: don't buy SKHY - for more memory-cycle exposure, add to MU or open STX; same thesis without the ~20% toll.
</t>
    </r>
    <r>
      <rPr>
        <sz val="10"/>
        <color rgb="FF000000"/>
        <rFont val="Arial"/>
        <family val="0"/>
        <charset val="1"/>
      </rPr>
      <t xml:space="preserve">  STX confirmed live on the board in Memory &amp; Storage at $747.30, watchlist with no position.
  Data caveat: STX was among 30+ watchlist names found stuck at the Jul 29 close (764.43 stored) during the stale-price audit.</t>
    </r>
  </si>
  <si>
    <r>
      <rPr>
        <sz val="10"/>
        <color rgb="FF000000"/>
        <rFont val="Arial"/>
        <family val="0"/>
        <charset val="1"/>
      </rPr>
      <t xml:space="preserve">  Added to the Memory &amp; Storage watchlist alongside SNDK; Rule of 40 computed at 59.9 (35.2 growth + 24.7 FCF margin).
</t>
    </r>
    <r>
      <rPr>
        <sz val="10"/>
        <color rgb="FFC00000"/>
        <rFont val="Arial"/>
        <family val="0"/>
        <charset val="1"/>
      </rPr>
      <t xml:space="preserve">- Passed over in the buy decision: it reports within a week (a binary event), and it's described as 'SNDK with less upside' - a third memory bet on top of MU and SKHY.</t>
    </r>
  </si>
  <si>
    <r>
      <rPr>
        <sz val="10"/>
        <color rgb="FFC00000"/>
        <rFont val="Arial"/>
        <family val="0"/>
        <charset val="1"/>
      </rPr>
      <t xml:space="preserve">- Hit hard on a memory cycle-fear day alongside MU, SKHY and SNDK - the commodity names with peak profits took the beating while NVDA fell only 1.31%.
</t>
    </r>
    <r>
      <rPr>
        <sz val="10"/>
        <color rgb="FF000000"/>
        <rFont val="Arial"/>
        <family val="0"/>
        <charset val="1"/>
      </rPr>
      <t xml:space="preserve">  Data fix: market cap was never rescaled after a price correction; corrected 189.02 to 202.69 by preserving the implied share count (SNDK had the same bug).</t>
    </r>
  </si>
  <si>
    <t xml:space="preserve">  Weekly audit re-based 57 market caps to verified shares outstanding; WDC was among the largest fixes at +27%.</t>
  </si>
  <si>
    <r>
      <rPr>
        <sz val="10"/>
        <color rgb="FF000000"/>
        <rFont val="Arial"/>
        <family val="0"/>
        <charset val="1"/>
      </rPr>
      <t xml:space="preserve">  AAOI added to the dashboard (58 names); portfolio reconciled to POEMS to the cent: cost $536,988.31, market value $635,013.32, up 18.25%.
  Standard $8.56 POEMS commission applied to the AAOI fill; cost basis will be trued up if the trade confirmation shows a different fee.
</t>
    </r>
    <r>
      <rPr>
        <sz val="10"/>
        <color rgb="FFC00000"/>
        <rFont val="Arial"/>
        <family val="0"/>
        <charset val="1"/>
      </rPr>
      <t xml:space="preserve">- Data flag: the July 2026 CRWD 4-for-1 stock split was never applied to the manual record - the one row behind the reconciliation gap.</t>
    </r>
  </si>
  <si>
    <t xml:space="preserve">  Housekeeping only: the earnings refresh job was moved to 03:00 UTC to clear a 01:00 scheduling pile-up.</t>
  </si>
  <si>
    <r>
      <rPr>
        <sz val="10"/>
        <color rgb="FF1E7B34"/>
        <rFont val="Arial"/>
        <family val="0"/>
        <charset val="1"/>
      </rPr>
      <t xml:space="preserve">+ Bought 10 AAOI shares at $133.00, part of six buys totaling $8,039.48; new cost basis $560,431.70 ties to the POEMS statement to the cent.
+ AAOI jumped 19% in a broad risk-on session; portfolio now $683,857 market value on $560,432 cost, up 22.02%.
</t>
    </r>
    <r>
      <rPr>
        <sz val="10"/>
        <color rgb="FF000000"/>
        <rFont val="Arial"/>
        <family val="0"/>
        <charset val="1"/>
      </rPr>
      <t xml:space="preserve">  COHR added beside AAOI in Photonic &amp; Optic Fiber; AXTI later joined the same group as a watchlist-only name.</t>
    </r>
  </si>
  <si>
    <t xml:space="preserve">  Astera Labs has only 26 analysts, so one real upgrade can move the price 5-10% in a day; per-firm rating alerts need a ~$22-29/month data upgrade the advisor recommends.</t>
  </si>
  <si>
    <r>
      <rPr>
        <sz val="10"/>
        <color rgb="FF000000"/>
        <rFont val="Arial"/>
        <family val="0"/>
        <charset val="1"/>
      </rPr>
      <t xml:space="preserve">  Astera Labs sits in the AI connectivity cluster with Amphenol, Arista, Credo and Lumentum; advisor proposes renaming the group 'Interconnect &amp; Networking'.
</t>
    </r>
    <r>
      <rPr>
        <sz val="10"/>
        <color rgb="FFC00000"/>
        <rFont val="Arial"/>
        <family val="0"/>
        <charset val="1"/>
      </rPr>
      <t xml:space="preserve">- Concentration warning: adding aggressively to Amphenol and Lumentum stacks more money on the same interconnect theme that already includes Astera Labs.</t>
    </r>
  </si>
  <si>
    <t xml:space="preserve">  Cost-basis housekeeping: ANET needs a -$61.83 commission trim (one of six rows totaling $254.14) to tie the spreadsheet to POEMS exactly.</t>
  </si>
  <si>
    <r>
      <rPr>
        <sz val="10"/>
        <color rgb="FF000000"/>
        <rFont val="Arial"/>
        <family val="0"/>
        <charset val="1"/>
      </rPr>
      <t xml:space="preserve">  ANET sits in the AI connectivity cluster with APH, CRDO, LITE and ALAB; group rename to 'Interconnect &amp; Networking' proposed.
</t>
    </r>
    <r>
      <rPr>
        <sz val="10"/>
        <color rgb="FFC00000"/>
        <rFont val="Arial"/>
        <family val="0"/>
        <charset val="1"/>
      </rPr>
      <t xml:space="preserve">- Adding aggressively to APH and LITE would further concentrate the interconnect layer already held via ANET, CRDO and ALAB - the theme is no longer diversifying.</t>
    </r>
  </si>
  <si>
    <t xml:space="preserve">  Mentioned only as a competitive threat: AEC share loss to Amphenol/Marvell is a named risk to the CRDO position; no APH-specific view this week.</t>
  </si>
  <si>
    <r>
      <rPr>
        <sz val="10"/>
        <color rgb="FF1E7B34"/>
        <rFont val="Arial"/>
        <family val="0"/>
        <charset val="1"/>
      </rPr>
      <t xml:space="preserve">+ Buy call: limit $148.50 for ~$1,930; business just accelerated yet trades at 27.4x forward vs its own 5-yr median of 34.3x; consensus target $186 vs $152.60 price.
</t>
    </r>
    <r>
      <rPr>
        <sz val="10"/>
        <color rgb="FFC00000"/>
        <rFont val="Arial"/>
        <family val="0"/>
        <charset val="1"/>
      </rPr>
      <t xml:space="preserve">- Never chase the ~+6% post-earnings gap: if the limit doesn't fill in five sessions with the stock above $150, raise to $152 - do not go to market.
</t>
    </r>
    <r>
      <rPr>
        <sz val="10"/>
        <color rgb="FF000000"/>
        <rFont val="Arial"/>
        <family val="0"/>
        <charset val="1"/>
      </rPr>
      <t xml:space="preserve">  Position is only $2,004 of a $10,000 budget; the buy takes it to ~$3,935, still just 39% deployed - the smallest deployed position vs budget.
</t>
    </r>
    <r>
      <rPr>
        <sz val="10"/>
        <color rgb="FFC00000"/>
        <rFont val="Arial"/>
        <family val="0"/>
        <charset val="1"/>
      </rPr>
      <t xml:space="preserve">- Concentration flag: APH deepens the interconnect layer already held via ANET, CRDO, LITE, ALAB - a fine theme but no longer diversifying.
</t>
    </r>
    <r>
      <rPr>
        <sz val="10"/>
        <color rgb="FF000000"/>
        <rFont val="Arial"/>
        <family val="0"/>
        <charset val="1"/>
      </rPr>
      <t xml:space="preserve">  By Jul 30 the $148.50 limit hadn't filled (stock $150.31); META at 17.75x forward judged a better use of the $2,000 than APH at 29.8x.</t>
    </r>
  </si>
  <si>
    <r>
      <rPr>
        <sz val="10"/>
        <color rgb="FF000000"/>
        <rFont val="Arial"/>
        <family val="0"/>
        <charset val="1"/>
      </rPr>
      <t xml:space="preserve">  AXTI added as the 126th dashboard name in Photonic &amp; Optic Fiber at the Aug 5 close of $68.61 - watchlist only, no position, no budget.
</t>
    </r>
    <r>
      <rPr>
        <sz val="10"/>
        <color rgb="FF1E7B34"/>
        <rFont val="Arial"/>
        <family val="0"/>
        <charset val="1"/>
      </rPr>
      <t xml:space="preserve">+ Q2 (Jul 30) was a large beat: adjusted EPS $0.19 vs $0.07 expected, gross margin up to 44.9%; 2026 estimates: revenue $217.98M (+147%), EPS $0.87.
+ Jul 29 supply deal with Lumentum (LITE) through 2031: $43.5M upfront plus $43.5M in 2028, $87M total, prepaid as credits against reserved wafer capacity.
</t>
    </r>
    <r>
      <rPr>
        <b val="true"/>
        <sz val="10"/>
        <color rgb="FFC00000"/>
        <rFont val="Arial"/>
        <family val="0"/>
        <charset val="1"/>
      </rPr>
      <t xml:space="preserve">RED FLAG: Warning: subsidiary Beijing Tongmei withdrew its Shanghai IPO (Jul 8), triggering ~US$49M redemption rights held by eleven PE funds; company says funds suffice.
</t>
    </r>
    <r>
      <rPr>
        <sz val="10"/>
        <color rgb="FFC00000"/>
        <rFont val="Arial"/>
        <family val="0"/>
        <charset val="1"/>
      </rPr>
      <t xml:space="preserve">- Risks: 17.27% short interest, negative free cash flow (-$27.98M TTM), beta 1.97, and the stock trades ~52% below its May high.
- Analyst view is thin and split (5 analysts): targets $55-$125 with Buy vs Hold ratings; P/E of 957 will distort the dashboard's chart scales.
</t>
    </r>
    <r>
      <rPr>
        <sz val="10"/>
        <color rgb="FF000000"/>
        <rFont val="Arial"/>
        <family val="0"/>
        <charset val="1"/>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</si>
  <si>
    <r>
      <rPr>
        <sz val="10"/>
        <color rgb="FF000000"/>
        <rFont val="Arial"/>
        <family val="0"/>
        <charset val="1"/>
      </rPr>
      <t xml:space="preserve">  Bought 4 COHR shares at $330.00 as part of six overnight buys totaling $8,039.48; new cost basis $560,431.70 ties POEMS to the cent.
</t>
    </r>
    <r>
      <rPr>
        <sz val="10"/>
        <color rgb="FF1E7B34"/>
        <rFont val="Arial"/>
        <family val="0"/>
        <charset val="1"/>
      </rPr>
      <t xml:space="preserve">+ COHR jumped 12.35% on Aug 4 on news the FCC is drafting a ban on imports of new Chinese optical transceivers - share would go directly to COHR.
</t>
    </r>
    <r>
      <rPr>
        <sz val="10"/>
        <color rgb="FFC00000"/>
        <rFont val="Arial"/>
        <family val="0"/>
        <charset val="1"/>
      </rPr>
      <t xml:space="preserve">- Calendar risk: COHR reports earnings Aug 12 and is violently volatile - it went $440 to $222 to $324 in nine weeks.
</t>
    </r>
    <r>
      <rPr>
        <sz val="10"/>
        <color rgb="FF000000"/>
        <rFont val="Arial"/>
        <family val="0"/>
        <charset val="1"/>
      </rPr>
      <t xml:space="preserve">  AXTI added beside COHR in Photonic &amp; Optic Fiber; AXT supplies the substrate wafers under the optical parts COHR and LITE build.</t>
    </r>
  </si>
  <si>
    <r>
      <rPr>
        <sz val="10"/>
        <color rgb="FF1E7B34"/>
        <rFont val="Arial"/>
        <family val="0"/>
        <charset val="1"/>
      </rPr>
      <t xml:space="preserve">+ Top buy pick, Medium-High conviction, 6-24 month horizon: -27.5% off its high with Rule of 40 of 236 and PEG 0.73 - the book's fastest fundamental compounder.
+ Only one of five candidates with no earnings inside six weeks, plus the most pre-approved budget room ($7,299); diversifies within AI infra.
</t>
    </r>
    <r>
      <rPr>
        <sz val="10"/>
        <color rgb="FF000000"/>
        <rFont val="Arial"/>
        <family val="0"/>
        <charset val="1"/>
      </rPr>
      <t xml:space="preserve">  Execution: GTC limit $220-222 (close $223.87, don't chase), tranche 1 of ~16 shares (~$3,550), keep the rest for a dip toward $205.
</t>
    </r>
    <r>
      <rPr>
        <sz val="10"/>
        <color rgb="FFC00000"/>
        <rFont val="Arial"/>
        <family val="0"/>
        <charset val="1"/>
      </rPr>
      <t xml:space="preserve">- Kill switches: hyperscaler capex disappointment in AMZN/MSFT/META guides, or AEC cable share loss to Marvell/Amphenol in the next print.
</t>
    </r>
    <r>
      <rPr>
        <sz val="10"/>
        <color rgb="FF000000"/>
        <rFont val="Arial"/>
        <family val="0"/>
        <charset val="1"/>
      </rPr>
      <t xml:space="preserve">  Only 19 analysts cover it, so one firm's rating change can move the price 5-10% in a day; per-firm alerts need the paid FMP tier (~$22-29/month).
</t>
    </r>
    <r>
      <rPr>
        <sz val="10"/>
        <color rgb="FFC00000"/>
        <rFont val="Arial"/>
        <family val="0"/>
        <charset val="1"/>
      </rPr>
      <t xml:space="preserve">- Fails Dad's new deep-value screens (P/FCF &lt;=10, EV/EBITDA &lt;10) - those gates permanently exclude growth names; decide which game each name plays before buying.</t>
    </r>
  </si>
  <si>
    <r>
      <rPr>
        <sz val="10"/>
        <color rgb="FF000000"/>
        <rFont val="Arial"/>
        <family val="0"/>
        <charset val="1"/>
      </rPr>
      <t xml:space="preserve">  Sits in the AI connectivity cluster with ANET, LITE, ALAB and now APH; advisor proposed renaming the group 'Interconnect &amp; Networking'.
</t>
    </r>
    <r>
      <rPr>
        <sz val="10"/>
        <color rgb="FFC00000"/>
        <rFont val="Arial"/>
        <family val="0"/>
        <charset val="1"/>
      </rPr>
      <t xml:space="preserve">- Adding APH and LITE aggressively concentrates the interconnect layer already held via ANET, CRDO and ALAB - no longer a diversifying theme.</t>
    </r>
  </si>
  <si>
    <r>
      <rPr>
        <sz val="10"/>
        <color rgb="FF000000"/>
        <rFont val="Arial"/>
        <family val="0"/>
        <charset val="1"/>
      </rPr>
      <t xml:space="preserve">  FN (Fabrinet) added as a watchlist name in Photonic &amp; Optic Fiber alongside GLW - no budget or position.
</t>
    </r>
    <r>
      <rPr>
        <sz val="10"/>
        <color rgb="FF1E7B34"/>
        <rFont val="Arial"/>
        <family val="0"/>
        <charset val="1"/>
      </rPr>
      <t xml:space="preserve">+ FN is the quality operator: ROIC 30%, revenue +35%, Street average target $749 is +52% above the $494 price after a -34% drawdown; only 9 analysts cover it.</t>
    </r>
  </si>
  <si>
    <t xml:space="preserve">  Data caveat: FN's dashboard price held at the Jul 28 close - no verified fresh close available in the Jul 31 refresh.</t>
  </si>
  <si>
    <r>
      <rPr>
        <sz val="10"/>
        <color rgb="FF000000"/>
        <rFont val="Arial"/>
        <family val="0"/>
        <charset val="1"/>
      </rPr>
      <t xml:space="preserve">  Bought 3 FN shares at $532.00 in the six-buy batch; fills reverse-engineered to clean limit prices with the standard $8.56 POEMS commission.
</t>
    </r>
    <r>
      <rPr>
        <sz val="10"/>
        <color rgb="FF1E7B34"/>
        <rFont val="Arial"/>
        <family val="0"/>
        <charset val="1"/>
      </rPr>
      <t xml:space="preserve">+ FN rose 16% in the Aug 4 risk-on session, one of the day's biggest movers in the book.</t>
    </r>
  </si>
  <si>
    <t xml:space="preserve">  GLW (Corning) and FN (Fabrinet) were added as Photonic &amp; Optic Fiber watchlist names — stalked, not owned, with no budget or position.
  GLW is 'the puzzle': 74x trailing earnings for a glass company, down 44% from its high, yet analysts still see +39% upside on the optical-fiber-for-AI-datacenters story.</t>
  </si>
  <si>
    <t xml:space="preserve">  On the Jul 31 refresh GLW was held at its Jul 30 close because the Jul 31 print could not be verified.</t>
  </si>
  <si>
    <t xml:space="preserve">  Housekeeping: LITE's small intraday price drift refreshed alongside ETN, MPWR and ZETA; bookings confirmed clean.</t>
  </si>
  <si>
    <r>
      <rPr>
        <sz val="10"/>
        <color rgb="FFC00000"/>
        <rFont val="Arial"/>
        <family val="0"/>
        <charset val="1"/>
      </rPr>
      <t xml:space="preserve">- Do not buy yet: 114.7x trailing / 37.8x forward, down 21% in three sessions, earnings Aug 11, and insiders sold $38.9M with zero buying.
- Fundamentals under the 69% revenue growth are thin: $0.11B free cash flow on $2.49B revenue (566x P/FCF), EV/EBITDA 127x, debt/equity 1.11.
</t>
    </r>
    <r>
      <rPr>
        <sz val="10"/>
        <color rgb="FF000000"/>
        <rFont val="Arial"/>
        <family val="0"/>
        <charset val="1"/>
      </rPr>
      <t xml:space="preserve">  Queue plan: LITE last at $530 or below (~$3,700), gated on the Aug 11 print; likely unfunded this cycle as the lowest-quality balance sheet of the group.
  What changes the view: free cash flow inflecting above ~$400M annualized would convert LITE from a story into a business (Rule of 40 at 73.6 is genuinely excellent).
</t>
    </r>
    <r>
      <rPr>
        <sz val="10"/>
        <color rgb="FFC00000"/>
        <rFont val="Arial"/>
        <family val="0"/>
        <charset val="1"/>
      </rPr>
      <t xml:space="preserve">- Concentration flag: LITE and APH share a group with ANET, CRDO and ALAB - adding aggressively to both deepens interconnect-layer exposure.</t>
    </r>
  </si>
  <si>
    <r>
      <rPr>
        <sz val="10"/>
        <color rgb="FFC00000"/>
        <rFont val="Arial"/>
        <family val="0"/>
        <charset val="1"/>
      </rPr>
      <t xml:space="preserve">- LITE +7.4% (up to 14% intraday) on a report of draft US rules banning Chinese optical parts - nothing signed; better to buy on a quiet day than a rumour day.
</t>
    </r>
    <r>
      <rPr>
        <sz val="10"/>
        <color rgb="FF000000"/>
        <rFont val="Arial"/>
        <family val="0"/>
        <charset val="1"/>
      </rPr>
      <t xml:space="preserve">  Bought 2 LITE at $854.68 among six overnight buys totaling $8,039.48; new cost basis $560,431.70 ties to POEMS to the cent.
  Supplier AXT signed an $87M prepaid wafer-capacity deal with Lumentum through 2031; COHR joined the same group and reports Aug 12 (a violently volatile stock).</t>
    </r>
  </si>
  <si>
    <r>
      <rPr>
        <sz val="10"/>
        <color rgb="FF000000"/>
        <rFont val="Arial"/>
        <family val="0"/>
        <charset val="1"/>
      </rPr>
      <t xml:space="preserve">  LWLG (Lightwave Logic) added to Photonic &amp; Optic Fiber at $7.27, confirmed by five sources (one history table wrongly said $7.73).
</t>
    </r>
    <r>
      <rPr>
        <sz val="10"/>
        <color rgb="FFC00000"/>
        <rFont val="Arial"/>
        <family val="0"/>
        <charset val="1"/>
      </rPr>
      <t xml:space="preserve">- It is effectively pre-revenue: $243,105 of trailing revenue against a $1.12B market value - 5,040x sales, versus 855x for POET, the board's previous most expensive name.
- Zero sell-side coverage - no analyst targets exist, so fair-value fields are blank; verdict: lottery ticket, do not buy.
</t>
    </r>
    <r>
      <rPr>
        <sz val="10"/>
        <color rgb="FF000000"/>
        <rFont val="Arial"/>
        <family val="0"/>
        <charset val="1"/>
      </rPr>
      <t xml:space="preserve">  Funding: $100M cash post-ATM against ~$4.1M quarterly burn, guided through Dec 2027 - but share count has grown 112M to 154M on an ATM programme raised to a $51.4M limit.
  Q2 earnings are company-confirmed for Aug 11 - five days after listing on the board.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</si>
  <si>
    <t xml:space="preserve">  POET not yet on the dashboard: the handwritten note asks to add it to Photonic, but the FMP data feed was down, so the entry awaits creation and backfill.</t>
  </si>
  <si>
    <r>
      <rPr>
        <sz val="10"/>
        <color rgb="FF000000"/>
        <rFont val="Arial"/>
        <family val="0"/>
        <charset val="1"/>
      </rPr>
      <t xml:space="preserve">  POET added to Photonic &amp; Optic Fiber per the handwritten note; the board reached 110 names, all priced at the Jul 31 close.
</t>
    </r>
    <r>
      <rPr>
        <sz val="10"/>
        <color rgb="FFC00000"/>
        <rFont val="Arial"/>
        <family val="0"/>
        <charset val="1"/>
      </rPr>
      <t xml:space="preserve">- POET has zero analyst coverage, so no fair-value ladder; its 854x price-to-sales and 100% gross margin are artifacts of ~$1.4M revenue - treat both as noise.
</t>
    </r>
    <r>
      <rPr>
        <sz val="10"/>
        <color rgb="FF000000"/>
        <rFont val="Arial"/>
        <family val="0"/>
        <charset val="1"/>
      </rPr>
      <t xml:space="preserve">  Data caveats: POET's year-to-date column is blank (free source serves only ~10 weeks of history); a chart crash on pre-revenue names like POET was found and fixed.</t>
    </r>
  </si>
  <si>
    <t xml:space="preserve">  AMPX was slotted into the Energy group, but with the FMP data feed down its price, market cap, 52-week range and fundamentals could not be pulled yet.
  Options offered: add AMPX and POET as empty entries now and backfill when the data feed returns, or wait.</t>
  </si>
  <si>
    <r>
      <rPr>
        <sz val="10"/>
        <color rgb="FF000000"/>
        <rFont val="Arial"/>
        <family val="0"/>
        <charset val="1"/>
      </rPr>
      <t xml:space="preserve">  AMPX (Amprius) is now on the board in Energy, verified at the Jul 31 close, added alongside POET and NOK.
</t>
    </r>
    <r>
      <rPr>
        <sz val="10"/>
        <color rgb="FFC00000"/>
        <rFont val="Arial"/>
        <family val="0"/>
        <charset val="1"/>
      </rPr>
      <t xml:space="preserve">- Year-to-date figures for AMPX, POET and NOK are blank: the free price source only serves about ten weeks of history; the rest of their card data is real.
</t>
    </r>
    <r>
      <rPr>
        <sz val="10"/>
        <color rgb="FF000000"/>
        <rFont val="Arial"/>
        <family val="0"/>
        <charset val="1"/>
      </rPr>
      <t xml:space="preserve">  Dashboard search now matches company names, so typing 'amprius' finds AMPX without knowing the ticker.</t>
    </r>
  </si>
  <si>
    <t xml:space="preserve">  ENPH: a profitable solar-inverter leader down 50%, caught in the US solar-subsidy rollback; at 18x forward it carries a recovery option if residential solar stabilizes.</t>
  </si>
  <si>
    <r>
      <rPr>
        <sz val="10"/>
        <color rgb="FFC00000"/>
        <rFont val="Arial"/>
        <family val="0"/>
        <charset val="1"/>
      </rPr>
      <t xml:space="preserve">- Grouped with speculative energy names having essentially no profits and little revenue; valuation columns blank - a thematic call option to be position-sized like a venture bet.
</t>
    </r>
    <r>
      <rPr>
        <sz val="10"/>
        <color rgb="FF000000"/>
        <rFont val="Arial"/>
        <family val="0"/>
        <charset val="1"/>
      </rPr>
      <t xml:space="preserve">  On the list of 16 watchlist names proposed as no-position dashboard columns with reserved budgets.</t>
    </r>
  </si>
  <si>
    <r>
      <rPr>
        <b val="true"/>
        <sz val="10"/>
        <color rgb="FFC00000"/>
        <rFont val="Arial"/>
        <family val="0"/>
        <charset val="1"/>
      </rPr>
      <t xml:space="preserve">RED FLAG: Price data broken: a source printed a 3.17 close below its own 3.22 daily low and served a stale Jul 30 price; verified $3.38 close via two independent sources.
</t>
    </r>
    <r>
      <rPr>
        <sz val="10"/>
        <color rgb="FFC00000"/>
        <rFont val="Arial"/>
        <family val="0"/>
        <charset val="1"/>
      </rPr>
      <t xml:space="preserve">- One of four watchlist names sitting outside its own 52-week band on suspect data; left at the older verified price rather than bake in a bad print.</t>
    </r>
  </si>
  <si>
    <t xml:space="preserve">  No EOSE-specific commentary this week.</t>
  </si>
  <si>
    <r>
      <rPr>
        <sz val="10"/>
        <color rgb="FF000000"/>
        <rFont val="Arial"/>
        <family val="0"/>
        <charset val="1"/>
      </rPr>
      <t xml:space="preserve">  FSLR (First Solar) added to Energy at the Aug 7 close $250.05. The largest US solar-panel maker (thin-film technology) and a winner from US tariffs on foreign solar. Watchlist only.
</t>
    </r>
    <r>
      <rPr>
        <sz val="10"/>
        <color rgb="FF1E7B34"/>
        <rFont val="Arial"/>
        <family val="0"/>
        <charset val="1"/>
      </rPr>
      <t xml:space="preserve">+ High quality and cheap: revenue $5.4B (+24%), 32% net margin, EPS $16.22 (+39%), 21% return on capital, $1.5B cash flow, almost no debt. Only 15x earnings (12x forward), PEG 0.56.
+ Q2 beat handily ($3.92 vs $3.01); 45 GW / $13.6B backlog booked through 2030; passed 100 GW of lifetime sales. 35 analysts rate it Buy, avg target ~$255.
</t>
    </r>
    <r>
      <rPr>
        <sz val="10"/>
        <color rgb="FFC00000"/>
        <rFont val="Arial"/>
        <family val="0"/>
        <charset val="1"/>
      </rPr>
      <t xml:space="preserve">- Near-term growth is slowing - next year's revenue is guided slightly DOWN despite the strong trailing year - and tariff uncertainty costs ~$30M a quarter. Stock is $250 vs a $321 high.
</t>
    </r>
    <r>
      <rPr>
        <sz val="10"/>
        <color rgb="FF000000"/>
        <rFont val="Arial"/>
        <family val="0"/>
        <charset val="1"/>
      </rPr>
      <t xml:space="preserve">  (new, not yet condensed) Aug 8 batch. Added FSLR (First Solar, NASDAQ) to Energy at the Aug 7, 2026 close 250.05 (+2.42%), stamp 'At close: Aug 7, 2026, 4:00 PM EDT', second-sourced by MarketBeat. Watchlist only. First Solar is the largest US solar manufacturer (cadmium-telluride thin-film panels) and a policy winner from ...</t>
    </r>
  </si>
  <si>
    <t xml:space="preserve">  Tesla sits among the book's losers; advisor would not sell it just to raise cash - that is a separate thesis decision. It is grouped under industrial Robotic/Automation/EV.</t>
  </si>
  <si>
    <t xml:space="preserve">- Tesla is down 28.6% - flagged as one of the book's old wounds, not damage from the Jul 28 memory crash.</t>
  </si>
  <si>
    <t xml:space="preserve">  The weekly audit re-based Tesla's market cap up 18% to verified share counts; on the portfolio wheel it still shows a red (loss) band.
  Moved from Robotic/Automation/EV to the Energy group (we own 10 shares, cost $4,305, budget $10,000). Its energy-storage business is the part that fits 'Energy'; position unchanged.
  (new, not yet condensed) Aug 8 batch. Added FSLR (First Solar, NASDAQ) to Energy at the Aug 7, 2026 close 250.05 (+2.42%), stamp 'At close: Aug 7, 2026, 4:00 PM EDT', second-sourced by MarketBeat. Watchlist only. First Solar is the largest US solar manufacturer (cadmium-telluride thin-film panels) and a policy winner from ...</t>
  </si>
  <si>
    <t xml:space="preserve">  Housekeeping: the handwritten grouping note's 'CONX' was transcribed as CGNX while rebuilding the portfolio groups.</t>
  </si>
  <si>
    <r>
      <rPr>
        <sz val="10"/>
        <color rgb="FFC00000"/>
        <rFont val="Arial"/>
        <family val="0"/>
        <charset val="1"/>
      </rPr>
      <t xml:space="preserve">- ISRG is the biggest percentage loser: 33 shares at $438.94 cost vs ~$332 now, -24.4% (-$3,528); down ~30% YTD after an 11-12% drop on its Jul 16 report.
- Risks: decelerating procedures, GLP-1/ACA demand pressure, the 2027 instrument-life extension cutting high-margin recurring revenue, and J&amp;J/Medtronic robots arriving.
</t>
    </r>
    <r>
      <rPr>
        <sz val="10"/>
        <color rgb="FF1E7B34"/>
        <rFont val="Arial"/>
        <family val="0"/>
        <charset val="1"/>
      </rPr>
      <t xml:space="preserve">+ The quality is intact: 70% gross and 42% operating margins, an 11,710-system installed base, the da Vinci 5 ramp and a recurring razor-blade model.
+ The 30% de-rating leaves ISRG at ~29.5x forward earnings, already under dad's 40x ceiling — the valuation gate is met on both trailing and forward numbers.
</t>
    </r>
    <r>
      <rPr>
        <sz val="10"/>
        <color rgb="FF000000"/>
        <rFont val="Arial"/>
        <family val="0"/>
        <charset val="1"/>
      </rPr>
      <t xml:space="preserve">  An add alert is live: it fires at $300 or below (~27x forward there); do not chase at $337 after the +1.7% pop. A 5-share ISRG add was made this week.</t>
    </r>
  </si>
  <si>
    <r>
      <rPr>
        <sz val="10"/>
        <color rgb="FF000000"/>
        <rFont val="Arial"/>
        <family val="0"/>
        <charset val="1"/>
      </rPr>
      <t xml:space="preserve">  ISRG is the closest name to its buy limit — only a 5.6-6.5% pullback from triggering, and drifting toward it; nothing on the buy list has triggered yet.
</t>
    </r>
    <r>
      <rPr>
        <b val="true"/>
        <sz val="10"/>
        <color rgb="FFC00000"/>
        <rFont val="Arial"/>
        <family val="0"/>
        <charset val="1"/>
      </rPr>
      <t xml:space="preserve">RED FLAG: Data integrity admission: 'live' prices quoted for ten names included five (MPWR, TSM, ISRG, ASML, MU) never actually looked up; four were wrong and have been corrected.</t>
    </r>
  </si>
  <si>
    <t xml:space="preserve">  BOUGHT 5 more ISRG @ $377.60 on Aug 7 (order 368452) near the 52-week low. Position now 38 shares, cost $16,382, avg $431; budget 82% used. Cash after ~$11,327 (real POEMS balance $13,224 less the buy).
  (new, not yet condensed) Aug 7 fill: BUY ISRG 5 sh @ 377.595 (order 368452, Today's Orders screen, Aug 7 2026 11:04 PM BKK / 11:04 AM ET). Position set to 33 -&gt; 38 sh; cost 14,485.14 -&gt; 16,381.68 (added gross 1,887.98 plus 8.56 commission per the standard rule that POS cost includes commission while the TRADES amount ...</t>
  </si>
  <si>
    <t xml:space="preserve">  OUST (Ouster, lidar) was added to the Robotic group as a watchlist name.
  It is a high-beta, pre-profit lidar play with a -30% net margin, but carries a Strong Buy rating and +34% upside to target — the speculative end of the automation theme.</t>
  </si>
  <si>
    <t xml:space="preserve">  ROK (Rockwell Automation) joined the Robotic watchlist: a profitable industrial-automation blue chip (27% ROE, +7% revenue) trading right at its $474 target, little upside.</t>
  </si>
  <si>
    <t xml:space="preserve">  Data check: ROK's quote-page close exceeded the history row's own stated daily high — proof the history table shows partial-day snapshots, so quote-page closes are used.</t>
  </si>
  <si>
    <t xml:space="preserve">  Part of the ~$57K semi-equipment basket that is effectively the depreciation line of Micron's P&amp;L; Teradyne included in that thesis.
  Cost-basis cleanup: TER needs a -$118.25 trim, the odd one out - a price-level difference on a lot, worth checking against the broker confirmation first.</t>
  </si>
  <si>
    <r>
      <rPr>
        <sz val="10"/>
        <color rgb="FF000000"/>
        <rFont val="Arial"/>
        <family val="0"/>
        <charset val="1"/>
      </rPr>
      <t xml:space="preserve">  Flagged as misfiled in Robotic/Automation/EV: revenue is overwhelmingly semiconductor test, so it should move to Chips Manufacturing with its true peers.
</t>
    </r>
    <r>
      <rPr>
        <sz val="10"/>
        <color rgb="FF1E7B34"/>
        <rFont val="Arial"/>
        <family val="0"/>
        <charset val="1"/>
      </rPr>
      <t xml:space="preserve">+ On the AEHR question: Dad already owns the wafer-level burn-in theme more safely through TER and AMAT - no need to pay ~88x forward for AEHR.</t>
    </r>
  </si>
  <si>
    <t xml:space="preserve">  ASTS added to the dashboard as a watchlist column in the Space group beside RKLB and SpaceX; no position or budget.
  Groups reorganized: Space (RKLB/ASTS/SpaceX) split from Drone &amp; Defense, and columns now sort by position size so biggest risks appear first.</t>
  </si>
  <si>
    <t xml:space="preserve">- Data caveat: the quote page served an 18-day-old ASTS snapshot with no staleness warning; the current history-table price of $59.02 was used instead.
- ASTS is the only name of the 60 refreshed that rests on a single source; everything else has at least two.</t>
  </si>
  <si>
    <r>
      <rPr>
        <sz val="10"/>
        <color rgb="FF000000"/>
        <rFont val="Arial"/>
        <family val="0"/>
        <charset val="1"/>
      </rPr>
      <t xml:space="preserve">  LUNR (Intuitive Machines) was added to the Space group, bringing the board to 97 tickers.
</t>
    </r>
    <r>
      <rPr>
        <sz val="10"/>
        <color rgb="FF1E7B34"/>
        <rFont val="Arial"/>
        <family val="0"/>
        <charset val="1"/>
      </rPr>
      <t xml:space="preserve">+ The cleaner speculative story: a NASA-contracted lunar-lander with +54% revenue growth and a big analyst gap — $41 average target vs $12.92 price (+216% implied).
</t>
    </r>
    <r>
      <rPr>
        <sz val="10"/>
        <color rgb="FFC00000"/>
        <rFont val="Arial"/>
        <family val="0"/>
        <charset val="1"/>
      </rPr>
      <t xml:space="preserve">- It is still burning cash and down 72% from its high — a sized-to-lose space bet next to RKLB, ASTS and SPCX.</t>
    </r>
  </si>
  <si>
    <r>
      <rPr>
        <sz val="10"/>
        <color rgb="FF000000"/>
        <rFont val="Arial"/>
        <family val="0"/>
        <charset val="1"/>
      </rPr>
      <t xml:space="preserve">  Planet Labs added to the Space group at $22.83, watchlist only, no money in it.
</t>
    </r>
    <r>
      <rPr>
        <sz val="10"/>
        <color rgb="FFC00000"/>
        <rFont val="Arial"/>
        <family val="0"/>
        <charset val="1"/>
      </rPr>
      <t xml:space="preserve">- Beat and raised, but wild: down 26% in a single June day, up 15.6% in another, with roughly 9% of shares sold short.</t>
    </r>
  </si>
  <si>
    <r>
      <rPr>
        <sz val="10"/>
        <color rgb="FF000000"/>
        <rFont val="Arial"/>
        <family val="0"/>
        <charset val="1"/>
      </rPr>
      <t xml:space="preserve">  First read said buy Rocket Lab 13% under an $80 limit - then the limit was corrected to under $50, making it the furthest name from triggering at -28%.
</t>
    </r>
    <r>
      <rPr>
        <sz val="10"/>
        <color rgb="FFC00000"/>
        <rFont val="Arial"/>
        <family val="0"/>
        <charset val="1"/>
      </rPr>
      <t xml:space="preserve">- It fails the new value screens outright (negative free cash flow, no meaningful EBITDA); treat it as a small story bet - a call option on the Neutron launch, not a value position.
</t>
    </r>
    <r>
      <rPr>
        <sz val="10"/>
        <color rgb="FF000000"/>
        <rFont val="Arial"/>
        <family val="0"/>
        <charset val="1"/>
      </rPr>
      <t xml:space="preserve">  Data caveat: live feeds kept serving a stale 2025 cache for the quote - confirm the live price before placing any order.</t>
    </r>
  </si>
  <si>
    <t xml:space="preserve">  Cost-basis audit: the 23-share position at $1,942.58 ties the broker's printed total to the penny; an apparent $0.40 discrepancy was a transcription error.</t>
  </si>
  <si>
    <t xml:space="preserve">  Rocket Lab's quote page served a stale Jul 10 snapshot; the price was rebuilt from the history table instead.</t>
  </si>
  <si>
    <r>
      <rPr>
        <sz val="10"/>
        <color rgb="FF000000"/>
        <rFont val="Arial"/>
        <family val="0"/>
        <charset val="1"/>
      </rPr>
      <t xml:space="preserve">  SIDU (Sidus Space) added to Space at the Aug 7 close $2.24. A micro-cap that 3D-prints small AI-enabled satellites. Watchlist only.
</t>
    </r>
    <r>
      <rPr>
        <b val="true"/>
        <sz val="10"/>
        <color rgb="FFC00000"/>
        <rFont val="Arial"/>
        <family val="0"/>
        <charset val="1"/>
      </rPr>
      <t xml:space="preserve">RED FLAG: Tiny and pre-scale: only $3.5M revenue (shrinking) against a $225M value - a price-to-sales of 64x. Deeply loss-making, burning cash. The one analyst covering it rates it Sell with no target.
</t>
    </r>
    <r>
      <rPr>
        <sz val="10"/>
        <color rgb="FF1E7B34"/>
        <rFont val="Arial"/>
        <family val="0"/>
        <charset val="1"/>
      </rPr>
      <t xml:space="preserve">+ Positives: raised ~$170M so it's cash-rich with almost no debt, and won a spot on a big Missile Defense Agency contract vehicle. A lottery-ticket space bet.</t>
    </r>
  </si>
  <si>
    <t xml:space="preserve">  Correction: SpaceX IPO'd June 12, 2026 as SPCX on Nasdaq at a ~$1.5T cap — one of the largest IPOs ever; the dashboard's 'private company' placeholder now shows live data.
  SPCX sits in the Space group beside RKLB and ASTS, with $25K of budget reserved for the space names; LUNR joined nearby as another sized-to-lose space bet.</t>
  </si>
  <si>
    <r>
      <rPr>
        <sz val="10"/>
        <color rgb="FF1E7B34"/>
        <rFont val="Arial"/>
        <family val="0"/>
        <charset val="1"/>
      </rPr>
      <t xml:space="preserve">+ Announced Aug 5: SpaceX is building its 'Starmind' AI system exclusively on NVIDIA chips, targeting 10 gigawatts of computing power by end-2027.
</t>
    </r>
    <r>
      <rPr>
        <sz val="10"/>
        <color rgb="FF000000"/>
        <rFont val="Arial"/>
        <family val="0"/>
        <charset val="1"/>
      </rPr>
      <t xml:space="preserve">  SpaceX says it will take 'a very significant percentage' of NVIDIA's GPUs next year — a customer at a scale that barely existed six months ago.</t>
    </r>
  </si>
  <si>
    <r>
      <rPr>
        <sz val="10"/>
        <color rgb="FFC00000"/>
        <rFont val="Arial"/>
        <family val="0"/>
        <charset val="1"/>
      </rPr>
      <t xml:space="preserve">- AeroVironment is down 32% and its Space/Defense basket is the portfolio's one red group: -25%, with $24.0K of cost now worth $17.9K.
</t>
    </r>
    <r>
      <rPr>
        <sz val="10"/>
        <color rgb="FF000000"/>
        <rFont val="Arial"/>
        <family val="0"/>
        <charset val="1"/>
      </rPr>
      <t xml:space="preserve">  Advisor would not sell it just to raise cash - the losers are separate thesis decisions; AVAV was regrouped into Drone &amp; Defense beside Palantir and Ondas.</t>
    </r>
  </si>
  <si>
    <r>
      <rPr>
        <sz val="10"/>
        <color rgb="FF000000"/>
        <rFont val="Arial"/>
        <family val="0"/>
        <charset val="1"/>
      </rPr>
      <t xml:space="preserve">  AXON added to Drone &amp; Defense at the Aug 6 close of $522.46 - watchlist only, no position, no budget. Sells Tasers, body cameras, drones and evidence software to police forces.
</t>
    </r>
    <r>
      <rPr>
        <sz val="10"/>
        <color rgb="FF1E7B34"/>
        <rFont val="Arial"/>
        <family val="0"/>
        <charset val="1"/>
      </rPr>
      <t xml:space="preserve">+ Q2 (Aug 5) beat on both lines: revenue $904M vs $876M expected (+35% YoY), adjusted EPS $1.88 vs $1.84; full-year growth guidance RAISED to 32-34%.
+ Recurring revenue engine is strong: ARR $1.6B +39%, customers spending 26% more each year, $15.1B of future contracted bookings; drone/counter-drone revenue +123%.
</t>
    </r>
    <r>
      <rPr>
        <sz val="10"/>
        <color rgb="FFC00000"/>
        <rFont val="Arial"/>
        <family val="0"/>
        <charset val="1"/>
      </rPr>
      <t xml:space="preserve">- Stock still FELL 14% on the results - gross margin slipping, memory costs rising, inventory building, and EPS below the $2.12 earned a year ago.
- Expensive even after the drop: 217x trailing earnings, 315x free cash flow (only $133M of FCF on $3.2B revenue); 21 analysts average a $683 target.
</t>
    </r>
    <r>
      <rPr>
        <b val="true"/>
        <sz val="10"/>
        <color rgb="FFC00000"/>
        <rFont val="Arial"/>
        <family val="0"/>
        <charset val="1"/>
      </rPr>
      <t xml:space="preserve">RED FLAG: Headline risk: a June report tied a Trump family stock purchase to a ~$220M ICE Taser solicitation 'effectively written for Axon' - political/regulatory risk cuts both ways.
</t>
    </r>
    <r>
      <rPr>
        <sz val="10"/>
        <color rgb="FF000000"/>
        <rFont val="Arial"/>
        <family val="0"/>
        <charset val="1"/>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</si>
  <si>
    <r>
      <rPr>
        <sz val="10"/>
        <color rgb="FF000000"/>
        <rFont val="Arial"/>
        <family val="0"/>
        <charset val="1"/>
      </rPr>
      <t xml:space="preserve">  LMT (Lockheed Martin) added to Drone &amp; Defense at the Aug 7 close $587.95. The world's largest defence contractor - F-35 jets and missile defence. Pays a 2.4% dividend. Watchlist only.
</t>
    </r>
    <r>
      <rPr>
        <sz val="10"/>
        <color rgb="FF1E7B34"/>
        <rFont val="Arial"/>
        <family val="0"/>
        <charset val="1"/>
      </rPr>
      <t xml:space="preserve">+ Cheap for a blue-chip: P/E ~22, earnings up 52% (recovering from 2025 program losses), record $230B backlog, and a $35B THAAD missile award. Very defensive (low market correlation).
</t>
    </r>
    <r>
      <rPr>
        <sz val="10"/>
        <color rgb="FFC00000"/>
        <rFont val="Arial"/>
        <family val="0"/>
        <charset val="1"/>
      </rPr>
      <t xml:space="preserve">- Analysts are lukewarm - consensus is HOLD with avg target ~$630 (Goldman even at Sell) - and revenue growth is modest (~7%). A steady compounder, not a fast grower.</t>
    </r>
  </si>
  <si>
    <r>
      <rPr>
        <sz val="10"/>
        <color rgb="FF000000"/>
        <rFont val="Arial"/>
        <family val="0"/>
        <charset val="1"/>
      </rPr>
      <t xml:space="preserve">  NOC (Northrop Grumman) added to Drone &amp; Defense at the Aug 7 close $571.58. Builds the B-21 stealth bomber, Sentinel ICBM and space systems. Watchlist only.
</t>
    </r>
    <r>
      <rPr>
        <sz val="10"/>
        <color rgb="FF1E7B34"/>
        <rFont val="Arial"/>
        <family val="0"/>
        <charset val="1"/>
      </rPr>
      <t xml:space="preserve">+ Cheapest of the three primes (P/E 18) with a 27% return on equity and a $105B backlog; the 'Golden Dome' missile-defence push is a direct tailwind. 23 analysts Buy, avg ~$643 (biggest upside of the trio).
</t>
    </r>
    <r>
      <rPr>
        <sz val="10"/>
        <color rgb="FFC00000"/>
        <rFont val="Arial"/>
        <family val="0"/>
        <charset val="1"/>
      </rPr>
      <t xml:space="preserve">- Growth is steady rather than exciting, and it's ~26% below its 52-week high ($774). A quality defensive holding.</t>
    </r>
  </si>
  <si>
    <t xml:space="preserve">- ONDS position: 200 shares, cost $2,031, worth ~$1,374 (-32.3%), with no budget line; part of the one red group (Space/Defense/Robotics, -25%).
- Its displayed +252% profit margin is non-operating gains masquerading as margin - ignore it when judging the business.
- Buy limit corrected to under $7.50; warning against averaging down on an $8 speculative drone micro-cap - that is how small losers become big ones.</t>
  </si>
  <si>
    <r>
      <rPr>
        <sz val="10"/>
        <color rgb="FFC00000"/>
        <rFont val="Arial"/>
        <family val="0"/>
        <charset val="1"/>
      </rPr>
      <t xml:space="preserve">- ONDS was the only name to hit its buy limit ($7.80 vs $8) but the advice is don't chase: it's the lowest-quality name on the sheet; size any nibble like a lottery ticket.
</t>
    </r>
    <r>
      <rPr>
        <sz val="10"/>
        <color rgb="FF000000"/>
        <rFont val="Arial"/>
        <family val="0"/>
        <charset val="1"/>
      </rPr>
      <t xml:space="preserve">  MU ranked the better buy on every axis that matters - a real, profitable business versus an $8 speculative drone micro-cap.</t>
    </r>
  </si>
  <si>
    <r>
      <rPr>
        <sz val="10"/>
        <color rgb="FF000000"/>
        <rFont val="Arial"/>
        <family val="0"/>
        <charset val="1"/>
      </rPr>
      <t xml:space="preserve">  Weekly audit re-based ONDS market cap -17% to verified shares outstanding.
</t>
    </r>
    <r>
      <rPr>
        <sz val="10"/>
        <color rgb="FFC00000"/>
        <rFont val="Arial"/>
        <family val="0"/>
        <charset val="1"/>
      </rPr>
      <t xml:space="preserve">- POEMS marked ONDS at $8.37 vs a twice-verified $8.23 close; the verified figure was used - broker marks can drift on thin small-caps ($28 total impact).</t>
    </r>
  </si>
  <si>
    <r>
      <rPr>
        <sz val="10"/>
        <color rgb="FF1E7B34"/>
        <rFont val="Arial"/>
        <family val="0"/>
        <charset val="1"/>
      </rPr>
      <t xml:space="preserve">+ PLTR is among the names pulling the Software group's +56% gain, one of the book's best percentage performers.
</t>
    </r>
    <r>
      <rPr>
        <sz val="10"/>
        <color rgb="FF000000"/>
        <rFont val="Arial"/>
        <family val="0"/>
        <charset val="1"/>
      </rPr>
      <t xml:space="preserve">  PLTR grouped into the new Drone &amp; Defense band alongside AVAV, ONDS and MDB after the Space split.</t>
    </r>
  </si>
  <si>
    <t xml:space="preserve">  ZETA bounced +8.42% partly on a 7-year Palantir deal; advice on ZETA was hold, don't add - don't chase a narrative pop on a risk-off day.</t>
  </si>
  <si>
    <r>
      <rPr>
        <sz val="10"/>
        <color rgb="FF1E7B34"/>
        <rFont val="Arial"/>
        <family val="0"/>
        <charset val="1"/>
      </rPr>
      <t xml:space="preserve">+ Blowout results: commercial sales grew 149%; PLTR jumped 24.5% on the print and +29% in the week's risk-on session.
+ Business quality is elite: $1.5M revenue per employee, 150%+ net revenue retention, US commercial +133%, revenue $1.633B (+85%).
</t>
    </r>
    <r>
      <rPr>
        <sz val="10"/>
        <color rgb="FFC00000"/>
        <rFont val="Arial"/>
        <family val="0"/>
        <charset val="1"/>
      </rPr>
      <t xml:space="preserve">- Advice: don't buy the gap - paying over 100x earnings on the stock's most euphoric morning of the year; great business, dangerous price.
</t>
    </r>
    <r>
      <rPr>
        <sz val="10"/>
        <color rgb="FF000000"/>
        <rFont val="Arial"/>
        <family val="0"/>
        <charset val="1"/>
      </rPr>
      <t xml:space="preserve">  The overnight PLTR earnings refresh was merged into the dashboard cleanly - 110 stocks verified, position totals unchanged.</t>
    </r>
  </si>
  <si>
    <r>
      <rPr>
        <sz val="10"/>
        <color rgb="FF000000"/>
        <rFont val="Arial"/>
        <family val="0"/>
        <charset val="1"/>
      </rPr>
      <t xml:space="preserve">  RCAT (Red Cat) added to Drone &amp; Defense at the Aug 7 close $9.21. A military drone maker - its Black Widow won a US Army program. Watchlist only.
</t>
    </r>
    <r>
      <rPr>
        <sz val="10"/>
        <color rgb="FF1E7B34"/>
        <rFont val="Arial"/>
        <family val="0"/>
        <charset val="1"/>
      </rPr>
      <t xml:space="preserve">+ Explosive growth off a tiny base and a $326M cash cushion; 6 analysts rate it Strong Buy with targets around $20-25 (more than double today).
</t>
    </r>
    <r>
      <rPr>
        <sz val="10"/>
        <color rgb="FFC00000"/>
        <rFont val="Arial"/>
        <family val="0"/>
        <charset val="1"/>
      </rPr>
      <t xml:space="preserve">- Loss-making, and Q2 (Aug 6) MISSED on both revenue and profit. 24% of shares are shorted and a short-seller has questioned its contract claims. High-risk defence speculation.</t>
    </r>
  </si>
  <si>
    <r>
      <rPr>
        <sz val="10"/>
        <color rgb="FF000000"/>
        <rFont val="Arial"/>
        <family val="0"/>
        <charset val="1"/>
      </rPr>
      <t xml:space="preserve">  RTX (RTX Corp / Raytheon) added to Drone &amp; Defense at the Aug 7 close $223.03. Makes Patriot and AIM-9X missiles plus jet engines and aerospace parts. Watchlist only.
</t>
    </r>
    <r>
      <rPr>
        <sz val="10"/>
        <color rgb="FF1E7B34"/>
        <rFont val="Arial"/>
        <family val="0"/>
        <charset val="1"/>
      </rPr>
      <t xml:space="preserve">+ Strong momentum: revenue +12%, earnings +25%, record $289B backlog, benefiting from global missile-defence demand (incl. Golden Dome). 23 analysts rate it Buy.
</t>
    </r>
    <r>
      <rPr>
        <sz val="10"/>
        <color rgb="FFC00000"/>
        <rFont val="Arial"/>
        <family val="0"/>
        <charset val="1"/>
      </rPr>
      <t xml:space="preserve">- The priciest of the three primes (P/E 39) and it sits right at its 52-week high, so a lot of good news is already in the price. Modest 1.3% dividend.</t>
    </r>
  </si>
  <si>
    <t xml:space="preserve">  Grouping settled per the notebook: IBM was briefly slated for Quantum but ended in the SaaS/Software group with CRM and ZETA (Quantum left as IONQ solo).
  IBM sits unbudgeted (IBM/CRM/ZETA are $5.6K combined); if SaaS is zero-allocation by intent, these are implicitly exit candidates - worth confirming.</t>
  </si>
  <si>
    <r>
      <rPr>
        <sz val="10"/>
        <color rgb="FFC00000"/>
        <rFont val="Arial"/>
        <family val="0"/>
        <charset val="1"/>
      </rPr>
      <t xml:space="preserve">- AI risk flag: IBM's large services/consulting arm sells human hours, and AI compresses the hours.
- On the portfolio wheel IBM shows a red rim - a losing position, alongside META and TSLA.
</t>
    </r>
    <r>
      <rPr>
        <sz val="10"/>
        <color rgb="FF000000"/>
        <rFont val="Arial"/>
        <family val="0"/>
        <charset val="1"/>
      </rPr>
      <t xml:space="preserve">  Dad's note executed: IBM moved from SaaS to Quantum next to IONQ (a sensible fit - one of the most serious quantum efforts); dashboard now 111 tickers across 17 groups.</t>
    </r>
  </si>
  <si>
    <r>
      <rPr>
        <sz val="10"/>
        <color rgb="FFC00000"/>
        <rFont val="Arial"/>
        <family val="0"/>
        <charset val="1"/>
      </rPr>
      <t xml:space="preserve">- Space, Defense &amp; Robotics was the one red group, -25% ($24.0K cost to $17.9K); IONQ -21% within it.
- IONQ's 174.9% 'profit margin' is non-operating gains; operations burn cash at -226% FCF margin. A profit-margin Rule of 40 (~510) is nonsense; the FCF version scores 108.
</t>
    </r>
    <r>
      <rPr>
        <sz val="10"/>
        <color rgb="FF000000"/>
        <rFont val="Arial"/>
        <family val="0"/>
        <charset val="1"/>
      </rPr>
      <t xml:space="preserve">  Entire IONQ position exited - 81 shares, $3,569.26 cost - realizing a $772 loss; kept visible as a Quantum watchlist row.
</t>
    </r>
    <r>
      <rPr>
        <sz val="10"/>
        <color rgb="FFC00000"/>
        <rFont val="Arial"/>
        <family val="0"/>
        <charset val="1"/>
      </rPr>
      <t xml:space="preserve">- Exit pattern flagged: sold-out trades are 4 wins / 8 losses (33%), dragged by the ORCL trim and IONQ exit - both sold into weakness.
</t>
    </r>
    <r>
      <rPr>
        <sz val="10"/>
        <color rgb="FF000000"/>
        <rFont val="Arial"/>
        <family val="0"/>
        <charset val="1"/>
      </rPr>
      <t xml:space="preserve">  IONQ remains a chronic resident below the lowest analyst target, and was unbudgeted ($2.8K) before the exit.</t>
    </r>
  </si>
  <si>
    <t xml:space="preserve">  IBM moved from SaaS into Quantum next to IONQ (previously the group's only name); dashboard now 111 tickers across 17 groups.</t>
  </si>
  <si>
    <t xml:space="preserve">  Adobe was added to the dashboard's SaaS group along with ServiceNow, Snowflake, Datadog and MongoDB; the board now tracks 104 names.
  Data check: Adobe's stored $688.37 high is its all-time close from Nov 19, 2021 - an all-time vs 52-week mix-up, not stale data.</t>
  </si>
  <si>
    <r>
      <rPr>
        <sz val="10"/>
        <color rgb="FFC00000"/>
        <rFont val="Arial"/>
        <family val="0"/>
        <charset val="1"/>
      </rPr>
      <t xml:space="preserve">- Adobe fell 2.15% in Wednesday's after-hours on no news; advisor's guess is sympathy selling with AppLovin's AI miss - check the real price at the open.
- Adobe's discount looks deserved: new subscription revenue ~$400M vs $450-460M expected, Firefly AI under 2% of $26B revenue, and Morgan Stanley's $240 target sits below the price.
- Head-to-head at ~9x cash flow, advisor prefers Salesforce over Adobe: Adobe's flaw is real, Salesforce's is rumour, and Salesforce is buying back $25B of its own stock.
</t>
    </r>
    <r>
      <rPr>
        <sz val="10"/>
        <color rgb="FF000000"/>
        <rFont val="Arial"/>
        <family val="0"/>
        <charset val="1"/>
      </rPr>
      <t xml:space="preserve">  Housekeeping: Adobe was already in the SaaS group so a repeat request needed no action; Veeva was added, bringing SaaS to 11 names.</t>
    </r>
  </si>
  <si>
    <r>
      <rPr>
        <sz val="10"/>
        <color rgb="FF000000"/>
        <rFont val="Arial"/>
        <family val="0"/>
        <charset val="1"/>
      </rPr>
      <t xml:space="preserve">  AppLovin added to the dashboard's SaaS group at ~$420, market cap $141B; 32 analysts, average target $656. Fell 24% in H1 2026 per Motley Fool.
</t>
    </r>
    <r>
      <rPr>
        <b val="true"/>
        <sz val="10"/>
        <color rgb="FFC00000"/>
        <rFont val="Arial"/>
        <family val="0"/>
        <charset val="1"/>
      </rPr>
      <t xml:space="preserve">RED FLAG: Do not buy APP before its Aug 5 earnings: it is 44% below its $745.61 high after a 30% short-report drop, a 17% one-day fall, and a 13% mid-July slide. Conviction: High.
</t>
    </r>
    <r>
      <rPr>
        <sz val="10"/>
        <color rgb="FFC00000"/>
        <rFont val="Arial"/>
        <family val="0"/>
        <charset val="1"/>
      </rPr>
      <t xml:space="preserve">- APP's Q2 report (Aug 5) missed, specifically on AI underperformance; CRM -5.03%, NOW -3.60% and ADBE -2.15% after hours, likely sympathy selling (advisor's inference).
</t>
    </r>
    <r>
      <rPr>
        <sz val="10"/>
        <color rgb="FF000000"/>
        <rFont val="Arial"/>
        <family val="0"/>
        <charset val="1"/>
      </rPr>
      <t xml:space="preserve">  If APP's print had been clean and held, the short-seller overhang would be resolved and APP would become genuinely interesting - revisit later.</t>
    </r>
  </si>
  <si>
    <t xml:space="preserve">  CDNS was removed from the book as fully sold Jul 20 (book then $547,844 cost / $625,683 value, +14.2%).
  It then reappeared on the broker statement: 6 shares at $2,007.28 cost (avg $334.55), re-added under SaaS with metrics rebuilt.
  Advisor still needs the buy-back fill details (date, shares, price) before completing the trade log or forming a view on the 6-share position.</t>
  </si>
  <si>
    <t xml:space="preserve">  Housekeeping: fundamentals refresh is event-driven - CDNS's numbers only change when it files, roughly four times a year.</t>
  </si>
  <si>
    <t xml:space="preserve">  CDNS given a $5,000 budget (previously unbudgeted), leaving $2,992.72 of headroom at current cost basis.</t>
  </si>
  <si>
    <t xml:space="preserve">  Housekeeping: SaaS group set to IBM, CRM and ZETA on the dashboard per the allocation notes.</t>
  </si>
  <si>
    <t xml:space="preserve">  A $9.60 book-vs-broker gap traced to a digit slip on CRM's cost; the portal's $1,888.07 (11 shares) confirmed correct and records now tie to the cent.</t>
  </si>
  <si>
    <r>
      <rPr>
        <sz val="10"/>
        <color rgb="FF1E7B34"/>
        <rFont val="Arial"/>
        <family val="0"/>
        <charset val="1"/>
      </rPr>
      <t xml:space="preserve">+ Buy call, Medium-High conviction: ~9x cash flow with 52 analysts seeing +27%; sell-off is AI-replacement fear, not broken numbers - it has beaten every report; $25B buyback.
+ Bought 10 shares at $185.33 on Aug 6, after a post-earnings 5.1% drop and well below the $192.98 dashboard price; now 21 shares at $3,741.35 cost.
</t>
    </r>
    <r>
      <rPr>
        <sz val="10"/>
        <color rgb="FFC00000"/>
        <rFont val="Arial"/>
        <family val="0"/>
        <charset val="1"/>
      </rPr>
      <t xml:space="preserve">- Fell 5.03% in Wednesday extended hours with no news found - advisor's inference is sympathy selling with AppLovin's AI miss; verify the open before committing more.
</t>
    </r>
    <r>
      <rPr>
        <sz val="10"/>
        <color rgb="FF000000"/>
        <rFont val="Arial"/>
        <family val="0"/>
        <charset val="1"/>
      </rPr>
      <t xml:space="preserve">  Given a $5,000 budget with $1,258 headroom left (~6-7 shares); next earnings Aug 26, company-confirmed - no gamble on a print before then.
</t>
    </r>
    <r>
      <rPr>
        <b val="true"/>
        <sz val="10"/>
        <color rgb="FFC00000"/>
        <rFont val="Arial"/>
        <family val="0"/>
        <charset val="1"/>
      </rPr>
      <t xml:space="preserve">RED FLAG: Exit trigger: if the Aug 26 report shows current remaining performance obligations growing under 9%, the AI fear becomes fact - exit rather than average down.</t>
    </r>
  </si>
  <si>
    <t xml:space="preserve">  Datadog was added to the dashboard's SaaS group along with Adobe, ServiceNow, Snowflake and MongoDB.</t>
  </si>
  <si>
    <r>
      <rPr>
        <sz val="10"/>
        <color rgb="FF1E7B34"/>
        <rFont val="Arial"/>
        <family val="0"/>
        <charset val="1"/>
      </rPr>
      <t xml:space="preserve">+ Q2 (Aug 6) beat: revenue $1.12B vs ~$1.08B, EPS $0.65 vs ~$0.58, full-year guidance raised to $4.45-4.47B - yet the stock fell ~22% pre-market to ~$221.
</t>
    </r>
    <r>
      <rPr>
        <sz val="10"/>
        <color rgb="FFC00000"/>
        <rFont val="Arial"/>
        <family val="0"/>
        <charset val="1"/>
      </rPr>
      <t xml:space="preserve">- The fall is about speed, not health: growth is 36% year-on-year but quarter-to-quarter momentum has stalled, and an Aug 3 report says OpenAI's usage fell 10-20%.
- At $221 it still trades at ~21x sales and 88x next year's earnings (down from 27x sales) - cheaper, not cheap; a Jul 14 Bernstein downgrade carried a $226 target.
</t>
    </r>
    <r>
      <rPr>
        <sz val="10"/>
        <color rgb="FF1E7B34"/>
        <rFont val="Arial"/>
        <family val="0"/>
        <charset val="1"/>
      </rPr>
      <t xml:space="preserve">+ Advisor's pick among the week's reporters: buy Datadog, medium conviction, 6-24 month horizon; stand down if a big customer actually left or it slides through $200 on no news.
</t>
    </r>
    <r>
      <rPr>
        <sz val="10"/>
        <color rgb="FF000000"/>
        <rFont val="Arial"/>
        <family val="0"/>
        <charset val="1"/>
      </rPr>
      <t xml:space="preserve">  Dashboard fix: the stored all-time high ($277.49) was impossibly below the 52-week high; both now read the true $292.72 set Aug 5.</t>
    </r>
  </si>
  <si>
    <r>
      <rPr>
        <sz val="10"/>
        <color rgb="FF000000"/>
        <rFont val="Arial"/>
        <family val="0"/>
        <charset val="1"/>
      </rPr>
      <t xml:space="preserve">  MDB added as a watchlist name: 71% gross margin, -1% net margin, Rule of 40 ~42, average target $396 (+30% upside).
</t>
    </r>
    <r>
      <rPr>
        <sz val="10"/>
        <color rgb="FFC00000"/>
        <rFont val="Arial"/>
        <family val="0"/>
        <charset val="1"/>
      </rPr>
      <t xml:space="preserve">- Flag: MDB is MongoDB, database software with no defense connection - placed in Drone &amp; Defense per the note, but SaaS is the right home.</t>
    </r>
  </si>
  <si>
    <t xml:space="preserve">  Misfiling fixed: MDB moved from Drone &amp; Defense into SaaS alongside ADBE, NOW, SNOW and DDOG; board now 104 names.</t>
  </si>
  <si>
    <t xml:space="preserve">  Data fix: NOW's stored $234.08 is the split-adjusted all-time close of Jan 28, 2025 ($1,170.39 / 5 after the Dec 2025 5-for-1 split) - an ATH-vs-52-week mix-up, not staleness.</t>
  </si>
  <si>
    <t xml:space="preserve">- NOW fell 3.6% in thin Wednesday extended hours with CRM and ADBE on no findable news; likely sympathy selling after AppLovin's AI miss - verify prices at the open.</t>
  </si>
  <si>
    <r>
      <rPr>
        <b val="true"/>
        <sz val="10"/>
        <color rgb="FFC00000"/>
        <rFont val="Arial"/>
        <family val="0"/>
        <charset val="1"/>
      </rPr>
      <t xml:space="preserve">RED FLAG: Called the book's highest-risk line: -24% position, -63% off its high, -$23.7B TTM free cash flow from the capex binge; the +99% to the $252 avg target leans on OCI backlog faith.
</t>
    </r>
    <r>
      <rPr>
        <sz val="10"/>
        <color rgb="FFC00000"/>
        <rFont val="Arial"/>
        <family val="0"/>
        <charset val="1"/>
      </rPr>
      <t xml:space="preserve">- The only over-budget position: $15.6K cost vs a $5K allocation, -$10,630 over - the advisor's read is that the allocation itself says right-size it.
</t>
    </r>
    <r>
      <rPr>
        <sz val="10"/>
        <color rgb="FF000000"/>
        <rFont val="Arial"/>
        <family val="0"/>
        <charset val="1"/>
      </rPr>
      <t xml:space="preserve">  Widest cash-conversion gap among profitable names (61 points between FCF and net-income Rule of 40) - the borrow-to-build data-center story in one number.
  Market prices ORCL almost on top of MSFT (~66-68% GM, ~22-23x) despite wildly different FCF profiles - either the opportunity or the warning.
  July's ORCL trim realized -$1,962 (-26.8%), the single worst realized hit in the book; group assignment settled back into Hyperscalers per the notebook.</t>
    </r>
  </si>
  <si>
    <r>
      <rPr>
        <sz val="10"/>
        <color rgb="FF000000"/>
        <rFont val="Arial"/>
        <family val="0"/>
        <charset val="1"/>
      </rPr>
      <t xml:space="preserve">  $39.18 ORCL dividend received; POEMS cash reconciled to the cent.
</t>
    </r>
    <r>
      <rPr>
        <sz val="10"/>
        <color rgb="FFC00000"/>
        <rFont val="Arial"/>
        <family val="0"/>
        <charset val="1"/>
      </rPr>
      <t xml:space="preserve">- Among the book's worst wounds at -27.85% - old damage rather than that week's memory-fear selloff.
</t>
    </r>
    <r>
      <rPr>
        <sz val="10"/>
        <color rgb="FF000000"/>
        <rFont val="Arial"/>
        <family val="0"/>
        <charset val="1"/>
      </rPr>
      <t xml:space="preserve">  Historical flow attribution moved ORCL from Hyperscalers to SaaS across seven months of buys/sells; every month still reconciles exactly.</t>
    </r>
  </si>
  <si>
    <r>
      <rPr>
        <b val="true"/>
        <sz val="10"/>
        <color rgb="FFC00000"/>
        <rFont val="Arial"/>
        <family val="0"/>
        <charset val="1"/>
      </rPr>
      <t xml:space="preserve">RED FLAG: Do-not-add flag despite +74% implied upside at $144.39: credit downgraded to BBB-, debt at 3x equity, and the position already 66% over budget.
</t>
    </r>
    <r>
      <rPr>
        <sz val="10"/>
        <color rgb="FFC00000"/>
        <rFont val="Arial"/>
        <family val="0"/>
        <charset val="1"/>
      </rPr>
      <t xml:space="preserve">- Now the worst dollar performer (-$1,042, -12.5%); the budget raise from $5K to $10K only regularises the overrun - treat the $1,686 headroom as a hard ceiling.
</t>
    </r>
    <r>
      <rPr>
        <sz val="10"/>
        <color rgb="FF000000"/>
        <rFont val="Arial"/>
        <family val="0"/>
        <charset val="1"/>
      </rPr>
      <t xml:space="preserve">  At ~$144.50 it sits 58% below its yearly high - arguably the deepest bargain on the list, but adding means consciously raising the ceiling, a separate conversation.</t>
    </r>
  </si>
  <si>
    <t xml:space="preserve">  SNOW added to the SaaS group per instruction; data fix - the stored $401.89 is the Nov 16, 2021 all-time close, an ATH-vs-52-week mix-up, not staleness.</t>
  </si>
  <si>
    <t xml:space="preserve">- Avoid: at $316.84 the analyst targets sit 6% below the price at 81x - analysts already think it's too expensive.</t>
  </si>
  <si>
    <r>
      <rPr>
        <sz val="10"/>
        <color rgb="FF000000"/>
        <rFont val="Arial"/>
        <family val="0"/>
        <charset val="1"/>
      </rPr>
      <t xml:space="preserve">  TEAM (Atlassian - maker of Jira, Confluence and Trello, the software teams use to plan and track work) added to SaaS at the Aug 6 close $110.17. Watchlist only, no position.
</t>
    </r>
    <r>
      <rPr>
        <sz val="10"/>
        <color rgb="FF1E7B34"/>
        <rFont val="Arial"/>
        <family val="0"/>
        <charset val="1"/>
      </rPr>
      <t xml:space="preserve">+ Reported a strong quarter after the Aug 6 close and the stock JUMPED ~35% after hours to ~$150: revenue $1.77B (+28%), cloud +31%, earnings $1.87 vs $1.50 expected.
+ Full year: revenue $6.57B (+26%), $1.3B of real cash generated (20% margin). A healthy 'Rule of 40' score of 46. 32 analysts rate it Buy, average target ~$140.
</t>
    </r>
    <r>
      <rPr>
        <sz val="10"/>
        <color rgb="FFC00000"/>
        <rFont val="Arial"/>
        <family val="0"/>
        <charset val="1"/>
      </rPr>
      <t xml:space="preserve">- Next-year growth guided to slow sharply to ~13% (from 26%), and its older Data Center product is shrinking ~17% - the market cheered anyway, but the deceleration is real.
- On paper it still runs a tiny accounting loss (GAAP -$0.21/share), so there's no normal P/E - you value it on cash flow (~21x). 52-week range has been wild: $56 to $190.
</t>
    </r>
    <r>
      <rPr>
        <sz val="10"/>
        <color rgb="FF000000"/>
        <rFont val="Arial"/>
        <family val="0"/>
        <charset val="1"/>
      </rPr>
      <t xml:space="preserve">  The $110.17 stored is the pre-earnings close and looks stale - tonight's refresh will move it up toward the post-earnings level near $150.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</si>
  <si>
    <t xml:space="preserve">  VEEV (Veeva Systems) added to the SaaS group at the Aug 5 close of $213.51; SaaS now shows 11 names.
  Data caveat: sources give VEEV's return on capital as 176% or 31%; the conservative 31.44% was stored - the 176% is an artifact of Veeva's tiny capital base.</t>
  </si>
  <si>
    <r>
      <rPr>
        <sz val="10"/>
        <color rgb="FF000000"/>
        <rFont val="Arial"/>
        <family val="0"/>
        <charset val="1"/>
      </rPr>
      <t xml:space="preserve">  ZETA was briefly flagged 'To Be Sold', then resolved into the SaaS group with IBM, CRM and ORCL; only IREN and NBIS remain marked for sale.
</t>
    </r>
    <r>
      <rPr>
        <sz val="10"/>
        <color rgb="FFC00000"/>
        <rFont val="Arial"/>
        <family val="0"/>
        <charset val="1"/>
      </rPr>
      <t xml:space="preserve">- ZETA trades below the lowest Street target (a chronic resident) and was unbudgeted (~$5.6K combined with IBM/CRM) - implicitly an exit candidate to confirm.</t>
    </r>
  </si>
  <si>
    <t xml:space="preserve">- Hold, don't add: dad's $40 limit is stale (ATH only $25.95). ZETA bounced +8.42% on the CEO's 'AI infrastructure' repositioning and a 7-year Palantir deal - don't chase.</t>
  </si>
  <si>
    <r>
      <rPr>
        <sz val="10"/>
        <color rgb="FF1E7B34"/>
        <rFont val="Arial"/>
        <family val="0"/>
        <charset val="1"/>
      </rPr>
      <t xml:space="preserve">+ You already own 111 ZETA shares at $18.06 cost, now roughly +50% after an 11.6% jump on Q2 results - enjoy it, don't chase it.
</t>
    </r>
    <r>
      <rPr>
        <sz val="10"/>
        <color rgb="FF000000"/>
        <rFont val="Arial"/>
        <family val="0"/>
        <charset val="1"/>
      </rPr>
      <t xml:space="preserve">  Headlines saying 'Zeta missed on EPS' are wrong: vendors compared an adjusted estimate to the GAAP actual; Zeta never published an adjusted number. Ignore them.
  Data bug found: ZETA's stored all-time high of $25.95 sat below its $27.07 price and $28.50 52-week high - mathematically impossible, same bug as DDOG.
  ZETA granted a $5,000 budget (previously unbudgeted), leaving $2,995.67 of headroom at current cost.</t>
    </r>
  </si>
  <si>
    <r>
      <rPr>
        <sz val="10"/>
        <color rgb="FF1E7B34"/>
        <rFont val="Arial"/>
        <family val="0"/>
        <charset val="1"/>
      </rPr>
      <t xml:space="preserve">+ KO added to the Consumer/F&amp;B watchlist at $81.17, +16% YTD: a Dividend King (63 straight years of raises) yielding ~2.6%, Buy consensus to $88.30 (+9%).
+ Best-in-class quality: 62% gross margin, 27.8% net margin, 43% ROE.
</t>
    </r>
    <r>
      <rPr>
        <sz val="10"/>
        <color rgb="FFC00000"/>
        <rFont val="Arial"/>
        <family val="0"/>
        <charset val="1"/>
      </rPr>
      <t xml:space="preserve">- It fails the value screens - EV/EBITDA 24.5 and P/FCF 27.8, both well above the 10x line, with D/E of 1.25; a quality-compounder, not a value entry.</t>
    </r>
  </si>
  <si>
    <r>
      <rPr>
        <b val="true"/>
        <sz val="10"/>
        <color rgb="FFC00000"/>
        <rFont val="Arial"/>
        <family val="0"/>
        <charset val="1"/>
      </rPr>
      <t xml:space="preserve">RED FLAG: An automated refresh printed KO +8.7% in a day - a headline-level move that never happened; same failure signature as a prior bad MSFT print. Price blocked as unverified.
</t>
    </r>
    <r>
      <rPr>
        <sz val="10"/>
        <color rgb="FF000000"/>
        <rFont val="Arial"/>
        <family val="0"/>
        <charset val="1"/>
      </rPr>
      <t xml:space="preserve">  Two scheduled jobs kept overwriting each other's dashboard pushes; the board was reset to the correct 107-ticker build (KO is watchlist-only, no position affected).
</t>
    </r>
    <r>
      <rPr>
        <sz val="10"/>
        <color rgb="FFC00000"/>
        <rFont val="Arial"/>
        <family val="0"/>
        <charset val="1"/>
      </rPr>
      <t xml:space="preserve">- KO (with EOSE, TEM, V) now sits outside its own 52-week band from the suspect data; left unmerged rather than bake a bad price into the range.</t>
    </r>
  </si>
  <si>
    <t xml:space="preserve">  MCD sits on the Consumer/F&amp;B watchlist (board now 47 held + 6 watching); KO was added beside SBUX and MCD.
  MCD's blank debt/equity reflects the asset-light franchise model (negative book equity from buybacks), not distress - judge such names on ROIC and free cash flow.</t>
  </si>
  <si>
    <r>
      <rPr>
        <sz val="10"/>
        <color rgb="FF000000"/>
        <rFont val="Arial"/>
        <family val="0"/>
        <charset val="1"/>
      </rPr>
      <t xml:space="preserve">  SBUX was added to a new Consumer/F&amp;B watchlist group, removed the same week to keep the AI thesis pure, then re-added as the watchlist grew to 8 names.
</t>
    </r>
    <r>
      <rPr>
        <sz val="10"/>
        <color rgb="FFC00000"/>
        <rFont val="Arial"/>
        <family val="0"/>
        <charset val="1"/>
      </rPr>
      <t xml:space="preserve">- The numbers argue patience: $104.81, 80x trailing falling to 38x forward, ~1% revenue growth, 3.9% net margin, and a $106 target — just +1.4%, lowest conviction on the board.
</t>
    </r>
    <r>
      <rPr>
        <sz val="10"/>
        <color rgb="FF1E7B34"/>
        <rFont val="Arial"/>
        <family val="0"/>
        <charset val="1"/>
      </rPr>
      <t xml:space="preserve">+ Operator's intuition from running food service is a real edge on SBUX — but the entry test is to wait for a price where your view and the Street's diverge in your favor.</t>
    </r>
  </si>
  <si>
    <t xml:space="preserve">  Yum! Brands (KFC/Pizza Hut/Taco Bell) added as a watchlist name in Consumer/F&amp;B beside Coca-Cola; down slightly year-to-date vs its ~$155.52 January reference.
  ROE and debt/equity read n/a on purpose: book equity is negative (-$7.3B) from the buyback-heavy franchise model, not distress - judge it on its excellent 37.8% ROIC and cash flow.</t>
  </si>
  <si>
    <t xml:space="preserve">  Housekeeping: YUM's earnings-related fundamentals refresh survived a data reset, but its price was held at the Jul 30 close because the Jul 31 print could not be verified.</t>
  </si>
  <si>
    <t xml:space="preserve">  YUM's price is deliberately held at the Aug 3 close - no free source served a verifiable newer close; it is watchlist-only, so no held money is affected.</t>
  </si>
  <si>
    <r>
      <rPr>
        <sz val="10"/>
        <color rgb="FF000000"/>
        <rFont val="Arial"/>
        <family val="0"/>
        <charset val="1"/>
      </rPr>
      <t xml:space="preserve">  CRSP (CRISPR Therapeutics) added to Healthcare at the Aug 6 close $51.64. A gene-editing biotech - makes Casgevy, the first approved CRISPR medicine (sickle-cell), with partner Vertex. Watchlist only.
</t>
    </r>
    <r>
      <rPr>
        <sz val="10"/>
        <color rgb="FFC00000"/>
        <rFont val="Arial"/>
        <family val="0"/>
        <charset val="1"/>
      </rPr>
      <t xml:space="preserve">- Not yet a real business on paper: tiny revenue, a $451M annual loss, no P/E - normal for clinical biotech. You're buying the science and the pipeline, not current profits.
</t>
    </r>
    <r>
      <rPr>
        <sz val="10"/>
        <color rgb="FF1E7B34"/>
        <rFont val="Arial"/>
        <family val="0"/>
        <charset val="1"/>
      </rPr>
      <t xml:space="preserve">+ The safety net is the balance sheet: $2.36B of cash (rising), very little debt - years of runway to fund research without raising money in a panic. Q2 (Aug 3) beat and the stock popped 7%.
+ Broad early pipeline beyond Casgevy - cholesterol/blood-pressure gene edits, CAR-T cancer, type-1 diabetes; 22 analysts average ~$87 (one outlier at $291).
</t>
    </r>
    <r>
      <rPr>
        <b val="true"/>
        <sz val="10"/>
        <color rgb="FFC00000"/>
        <rFont val="Arial"/>
        <family val="0"/>
        <charset val="1"/>
      </rPr>
      <t xml:space="preserve">RED FLAG: High-risk profile: 20% of shares sold short, huge cash burn, and its price-to-sales of 373x is an artifact of near-zero revenue - ignore that ratio, it will distort the chart. Binary on trial results.
</t>
    </r>
    <r>
      <rPr>
        <sz val="10"/>
        <color rgb="FF000000"/>
        <rFont val="Arial"/>
        <family val="0"/>
        <charset val="1"/>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</si>
  <si>
    <r>
      <rPr>
        <sz val="10"/>
        <color rgb="FF000000"/>
        <rFont val="Arial"/>
        <family val="0"/>
        <charset val="1"/>
      </rPr>
      <t xml:space="preserve">  Ticker resolved: 'HGE' doesn't exist - the name is Hinge Health (NYSE: HNGE), digital physical therapy; Dad corrected his own note; filed under Healthcare at $79.42.
</t>
    </r>
    <r>
      <rPr>
        <sz val="10"/>
        <color rgb="FF1E7B34"/>
        <rFont val="Arial"/>
        <family val="0"/>
        <charset val="1"/>
      </rPr>
      <t xml:space="preserve">+ Aug 4 earnings beat badly: revenue up 53%, EPS $0.59 vs $0.13 expected, and full-year forecast raised.
</t>
    </r>
    <r>
      <rPr>
        <sz val="10"/>
        <color rgb="FFC00000"/>
        <rFont val="Arial"/>
        <family val="0"/>
        <charset val="1"/>
      </rPr>
      <t xml:space="preserve">- Stock rose only 2.3% on the beat then slipped 1.9% after hours - usually a sign the good news was already in the price.
</t>
    </r>
    <r>
      <rPr>
        <sz val="10"/>
        <color rgb="FF000000"/>
        <rFont val="Arial"/>
        <family val="0"/>
        <charset val="1"/>
      </rPr>
      <t xml:space="preserve">  New name still needing full fundamentals research (roughly a couple of hours to do properly); $79.42 close corroborated by a second source.</t>
    </r>
  </si>
  <si>
    <r>
      <rPr>
        <sz val="10"/>
        <color rgb="FF000000"/>
        <rFont val="Arial"/>
        <family val="0"/>
        <charset val="1"/>
      </rPr>
      <t xml:space="preserve">  JNJ was placed in Healthcare, not Consumer or Robotic: the consumer business left with the 2023 Kenvue spin-off, and its surgical robots are a minor slice competing with ISRG.
</t>
    </r>
    <r>
      <rPr>
        <sz val="10"/>
        <color rgb="FF1E7B34"/>
        <rFont val="Arial"/>
        <family val="0"/>
        <charset val="1"/>
      </rPr>
      <t xml:space="preserve">+ The read: $259, +25% YTD, a Dividend King with 64 straight years of raises, ~2% yield, 30x trailing / 21x forward — defensive ballast, +4% to the $271 average target.
</t>
    </r>
    <r>
      <rPr>
        <sz val="10"/>
        <color rgb="FF000000"/>
        <rFont val="Arial"/>
        <family val="0"/>
        <charset val="1"/>
      </rPr>
      <t xml:space="preserve">  Dad's handwritten JNJ price was read as ~$240 but the writing is ambiguous — confirmation requested since it changes the ranking math.</t>
    </r>
  </si>
  <si>
    <t xml:space="preserve">  Tempus AI added to the Healthcare watchlist beside JNJ and UNH, no position; down hard YTD from ~$66 to ~$43.</t>
  </si>
  <si>
    <r>
      <rPr>
        <sz val="10"/>
        <color rgb="FFC00000"/>
        <rFont val="Arial"/>
        <family val="0"/>
        <charset val="1"/>
      </rPr>
      <t xml:space="preserve">- Price flagged suspect: sitting outside its own 52-week band from an unmerged refresh; left un-updated rather than bake a bad price into the range.
</t>
    </r>
    <r>
      <rPr>
        <sz val="10"/>
        <color rgb="FF000000"/>
        <rFont val="Arial"/>
        <family val="0"/>
        <charset val="1"/>
      </rPr>
      <t xml:space="preserve">  Earnings-related fundamentals refresh on TEM preserved during the data cleanup.</t>
    </r>
  </si>
  <si>
    <r>
      <rPr>
        <sz val="10"/>
        <color rgb="FF000000"/>
        <rFont val="Arial"/>
        <family val="0"/>
        <charset val="1"/>
      </rPr>
      <t xml:space="preserve">  TMDX (TransMedics) added to Healthcare at the Aug 6 close $80.21. Makes an 'organ-in-a-box' that keeps donor hearts, lungs and livers alive during transport, plus its own flight network. Watchlist only.
</t>
    </r>
    <r>
      <rPr>
        <sz val="10"/>
        <color rgb="FF1E7B34"/>
        <rFont val="Arial"/>
        <family val="0"/>
        <charset val="1"/>
      </rPr>
      <t xml:space="preserve">+ Unusual for a recent add: it's genuinely PROFITABLE - $668M revenue, 23% net margin, real earnings ($4.01/sh), 36% return on equity and positive cash flow. A real business, not a story stock.
+ Q2 (Aug 4) revenue grew 21%; full-year guidance nudged up to ~22-25% growth.
</t>
    </r>
    <r>
      <rPr>
        <sz val="10"/>
        <color rgb="FFC00000"/>
        <rFont val="Arial"/>
        <family val="0"/>
        <charset val="1"/>
      </rPr>
      <t xml:space="preserve">- But profit per share fell vs a year ago on heavy growth spending, and 23% of the shares are sold short - one of the most-bet-against names we track. Debt is meaningful too.
- Analysts are split and just cut targets: one camp rates it Buy (~$99 avg), another Hold (~$124 avg); UBS, Piper and Needham all trimmed Aug 3-5. Stock has fallen from a $156 high to $80.
</t>
    </r>
    <r>
      <rPr>
        <sz val="10"/>
        <color rgb="FF000000"/>
        <rFont val="Arial"/>
        <family val="0"/>
        <charset val="1"/>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</si>
  <si>
    <r>
      <rPr>
        <sz val="10"/>
        <color rgb="FF000000"/>
        <rFont val="Arial"/>
        <family val="0"/>
        <charset val="1"/>
      </rPr>
      <t xml:space="preserve">  UNH added to a new Healthcare watchlist group (later joined by JNJ, ISRG and TEM); the board reached 47 held plus 6 watching.
</t>
    </r>
    <r>
      <rPr>
        <sz val="10"/>
        <color rgb="FF1E7B34"/>
        <rFont val="Arial"/>
        <family val="0"/>
        <charset val="1"/>
      </rPr>
      <t xml:space="preserve">+ At $426: P/E 27 falling to 20x forward, 0.85x sales - the cheapest revenue on the board ($450B); +29% YTD after nearly halving to $234 and recovering +82%.
</t>
    </r>
    <r>
      <rPr>
        <sz val="10"/>
        <color rgb="FF000000"/>
        <rFont val="Arial"/>
        <family val="0"/>
        <charset val="1"/>
      </rPr>
      <t xml:space="preserve">  Street average $471 (+10.7%, 27 analysts, Buy). A classic fallen-blue-chip recovery and a genuine diversifier - the easy rebound money is made; the grind back remains.</t>
    </r>
  </si>
  <si>
    <r>
      <rPr>
        <sz val="10"/>
        <color rgb="FF000000"/>
        <rFont val="Arial"/>
        <family val="0"/>
        <charset val="1"/>
      </rPr>
      <t xml:space="preserve">  Applied Digital added to the Neocloud watch group at $27.19, -42% off its high, with signed hyperscaler leases and a heavy capex build; no position.
</t>
    </r>
    <r>
      <rPr>
        <sz val="10"/>
        <color rgb="FFC00000"/>
        <rFont val="Arial"/>
        <family val="0"/>
        <charset val="1"/>
      </rPr>
      <t xml:space="preserve">- Pre-profit infrastructure bet: loss-making with blank P/E, EV/EBITDA and P/FCF, large negative FCF from datacenter capex; Rule-of-40 nulled as meaningless.
</t>
    </r>
    <r>
      <rPr>
        <sz val="10"/>
        <color rgb="FF000000"/>
        <rFont val="Arial"/>
        <family val="0"/>
        <charset val="1"/>
      </rPr>
      <t xml:space="preserve">  Balance-sheet safety ranking in the trio: HUT &gt; APLD &gt; CIFR (CIFR's 6.4x debt/equity is the highest leverage in the 92-name book).
</t>
    </r>
    <r>
      <rPr>
        <sz val="10"/>
        <color rgb="FFC00000"/>
        <rFont val="Arial"/>
        <family val="0"/>
        <charset val="1"/>
      </rPr>
      <t xml:space="preserve">- Treat like the IREN/NBIS/CRWV bets: a high-torque call option on AI power, sized to lose.</t>
    </r>
  </si>
  <si>
    <t xml:space="preserve">  No APLD-specific news; only scheduling housekeeping (earnings job moved to 03:00 UTC to clear a pile-up).</t>
  </si>
  <si>
    <t xml:space="preserve">  No APLD-specific commentary this week; notes covered dashboard housekeeping and other names.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</si>
  <si>
    <r>
      <rPr>
        <sz val="10"/>
        <color rgb="FF000000"/>
        <rFont val="Arial"/>
        <family val="0"/>
        <charset val="1"/>
      </rPr>
      <t xml:space="preserve">  CIFR (Cipher Mining) added to the Neocloud group at $23.15, near its high, with +38% growth shown.
</t>
    </r>
    <r>
      <rPr>
        <sz val="10"/>
        <color rgb="FFC00000"/>
        <rFont val="Arial"/>
        <family val="0"/>
        <charset val="1"/>
      </rPr>
      <t xml:space="preserve">- Warning: 6.4x debt/equity is the highest leverage in the entire 92-name book - the name most exposed if AI-hosting demand or crypto prices wobble.
- It is a pre-profit infrastructure bet: money-losing, large negative free cash flow from datacenter capex, blank P/E and EV/EBITDA, Rule-of-40 nulled as meaningless.
</t>
    </r>
    <r>
      <rPr>
        <sz val="10"/>
        <color rgb="FF000000"/>
        <rFont val="Arial"/>
        <family val="0"/>
        <charset val="1"/>
      </rPr>
      <t xml:space="preserve">  On balance-sheet safety the advisor ranks the new trio HUT &gt; APLD &gt; CIFR - start sizing from that order.</t>
    </r>
  </si>
  <si>
    <t xml:space="preserve">  CORZ was moved into Neocloud Watch beside IREN, CIFR and HUT - the bitcoin-miner-to-AI-compute group now reads consistently.</t>
  </si>
  <si>
    <r>
      <rPr>
        <sz val="10"/>
        <color rgb="FF000000"/>
        <rFont val="Arial"/>
        <family val="0"/>
        <charset val="1"/>
      </rPr>
      <t xml:space="preserve">  Context notes only: two-thirds of Microsoft's EPS beat (~33c of 50c) was a one-time $3.2B mark on its Anthropic stake; core beat nearer 17 cents.
</t>
    </r>
    <r>
      <rPr>
        <sz val="10"/>
        <color rgb="FFC00000"/>
        <rFont val="Arial"/>
        <family val="0"/>
        <charset val="1"/>
      </rPr>
      <t xml:space="preserve">- Pricing caveat: the semi-cap and infrastructure core of the book (about 40% of capital) cannot be auto-priced and depends on manual POEMS screenshots.</t>
    </r>
  </si>
  <si>
    <r>
      <rPr>
        <sz val="10"/>
        <color rgb="FF000000"/>
        <rFont val="Arial"/>
        <family val="0"/>
        <charset val="1"/>
      </rPr>
      <t xml:space="preserve">  CORZ added to the dashboard at $21.77 (+53%), watchlist only; moved from Fintech/Digital Platform to Neocloud Watch - a bitcoin miner turned AI-datacenter landlord.
</t>
    </r>
    <r>
      <rPr>
        <b val="true"/>
        <sz val="10"/>
        <color rgb="FFC00000"/>
        <rFont val="Arial"/>
        <family val="0"/>
        <charset val="1"/>
      </rPr>
      <t xml:space="preserve">RED FLAG: Red flags: negative shareholder equity of -$2.42B and a $1.16B quarterly loss; ROE, debt/equity and EV/EBITDA are blanked as mathematically meaningless.
</t>
    </r>
    <r>
      <rPr>
        <sz val="10"/>
        <color rgb="FFC00000"/>
        <rFont val="Arial"/>
        <family val="0"/>
        <charset val="1"/>
      </rPr>
      <t xml:space="preserve">- AMD holds warrants for 30M shares at $23.47 that dilute holders the moment the stock works; the planned CoreWeave merger was called off.
- Revenue growth is reported three irreconcilable ways (+26%, -42%, -14%) and was left blank rather than print a misleading number.
</t>
    </r>
    <r>
      <rPr>
        <sz val="10"/>
        <color rgb="FF000000"/>
        <rFont val="Arial"/>
        <family val="0"/>
        <charset val="1"/>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</si>
  <si>
    <r>
      <rPr>
        <sz val="10"/>
        <color rgb="FF000000"/>
        <rFont val="Arial"/>
        <family val="0"/>
        <charset val="1"/>
      </rPr>
      <t xml:space="preserve">  CoreWeave joined the board as a watchlist name (the old position is closed, zero shares) at $79.58, 57% below its $183.98 high.
</t>
    </r>
    <r>
      <rPr>
        <sz val="10"/>
        <color rgb="FFC00000"/>
        <rFont val="Arial"/>
        <family val="0"/>
        <charset val="1"/>
      </rPr>
      <t xml:space="preserve">- 36 analyst targets span $36 to $303 - the widest dispersion on the whole board; 69% gross margin but -26% net margin and free cash flow of -$10.6B on $16.6B of capex.
</t>
    </r>
    <r>
      <rPr>
        <sz val="10"/>
        <color rgb="FF000000"/>
        <rFont val="Arial"/>
        <family val="0"/>
        <charset val="1"/>
      </rPr>
      <t xml:space="preserve">  Applied Digital, Cipher Mining and Hut 8 joined it in the Neocloud group (6 names) - all the same pre-profit, cash-burning infrastructure bet.</t>
    </r>
  </si>
  <si>
    <t xml:space="preserve">  Data note: the free price feed's access list shrank between Jul 28 and 30, and CoreWeave is among the tickers whose refresh is now denied.</t>
  </si>
  <si>
    <t xml:space="preserve">  Core Scientific was moved in beside CoreWeave's neocloud peers; its planned merger with CoreWeave was called off, so it stands on its own again.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</si>
  <si>
    <r>
      <rPr>
        <sz val="10"/>
        <color rgb="FF000000"/>
        <rFont val="Arial"/>
        <family val="0"/>
        <charset val="1"/>
      </rPr>
      <t xml:space="preserve">  DELL added with HPE and SMCI to Memory &amp; Storage; flagged as a category stretch - they are AI-server makers, not memory/storage chip companies.
</t>
    </r>
    <r>
      <rPr>
        <sz val="10"/>
        <color rgb="FF1E7B34"/>
        <rFont val="Arial"/>
        <family val="0"/>
        <charset val="1"/>
      </rPr>
      <t xml:space="preserve">+ Of the three, DELL is the quality name - real free cash flow, scale, backlog - at a fair 0.91 PEG; the one to anchor on (SMCI the one to size smallest).
+ Its +263% YTD move (~$121 to $438) was cross-checked against two sources and ties out internally - eye-popping but real.</t>
    </r>
  </si>
  <si>
    <t xml:space="preserve">  Dad's note says DELL/HPE/SMCI are 'not in Neo clouds' but not where they should go; they stay in Memory &amp; Storage until he clarifies.
  Data caveat: the stored board price (DELL $369.64) matched the Jul 29 history row exactly - evidence the board was carrying stale prices.</t>
  </si>
  <si>
    <t xml:space="preserve">  Regrouping settled: DELL, HPE and SMCI moved into Neocloud Watch (joined by NOK); the group now holds 11 names, all priced at the Jul 31 close.</t>
  </si>
  <si>
    <r>
      <rPr>
        <sz val="10"/>
        <color rgb="FF000000"/>
        <rFont val="Arial"/>
        <family val="0"/>
        <charset val="1"/>
      </rPr>
      <t xml:space="preserve">  HPE added to the dashboard in Memory &amp; Storage with DELL and SMCI, flagged as a category stretch - they are AI-server OEMs, not memory/storage chipmakers.
</t>
    </r>
    <r>
      <rPr>
        <sz val="10"/>
        <color rgb="FF1E7B34"/>
        <rFont val="Arial"/>
        <family val="0"/>
        <charset val="1"/>
      </rPr>
      <t xml:space="preserve">+ HPE at $47.69 is the cheapest of the trio: 12.4x forward, 0.42 PEG, +23% growth, 34% gross margin - the deep-value play if the Juniper integration delivers.
</t>
    </r>
    <r>
      <rPr>
        <sz val="10"/>
        <color rgb="FF000000"/>
        <rFont val="Arial"/>
        <family val="0"/>
        <charset val="1"/>
      </rPr>
      <t xml:space="preserve">  Ranking of the trio: DELL is the quality anchor, HPE the deep-value play, SMCI the smallest-sized lottery ticket given its governance baggage.</t>
    </r>
  </si>
  <si>
    <t xml:space="preserve">  HPE left in Memory &amp; Storage per the 'not in Neo clouds' note; the Jul 31 refresh held HPE at its Jul 30 close because a fresh print could not be verified.</t>
  </si>
  <si>
    <t xml:space="preserve">  HPE moved with DELL and SMCI into Neocloud Watch per the handwritten note; all names verified at the Jul 31 close.</t>
  </si>
  <si>
    <r>
      <rPr>
        <sz val="10"/>
        <color rgb="FF000000"/>
        <rFont val="Arial"/>
        <family val="0"/>
        <charset val="1"/>
      </rPr>
      <t xml:space="preserve">  HUT (Hut 8) joined the Neocloud group with APLD and CIFR, alongside IREN, NBIS and CRWV — six names total.
</t>
    </r>
    <r>
      <rPr>
        <sz val="10"/>
        <color rgb="FFC00000"/>
        <rFont val="Arial"/>
        <family val="0"/>
        <charset val="1"/>
      </rPr>
      <t xml:space="preserve">- All three new miners lose money with large negative free cash flow from datacenter capex — pre-profit bets with no earnings floor, to be sized to lose.
</t>
    </r>
    <r>
      <rPr>
        <sz val="10"/>
        <color rgb="FF1E7B34"/>
        <rFont val="Arial"/>
        <family val="0"/>
        <charset val="1"/>
      </rPr>
      <t xml:space="preserve">+ HUT ranks safest of the trio: lowest leverage, fastest growth, and the only computable Rule of 40 (71.5); CIFR is riskiest at 6.4x debt/equity, the book's highest.</t>
    </r>
  </si>
  <si>
    <t xml:space="preserve">  CORZ (Core Scientific) was moved into Neocloud Watch beside IREN, CIFR and HUT — the same miner-to-AI-computing story; its CoreWeave merger was called off.</t>
  </si>
  <si>
    <r>
      <rPr>
        <sz val="10"/>
        <color rgb="FFC00000"/>
        <rFont val="Arial"/>
        <family val="0"/>
        <charset val="1"/>
      </rPr>
      <t xml:space="preserve">- IREN flagged 'To Be Sold' with a red SELL badge; at the time -13% unrealized (vs NBIS +24%), so the order of exits matters for tax.
</t>
    </r>
    <r>
      <rPr>
        <sz val="10"/>
        <color rgb="FF000000"/>
        <rFont val="Arial"/>
        <family val="0"/>
        <charset val="1"/>
      </rPr>
      <t xml:space="preserve">  Exit plan set: GTC sells of 45 sh at $40 and 45 sh at $44; floor at $35.50 (cancel limits and sell at market if breached); time stop Fri Jul 24.
</t>
    </r>
    <r>
      <rPr>
        <sz val="10"/>
        <color rgb="FF1E7B34"/>
        <rFont val="Arial"/>
        <family val="0"/>
        <charset val="1"/>
      </rPr>
      <t xml:space="preserve">+ The stock ripped +19.6% in one session, flipping the position from -13% to +4% unrealized - exactly the strength to sell into.
</t>
    </r>
    <r>
      <rPr>
        <sz val="10"/>
        <color rgb="FF000000"/>
        <rFont val="Arial"/>
        <family val="0"/>
        <charset val="1"/>
      </rPr>
      <t xml:space="preserve">  Tranche 1 filled at ~$40.76 for a realized +$99; 45 shares ($1,735.17 cost) remained pending tranche 2.
  Plan reversed mid-week: IREN moved to Neocloud Watch 'in case of a turnaround'; the $45 tranche-2 limit (needing +9% from the $41.28 close) was withdrawn Jul 25, shares kept.</t>
    </r>
  </si>
  <si>
    <t xml:space="preserve">- IREN fell 9.1% on Jul 28 in a broad memory/semi de-rating that hit the whole supply chain (VRT -13.8%, KLAC -7.6%, MU -4.9%).
- Data warning: IREN later showed +30.5% versus its stored price - stale-price catch-up, not a one-day move; the daily job could refresh only 23 of 107 tickers on plan limits.
- IREN is among the names that cannot be auto-priced at all - marks on ~$242,873 of the book's semi/infrastructure core depend on manual broker screenshots.</t>
  </si>
  <si>
    <r>
      <rPr>
        <sz val="10"/>
        <color rgb="FF1E7B34"/>
        <rFont val="Arial"/>
        <family val="0"/>
        <charset val="1"/>
      </rPr>
      <t xml:space="preserve">+ IREN gained 8.0% on Monday's broad up day, one of ten holdings up more than 6%.
</t>
    </r>
    <r>
      <rPr>
        <sz val="10"/>
        <color rgb="FF000000"/>
        <rFont val="Arial"/>
        <family val="0"/>
        <charset val="1"/>
      </rPr>
      <t xml:space="preserve">  Neocloud Watch consolidated to 11 names including IREN, now joined by CORZ, DELL, HPE, SMCI and NOK.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</si>
  <si>
    <r>
      <rPr>
        <sz val="10"/>
        <color rgb="FF000000"/>
        <rFont val="Arial"/>
        <family val="0"/>
        <charset val="1"/>
      </rPr>
      <t xml:space="preserve">  KEEL (Keel Infrastructure) added to Neocloud Watch at the Aug 7 close $3.88. A former crypto-miner that pivoted to running AI/data-centre computing. Watchlist only.
</t>
    </r>
    <r>
      <rPr>
        <b val="true"/>
        <sz val="10"/>
        <color rgb="FFC00000"/>
        <rFont val="Arial"/>
        <family val="0"/>
        <charset val="1"/>
      </rPr>
      <t xml:space="preserve">RED FLAG: Very high risk: deeply unprofitable (loses more than its revenue), negative gross margin, burning $400M+ cash, huge share count, beta 4.1, ~17% shorted. Next-year revenue is even expected to fall ~46% during the pivot.
</t>
    </r>
    <r>
      <rPr>
        <sz val="10"/>
        <color rgb="FF1E7B34"/>
        <rFont val="Arial"/>
        <family val="0"/>
        <charset val="1"/>
      </rPr>
      <t xml:space="preserve">+ The bull case is a re-rating if it lands a big hyperscaler lease; 11 analysts rate it Strong Buy, avg target $6.55. Next earnings Aug 10. Pure speculation on execution.</t>
    </r>
  </si>
  <si>
    <r>
      <rPr>
        <sz val="10"/>
        <color rgb="FF000000"/>
        <rFont val="Arial"/>
        <family val="0"/>
        <charset val="1"/>
      </rPr>
      <t xml:space="preserve">  NBIS flagged 'To Be Sold' at +24% unrealized; with 575% revenue growth priced at 52x sales, the froth was judged worth feeding even with the Street's avg target 37% above price.
  Exit plan: GTC sells of 13 sh at $183 and 14 sh at $198; floor at $164 (sell at market if breached); time stop Fri Jul 31.
</t>
    </r>
    <r>
      <rPr>
        <sz val="10"/>
        <color rgb="FF1E7B34"/>
        <rFont val="Arial"/>
        <family val="0"/>
        <charset val="1"/>
      </rPr>
      <t xml:space="preserve">+ Fully exited Jul 21 at ~$194.85 average for a realized +$1,405 (+51.9% gain) - sold into strength; exact split 13 sh +$640.88 and 14 sh +$763.64.
</t>
    </r>
    <r>
      <rPr>
        <sz val="10"/>
        <color rgb="FF000000"/>
        <rFont val="Arial"/>
        <family val="0"/>
        <charset val="1"/>
      </rPr>
      <t xml:space="preserve">  NBIS stays on the board as a pure watchlist row: $216.92, average target $244, still 28% off its high.</t>
    </r>
  </si>
  <si>
    <t xml:space="preserve">  Data caveat: NBIS was among names the data feed refreshed on Jul 28 but denied by Jul 30 - the free plan's coverage list shrank underneath the refresh job.</t>
  </si>
  <si>
    <t xml:space="preserve">  Weekly audit re-based market caps to verified share counts; NBIS was one of the largest fixes, revised -18%.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</si>
  <si>
    <r>
      <rPr>
        <b val="true"/>
        <sz val="10"/>
        <color rgb="FFC00000"/>
        <rFont val="Arial"/>
        <family val="0"/>
        <charset val="1"/>
      </rPr>
      <t xml:space="preserve">RED FLAG: 52-week range of $4.00-$17.45 verified across three sources: the stock ran to ~$17 mid-year and has roughly halved to $9.14 - understand that violence before sizing anything.
</t>
    </r>
    <r>
      <rPr>
        <sz val="10"/>
        <color rgb="FF000000"/>
        <rFont val="Arial"/>
        <family val="0"/>
        <charset val="1"/>
      </rPr>
      <t xml:space="preserve">  Added to the Neocloud Watch group; YTD column blank because the free price source only serves ~10 weeks of history.</t>
    </r>
  </si>
  <si>
    <r>
      <rPr>
        <sz val="10"/>
        <color rgb="FF000000"/>
        <rFont val="Arial"/>
        <family val="0"/>
        <charset val="1"/>
      </rPr>
      <t xml:space="preserve">  Super Micro added with Dell and HPE to Memory &amp; Storage - flagged as a category stretch, since these are AI-server builders, not memory-chip makers.
</t>
    </r>
    <r>
      <rPr>
        <sz val="10"/>
        <color rgb="FFC00000"/>
        <rFont val="Arial"/>
        <family val="0"/>
        <charset val="1"/>
      </rPr>
      <t xml:space="preserve">- It screens as the bargain of the three ($30.10, 8.9x forward, 0.30 PEG, +56% growth) but carries the 2024 accounting scandal: auditor resigned, delisting threat, DOJ/SEC scrutiny.
- Its razor-thin 8% gross margin (vs Dell's 19%, HPE's 34%) means almost no pricing power; the cheap multiple is a warning label - size it smallest of the three.</t>
    </r>
  </si>
  <si>
    <t xml:space="preserve">  The handwritten note said 'not in Neo clouds' without saying where SMCI should go, so it was left in Memory &amp; Storage pending a decision.</t>
  </si>
  <si>
    <t xml:space="preserve">  Per the note, SMCI (with Dell and HPE) was moved into the Neocloud Watch group at the Jul 31 close refresh.</t>
  </si>
  <si>
    <r>
      <rPr>
        <sz val="10"/>
        <color rgb="FF000000"/>
        <rFont val="Arial"/>
        <family val="0"/>
        <charset val="1"/>
      </rPr>
      <t xml:space="preserve">  STRL (Sterling Infrastructure) added to Neocloud Watch at the Aug 7 close $547.06. A 'picks-and-shovels' data-centre play - it does the ground/site work UNDER data centres and chip plants. Watchlist only.
</t>
    </r>
    <r>
      <rPr>
        <sz val="10"/>
        <color rgb="FF1E7B34"/>
        <rFont val="Arial"/>
        <family val="0"/>
        <charset val="1"/>
      </rPr>
      <t xml:space="preserve">+ High-quality and very profitable: revenue $3.4B, earnings $13.87/share, 40% return on equity, 42% return on capital, strong cash flow, low debt. Record Q2 (+90% revenue) and backlog up 116%.
+ Its data-centre segment is now ~78% of revenue and grew ~192% - a direct AI-buildout beneficiary. Cheap for the growth (PEG 0.69, forward P/E 25); analysts Strong Buy, avg target ~$919.
</t>
    </r>
    <r>
      <rPr>
        <sz val="10"/>
        <color rgb="FFC00000"/>
        <rFont val="Arial"/>
        <family val="0"/>
        <charset val="1"/>
      </rPr>
      <t xml:space="preserve">- Volatile and well off its peak: trades at $547 vs a 52-week high of ~$1,006 (down ~46%), with a $263-$1,006 range. Dipped after Q2 on margin-mix worries before recovering.
</t>
    </r>
    <r>
      <rPr>
        <sz val="10"/>
        <color rgb="FF000000"/>
        <rFont val="Arial"/>
        <family val="0"/>
        <charset val="1"/>
      </rPr>
      <t xml:space="preserve">  (new, not yet condensed) Aug 8 addition: STRL (Sterling Infrastructure, NASDAQ - formerly Sterling Construction) added to Neocloud Watch at the Aug 7, 2026 close 547.06 (+2.05%), header 'At close: Aug 7, 2026, 4:00 PM EDT', market cap second-sourced by GuruFocus (16.73B). Watchlist only - no position, no budget. Sterling ...</t>
    </r>
  </si>
  <si>
    <r>
      <rPr>
        <sz val="10"/>
        <color rgb="FF000000"/>
        <rFont val="Arial"/>
        <family val="0"/>
        <charset val="1"/>
      </rPr>
      <t xml:space="preserve">  HOOD appears among the pre-dashboard closed trades (with TTD, MELI, APP, SOFI) captured in the new 'Closed / other' line of the group summary.
</t>
    </r>
    <r>
      <rPr>
        <sz val="10"/>
        <color rgb="FFC00000"/>
        <rFont val="Arial"/>
        <family val="0"/>
        <charset val="1"/>
      </rPr>
      <t xml:space="preserve">- Framing: HOOD sits with COIN, AFRM and SHOP as momentum-and-story names where valuation still has a long way to fall if growth blinks — not with the V/MA/PYPL quality bucket.</t>
    </r>
  </si>
  <si>
    <t xml:space="preserve">  HOOD's price was verified against a third outside source to break a tie between conflicting quotes during the data check.</t>
  </si>
  <si>
    <r>
      <rPr>
        <sz val="10"/>
        <color rgb="FF1E7B34"/>
        <rFont val="Arial"/>
        <family val="0"/>
        <charset val="1"/>
      </rPr>
      <t xml:space="preserve">+ HOOD beat on July 29: revenue $1.31B (+32%) and EPS $0.62 vs $0.43 expected (a 44% beat), with almost no debt; it bottomed at $63.52 in March and has recovered 45% since.
+ All 26 analyst targets sit above the $92.80 price (+32% implied upside); even the lowest target on the desk is $100 — you are not fighting the crowd.
</t>
    </r>
    <r>
      <rPr>
        <sz val="10"/>
        <color rgb="FF000000"/>
        <rFont val="Arial"/>
        <family val="0"/>
        <charset val="1"/>
      </rPr>
      <t xml:space="preserve">  The 40% drawdown is read as cyclical, not structural: crypto trading revenue fell 38% with Bitcoin and Ethereum off their peaks and comes back when crypto recovers.
</t>
    </r>
    <r>
      <rPr>
        <sz val="10"/>
        <color rgb="FFC00000"/>
        <rFont val="Arial"/>
        <family val="0"/>
        <charset val="1"/>
      </rPr>
      <t xml:space="preserve">- Bear case: HOOD trades at 16.5x revenue vs its 11.9x historical average — 30%+ downside if it merely reverts — and earnings depend on retail traders staying active.
</t>
    </r>
    <r>
      <rPr>
        <sz val="10"/>
        <color rgb="FF000000"/>
        <rFont val="Arial"/>
        <family val="0"/>
        <charset val="1"/>
      </rPr>
      <t xml:space="preserve">  Conviction Medium, 6-24 month horizon; the thesis breaks if monthly funded customers fall for two straight quarters.
  (new, not yet condensed) Aug 8: DELETED FI (Fiserv) and COIN (Coinbase) from the dashboard entirely per request - both were watchlist-only (no position, budget, or trade history), so removed cleanly from STOCKS, POS and M3 with nothing to unwind. MOVED SE (Sea Limited) from Fintech / Digital Platform -&gt; Digital ...
  (new, not yet condensed) Aug 8: renamed group 'Fintech / Digital Platform' -&gt; 'Digital Fintech' (group index 14 unchanged, so all 7 members - V, MA, PYPL, HOOD, SOFI, NU, LMND - carry over automatically with their data, positions and group P&amp;L intact; label change only).</t>
    </r>
  </si>
  <si>
    <r>
      <rPr>
        <sz val="10"/>
        <color rgb="FF1E7B34"/>
        <rFont val="Arial"/>
        <family val="0"/>
        <charset val="1"/>
      </rPr>
      <t xml:space="preserve">+ Lemonade's report showed its loss ratio improving from 78% to 62% with fewer staff; rated 4 of 5 with +27% to target - but small, volatile and still loss-making.
</t>
    </r>
    <r>
      <rPr>
        <sz val="10"/>
        <color rgb="FF000000"/>
        <rFont val="Arial"/>
        <family val="0"/>
        <charset val="1"/>
      </rPr>
      <t xml:space="preserve">  Flagged as one of two genuinely new AI-beneficiary ideas (small, speculative); added to Fintech/Digital Platform at $54.11 after two independent sources confirmed the price.
  (new, not yet condensed) Aug 8: DELETED FI (Fiserv) and COIN (Coinbase) from the dashboard entirely per request - both were watchlist-only (no position, budget, or trade history), so removed cleanly from STOCKS, POS and M3 with nothing to unwind. MOVED SE (Sea Limited) from Fintech / Digital Platform -&gt; Digital ...
  (new, not yet condensed) Aug 8: renamed group 'Fintech / Digital Platform' -&gt; 'Digital Fintech' (group index 14 unchanged, so all 7 members - V, MA, PYPL, HOOD, SOFI, NU, LMND - carry over automatically with their data, positions and group P&amp;L intact; label change only).</t>
    </r>
  </si>
  <si>
    <t xml:space="preserve">+ Mastercard is filed with the elite compounders: 27x earnings, +17% growth, 100% gross margin and a 232% return on equity.</t>
  </si>
  <si>
    <t xml:space="preserve">+ Tagged the deep-value pick of the fintech group: cheapest quality name at 10x, off 28% - fits the V/MA toll-road, quality-plus-value wheelhouse.</t>
  </si>
  <si>
    <r>
      <rPr>
        <b val="true"/>
        <sz val="10"/>
        <color rgb="FFC00000"/>
        <rFont val="Arial"/>
        <family val="0"/>
        <charset val="1"/>
      </rPr>
      <t xml:space="preserve">RED FLAG: A scheduled job printed PYPL +3.9% (with V +3.0%, KO +8.7%) above verified prices, all one direction - same failure signature as the earlier MSFT $381 incident; reverted.
</t>
    </r>
    <r>
      <rPr>
        <sz val="10"/>
        <color rgb="FF000000"/>
        <rFont val="Arial"/>
        <family val="0"/>
        <charset val="1"/>
      </rPr>
      <t xml:space="preserve">  Watchlist name only - no held position was affected by the bad refresh.</t>
    </r>
  </si>
  <si>
    <t xml:space="preserve">  (new, not yet condensed) Aug 8: DELETED FI (Fiserv) and COIN (Coinbase) from the dashboard entirely per request - both were watchlist-only (no position, budget, or trade history), so removed cleanly from STOCKS, POS and M3 with nothing to unwind. MOVED SE (Sea Limited) from Fintech / Digital Platform -&gt; Digital ...
  (new, not yet condensed) Aug 8: renamed group 'Fintech / Digital Platform' -&gt; 'Digital Fintech' (group index 14 unchanged, so all 7 members - V, MA, PYPL, HOOD, SOFI, NU, LMND - carry over automatically with their data, positions and group P&amp;L intact; label change only).</t>
  </si>
  <si>
    <t xml:space="preserve">  SOFI appears among the pre-dashboard closed exits (with TTD, MELI, APP, HOOD) in the group P&amp;L view.
  Its blank EV/EBITDA and -$6.3B free cash flow are correct, not broken: SoFi is a lender, negative FCF is loan-book growth; judge it on ROE/ROIC and net margin, both strong.</t>
  </si>
  <si>
    <t xml:space="preserve">  SOFI is one of 12 watchlist-only names consuming the free price-feed entitlement while $242K of actually-held stock goes unpriced.</t>
  </si>
  <si>
    <r>
      <rPr>
        <sz val="10"/>
        <color rgb="FFC00000"/>
        <rFont val="Arial"/>
        <family val="0"/>
        <charset val="1"/>
      </rPr>
      <t xml:space="preserve">- Verdict: avoid. Rated Hold at $18.25 with only +9% upside - six firms CUT their targets after a beat, a sign the beat did not matter.
</t>
    </r>
    <r>
      <rPr>
        <sz val="10"/>
        <color rgb="FF000000"/>
        <rFont val="Arial"/>
        <family val="0"/>
        <charset val="1"/>
      </rPr>
      <t xml:space="preserve">  (new, not yet condensed) Aug 8: DELETED FI (Fiserv) and COIN (Coinbase) from the dashboard entirely per request - both were watchlist-only (no position, budget, or trade history), so removed cleanly from STOCKS, POS and M3 with nothing to unwind. MOVED SE (Sea Limited) from Fintech / Digital Platform -&gt; Digital ...
  (new, not yet condensed) Aug 8: renamed group 'Fintech / Digital Platform' -&gt; 'Digital Fintech' (group index 14 unchanged, so all 7 members - V, MA, PYPL, HOOD, SOFI, NU, LMND - carry over automatically with their data, positions and group P&amp;L intact; label change only).</t>
    </r>
  </si>
  <si>
    <t xml:space="preserve">  Data fix: research agents returned Visa's ~$670B enterprise value instead of its EV/EBITDA multiple; they were sent back for correct multiples before anything was written.</t>
  </si>
  <si>
    <r>
      <rPr>
        <sz val="10"/>
        <color rgb="FFC00000"/>
        <rFont val="Arial"/>
        <family val="0"/>
        <charset val="1"/>
      </rPr>
      <t xml:space="preserve">- The July 4-for-1 CRWD split was never applied to the manual record: the sheet showed CrowdStrike as the second-worst loser at -51% when it is actually up about +95%.
</t>
    </r>
    <r>
      <rPr>
        <sz val="10"/>
        <color rgb="FF000000"/>
        <rFont val="Arial"/>
        <family val="0"/>
        <charset val="1"/>
      </rPr>
      <t xml:space="preserve">  Fix is one row: 40 shares at $97.98 average cost, which ties the sheet to the broker to the dollar; the dashboard had already split-adjusted CRWD.
</t>
    </r>
    <r>
      <rPr>
        <sz val="10"/>
        <color rgb="FF1E7B34"/>
        <rFont val="Arial"/>
        <family val="0"/>
        <charset val="1"/>
      </rPr>
      <t xml:space="preserve">+ CRWD is up +108%, helping make Software (+56%) one of the best-performing groups.
</t>
    </r>
    <r>
      <rPr>
        <sz val="10"/>
        <color rgb="FF000000"/>
        <rFont val="Arial"/>
        <family val="0"/>
        <charset val="1"/>
      </rPr>
      <t xml:space="preserve">  A new Cybersecurity group was created: CRWD moved there with PANW, ZS, NET and FTNT — CRWD and ZS read as scaled but barely profitable platform players.
  Minor drift: trimming $5.00 of commission from the CRWD cost row is part of a $254 fix to make the sheet match the broker to the cent.</t>
    </r>
  </si>
  <si>
    <t xml:space="preserve">+ On the new portfolio chart CRWD shows a fat gold profit rim — the position has roughly doubled.</t>
  </si>
  <si>
    <r>
      <rPr>
        <sz val="10"/>
        <color rgb="FF000000"/>
        <rFont val="Arial"/>
        <family val="0"/>
        <charset val="1"/>
      </rPr>
      <t xml:space="preserve">  FTNT added to the board with ZS and NET, then moved into a new 16-name-era Cybersecurity group alongside CRWD, PANW, ZS and NET.
</t>
    </r>
    <r>
      <rPr>
        <sz val="10"/>
        <color rgb="FF1E7B34"/>
        <rFont val="Arial"/>
        <family val="0"/>
        <charset val="1"/>
      </rPr>
      <t xml:space="preserve">+ It is the group's quality anchor - the only profitable one: 27% net margin, 132% ROE, 80% gross margin, $2.4B of real free cash flow; at 49x forward not cheap, but a cash machine.</t>
    </r>
  </si>
  <si>
    <t xml:space="preserve">  Data caveat: FTNT's quote-page close exceeded the history table's own daily high - proof the history table serves partial-day snapshots; the quote page has the real close.</t>
  </si>
  <si>
    <r>
      <rPr>
        <sz val="10"/>
        <color rgb="FFC00000"/>
        <rFont val="Arial"/>
        <family val="0"/>
        <charset val="1"/>
      </rPr>
      <t xml:space="preserve">- Verdict: skip. After doubling this year (+104%), the average analyst target of $131.78 sits 19% BELOW the $161.95 price, and it trades at 49x forward earnings.
</t>
    </r>
    <r>
      <rPr>
        <sz val="10"/>
        <color rgb="FF1E7B34"/>
        <rFont val="Arial"/>
        <family val="0"/>
        <charset val="1"/>
      </rPr>
      <t xml:space="preserve">+ The business is strong: Jul 29 quarter had revenue $2.05B up 26%, billings up 33%, earnings up 41%, and raised full-year guidance - hence the stock near its high at $168.
</t>
    </r>
    <r>
      <rPr>
        <sz val="10"/>
        <color rgb="FF000000"/>
        <rFont val="Arial"/>
        <family val="0"/>
        <charset val="1"/>
      </rPr>
      <t xml:space="preserve">  Dad's limits are far away: his $130 limit is near the Street's fair value but 25% below market; his sub-$100 limit is 40.6% below - anchored to an old price; nothing triggered.</t>
    </r>
  </si>
  <si>
    <r>
      <rPr>
        <sz val="10"/>
        <color rgb="FFC00000"/>
        <rFont val="Arial"/>
        <family val="0"/>
        <charset val="1"/>
      </rPr>
      <t xml:space="preserve">- Cloudflare flagged as the single most expensive name in the ~100-stock book: 202x forward P/E, ~860x EV/EBITDA, ~40x sales - priced for flawless execution.
</t>
    </r>
    <r>
      <rPr>
        <sz val="10"/>
        <color rgb="FF1E7B34"/>
        <rFont val="Arial"/>
        <family val="0"/>
        <charset val="1"/>
      </rPr>
      <t xml:space="preserve">+ Fastest grower in the cyber group at +34%, expanding into AI-inference at the edge - but a momentum bet, not a value one.
</t>
    </r>
    <r>
      <rPr>
        <sz val="10"/>
        <color rgb="FF000000"/>
        <rFont val="Arial"/>
        <family val="0"/>
        <charset val="1"/>
      </rPr>
      <t xml:space="preserve">  Moved with CRWD, PANW, ZS and FTNT into a new dedicated Cybersecurity group, making the valuation spread across the five obvious.</t>
    </r>
  </si>
  <si>
    <t xml:space="preserve">  Moved from Cybersecurity into SaaS (each stock sits in one group only), leaving Cybersecurity with four names; reversible on request.</t>
  </si>
  <si>
    <r>
      <rPr>
        <sz val="10"/>
        <color rgb="FF000000"/>
        <rFont val="Arial"/>
        <family val="0"/>
        <charset val="1"/>
      </rPr>
      <t xml:space="preserve">  PANW, first filed under Chips Manufacturing per the handwritten note, moved into a new Cybersecurity group with CRWD, ZS, NET and FTNT.
</t>
    </r>
    <r>
      <rPr>
        <sz val="10"/>
        <color rgb="FF1E7B34"/>
        <rFont val="Arial"/>
        <family val="0"/>
        <charset val="1"/>
      </rPr>
      <t xml:space="preserve">+ Within the cyber group, FTNT and PANW stand out as the profitable, cash-generating incumbents versus 32x-200x forward growth peers with similar ~25-34% growth.</t>
    </r>
  </si>
  <si>
    <r>
      <rPr>
        <sz val="10"/>
        <color rgb="FF000000"/>
        <rFont val="Arial"/>
        <family val="0"/>
        <charset val="1"/>
      </rPr>
      <t xml:space="preserve">  RBRK (Rubrik) added to the Cybersecurity group at $80.99 - watchlist only, no money in it.
</t>
    </r>
    <r>
      <rPr>
        <sz val="10"/>
        <color rgb="FF1E7B34"/>
        <rFont val="Arial"/>
        <family val="0"/>
        <charset val="1"/>
      </rPr>
      <t xml:space="preserve">+ Jumped 8.4% on Aug 4 when Loop Capital initiated coverage with a Buy and a $100 target.
</t>
    </r>
    <r>
      <rPr>
        <sz val="10"/>
        <color rgb="FFC00000"/>
        <rFont val="Arial"/>
        <family val="0"/>
        <charset val="1"/>
      </rPr>
      <t xml:space="preserve">- Still loses money and has negative shareholder equity, so its ROE and debt ratios are shown blank.
</t>
    </r>
    <r>
      <rPr>
        <sz val="10"/>
        <color rgb="FF000000"/>
        <rFont val="Arial"/>
        <family val="0"/>
        <charset val="1"/>
      </rPr>
      <t xml:space="preserve">  Price sources conflicted ($80.99 vs $79.64); $80.99 was used since Google Finance agrees and it matches the reported +8.36% move exactly.</t>
    </r>
  </si>
  <si>
    <r>
      <rPr>
        <sz val="10"/>
        <color rgb="FF000000"/>
        <rFont val="Arial"/>
        <family val="0"/>
        <charset val="1"/>
      </rPr>
      <t xml:space="preserve">  ZS added to the board (tipping it to 100 tickers), then moved into the new Cybersecurity group with CRWD, PANW, NET and FTNT.
</t>
    </r>
    <r>
      <rPr>
        <sz val="10"/>
        <color rgb="FF1E7B34"/>
        <rFont val="Arial"/>
        <family val="0"/>
        <charset val="1"/>
      </rPr>
      <t xml:space="preserve">+ ZS is the more reasonable entry of the unprofitable cyber names: best Rule of 40 (56), $960M FCF-positive at breakeven, and already down 58% from its high.
</t>
    </r>
    <r>
      <rPr>
        <sz val="10"/>
        <color rgb="FF000000"/>
        <rFont val="Arial"/>
        <family val="0"/>
        <charset val="1"/>
      </rPr>
      <t xml:space="preserve">  The group makes the valuation spread obvious: ~32x forward for Zscaler vs ~200x for Cloudflare at similar 25-34% growth.</t>
    </r>
  </si>
  <si>
    <t xml:space="preserve">  BWXT's Aug 3 after-market earnings were picked up by the overnight refresh and merged cleanly - all dashboard checks passed (110 stocks, 47 held, totals unchanged).
  BWXT is crossed out on Dad's note, so it was treated as cancelled and excluded from the buy recommendation.
  Data caveat: CNN quoted BWXT at $205 vs the correct $173.79; the bad source was discarded and prices cross-checked via stockanalysis.com and Google Finance.</t>
  </si>
  <si>
    <r>
      <rPr>
        <sz val="10"/>
        <color rgb="FF1E7B34"/>
        <rFont val="Arial"/>
        <family val="0"/>
        <charset val="1"/>
      </rPr>
      <t xml:space="preserve">+ Called the cleanest way to play the nuclear buildout without SMR execution risk: actual uranium, actual profit, +113% EPS growth, ~50% analyst upside (avg target $131).
</t>
    </r>
    <r>
      <rPr>
        <sz val="10"/>
        <color rgb="FFC00000"/>
        <rFont val="Arial"/>
        <family val="0"/>
        <charset val="1"/>
      </rPr>
      <t xml:space="preserve">- Not cheap at 60x forward earnings.
</t>
    </r>
    <r>
      <rPr>
        <sz val="10"/>
        <color rgb="FF1E7B34"/>
        <rFont val="Arial"/>
        <family val="0"/>
        <charset val="1"/>
      </rPr>
      <t xml:space="preserve">+ Named alongside NEE as the conviction picks for real capital in the energy group; SMR/storage names only as small, sized-to-lose speculation.</t>
    </r>
  </si>
  <si>
    <t xml:space="preserve">  Earnings-related fundamentals refresh on CCJ preserved during a data cleanup; only prices were overridden.</t>
  </si>
  <si>
    <r>
      <rPr>
        <sz val="10"/>
        <color rgb="FF000000"/>
        <rFont val="Arial"/>
        <family val="0"/>
        <charset val="1"/>
      </rPr>
      <t xml:space="preserve">  CEG reports earnings Aug 6 (VST, also held, reports Aug 7); advice is to wait for both prints before adding anything on the power/energy side.
</t>
    </r>
    <r>
      <rPr>
        <sz val="10"/>
        <color rgb="FF1E7B34"/>
        <rFont val="Arial"/>
        <family val="0"/>
        <charset val="1"/>
      </rPr>
      <t xml:space="preserve">+ CEG declared a dividend of $0.4265 per share on the morning of Aug 5.
</t>
    </r>
    <r>
      <rPr>
        <sz val="10"/>
        <color rgb="FF000000"/>
        <rFont val="Arial"/>
        <family val="0"/>
        <charset val="1"/>
      </rPr>
      <t xml:space="preserve">  Keep about $5,150 in reserve so a post-earnings selloff in CEG or VST can be bought.</t>
    </r>
  </si>
  <si>
    <r>
      <rPr>
        <sz val="10"/>
        <color rgb="FF000000"/>
        <rFont val="Arial"/>
        <family val="0"/>
        <charset val="1"/>
      </rPr>
      <t xml:space="preserve">  LEU (Centrus Energy) added to Nuclear Energy at the Aug 7 close $191.37. The only US-owned uranium ENRICHER - makes HALEU fuel for next-gen/small reactors. Watchlist only.
</t>
    </r>
    <r>
      <rPr>
        <sz val="10"/>
        <color rgb="FF1E7B34"/>
        <rFont val="Arial"/>
        <family val="0"/>
        <charset val="1"/>
      </rPr>
      <t xml:space="preserve">+ Profitable and strategically vital: revenue $474M, 10% net margin, a $4.5B order backlog through 2040, a $900M US government HALEU award, and $1.87B cash.
</t>
    </r>
    <r>
      <rPr>
        <sz val="10"/>
        <color rgb="FFC00000"/>
        <rFont val="Arial"/>
        <family val="0"/>
        <charset val="1"/>
      </rPr>
      <t xml:space="preserve">- Expensive and volatile: 88x earnings, negative free cash flow (heavy plant spending), 26% of shares sold short, and it swings hugely - 52-week range $142 to $464. Dropped 5% on earnings then bounced 7% next day.</t>
    </r>
  </si>
  <si>
    <t xml:space="preserve">- NNE is one of five of eight nuclear names with essentially no profits or revenue - valuation columns blank; treat as a thematic call option and size it like a venture bet.</t>
  </si>
  <si>
    <t xml:space="preserve">- NNE has no reliable 52-week low - it prints fresh lows almost daily, with six conflicting candidates (14.71 to 18.04); the card shows 'range n/a'.</t>
  </si>
  <si>
    <r>
      <rPr>
        <sz val="10"/>
        <color rgb="FF000000"/>
        <rFont val="Arial"/>
        <family val="0"/>
        <charset val="1"/>
      </rPr>
      <t xml:space="preserve">  OKLO added to the Energy group as a watchlist name among eight energy additions (SMRs, uranium, solar/storage, a utility), with ~$40K reserved for Energy buys.
</t>
    </r>
    <r>
      <rPr>
        <sz val="10"/>
        <color rgb="FFC00000"/>
        <rFont val="Arial"/>
        <family val="0"/>
        <charset val="1"/>
      </rPr>
      <t xml:space="preserve">- Warning: OKLO is one of five names with essentially no profits and little revenue - valuation columns are blank; treat as a thematic call option and size it like a venture bet.
- Do not read OKLO at -75% off its high as cheap - down a lot is not cheap with no earnings floor; only small, sized-to-lose speculation (CCJ or NEE for conviction instead).</t>
    </r>
  </si>
  <si>
    <t xml:space="preserve">  Data caveat: OKLO was refreshed by the Jul 28 data job but access was denied by Jul 30 - the feed's entitlement list shrank, leaving its stored data stale.</t>
  </si>
  <si>
    <r>
      <rPr>
        <sz val="10"/>
        <color rgb="FFC00000"/>
        <rFont val="Arial"/>
        <family val="0"/>
        <charset val="1"/>
      </rPr>
      <t xml:space="preserve">- SMR is one of five energy names (with OKLO, NNE, TE, EOSE) with essentially no profits — valuation columns blank; thematic call options to be sized like venture bets.
- Warning: do not read OKLO/SMR at -75%/-83% off highs as cheap — down a lot is not the same as cheap when there is no earnings floor underneath.
</t>
    </r>
    <r>
      <rPr>
        <sz val="10"/>
        <color rgb="FF000000"/>
        <rFont val="Arial"/>
        <family val="0"/>
        <charset val="1"/>
      </rPr>
      <t xml:space="preserve">  For real capital in the group, CCJ or NEE were preferred; the SMR-type names only as small, sized-to-lose speculative positions.</t>
    </r>
  </si>
  <si>
    <r>
      <rPr>
        <sz val="10"/>
        <color rgb="FF000000"/>
        <rFont val="Arial"/>
        <family val="0"/>
        <charset val="1"/>
      </rPr>
      <t xml:space="preserve">  UUUU (Energy Fuels) added to Nuclear Energy at the Aug 6 close $12.90 (rebounded ~10% Aug 7). A US uranium miner that also processes rare-earth elements at its Utah mill. Watchlist only.
</t>
    </r>
    <r>
      <rPr>
        <sz val="10"/>
        <color rgb="FF1E7B34"/>
        <rFont val="Arial"/>
        <family val="0"/>
        <charset val="1"/>
      </rPr>
      <t xml:space="preserve">+ Strong balance sheet: ~$996M working capital (cash + marketable securities), producing real uranium (865k lbs last quarter, sold at $80/lb) and building a rare-earths plant.
</t>
    </r>
    <r>
      <rPr>
        <sz val="10"/>
        <color rgb="FFC00000"/>
        <rFont val="Arial"/>
        <family val="0"/>
        <charset val="1"/>
      </rPr>
      <t xml:space="preserve">- Loses money today: -77% net margin, EPS -$0.34, burning ~$120M cash a year. No P/E - you're buying the uranium/rare-earth theme, not profits. 20% of shares are sold short.</t>
    </r>
  </si>
  <si>
    <t xml:space="preserve">+ VST at $160 flagged as a quality name in the ~4% zone worth a good-til-cancelled limit; a normal down day in an earnings-heavy week could fill it.</t>
  </si>
  <si>
    <r>
      <rPr>
        <sz val="10"/>
        <color rgb="FFC00000"/>
        <rFont val="Arial"/>
        <family val="0"/>
        <charset val="1"/>
      </rPr>
      <t xml:space="preserve">- VST fell 8.15% to $143.23 - the worst day among the holdings; the drop was confirmed by POEMS and Google Finance against one source claiming $145.46.
</t>
    </r>
    <r>
      <rPr>
        <sz val="10"/>
        <color rgb="FF000000"/>
        <rFont val="Arial"/>
        <family val="0"/>
        <charset val="1"/>
      </rPr>
      <t xml:space="preserve">  VST reports Friday Aug 7 (CEG Aug 6); advice: keep ~$5,150 in reserve and wait for both prints before adding on the power/energy side.
  VST moved from Energy to Nuclear Energy group (we own 42 sh, cost $6,078, budget $10,000) - its P&amp;L now reports under Nuclear Energy.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
    </r>
  </si>
  <si>
    <t xml:space="preserve">  XE (X-Energy) deliberately left at Monday's Aug 3 close - no trustworthy fresh close was available; the staleness is disclosed on the dashboard; watchlist only, no position.
  Moved from Energy to Nuclear Energy (X-energy is a nuclear/small-reactor developer, so it belongs there). Group label only.</t>
  </si>
  <si>
    <t xml:space="preserve">  Housekeeping: ETN's small intraday price drift was refreshed on the dashboard.</t>
  </si>
  <si>
    <r>
      <rPr>
        <sz val="10"/>
        <color rgb="FFC00000"/>
        <rFont val="Arial"/>
        <family val="0"/>
        <charset val="1"/>
      </rPr>
      <t xml:space="preserve">- The $300 buy limit sits below Eaton's 52-week low of $311.92 - it waits for ground untouched in a year; analyst average is $455.79, 52% above the desired entry.
</t>
    </r>
    <r>
      <rPr>
        <sz val="10"/>
        <color rgb="FF000000"/>
        <rFont val="Arial"/>
        <family val="0"/>
        <charset val="1"/>
      </rPr>
      <t xml:space="preserve">  Checksum caught a transcription error: ETN was keyed 386.20 vs actual 386.26; fixed, and earnings-related fundamentals refresh on ETN preserved.</t>
    </r>
  </si>
  <si>
    <t xml:space="preserve">  ETN (19 shares, $7,879.55 cost) moved from Energy into the new 'Power and Electrification' group; totals unchanged to the cent.</t>
  </si>
  <si>
    <t xml:space="preserve">  Order-list query: item 8 read as COIN, but a $300 limit vs a $164 price makes no sense; GEV (closed $981.98) noted as one possible intended ticker.</t>
  </si>
  <si>
    <r>
      <rPr>
        <sz val="10"/>
        <color rgb="FF000000"/>
        <rFont val="Arial"/>
        <family val="0"/>
        <charset val="1"/>
      </rPr>
      <t xml:space="preserve">  GEV (2 shares, $2,147.30 cost) moved with ETN into a new Power and Electrification group; totals unchanged to the cent, nothing bought or sold.
</t>
    </r>
    <r>
      <rPr>
        <sz val="10"/>
        <color rgb="FFC00000"/>
        <rFont val="Arial"/>
        <family val="0"/>
        <charset val="1"/>
      </rPr>
      <t xml:space="preserve">- GE Vernova JV partner AirJoule: genuinely operating (unit installed Jul 28, Kubota deal Jul 21) but no revenue, 16 employees and a $46M funding hole - a ticket, not a position.</t>
    </r>
  </si>
  <si>
    <r>
      <rPr>
        <sz val="10"/>
        <color rgb="FF000000"/>
        <rFont val="Arial"/>
        <family val="0"/>
        <charset val="1"/>
      </rPr>
      <t xml:space="preserve">  Hubbell was pulled fresh onto the dashboard and joined the new Power &amp; Electrification group as a watchlist name at $502.24.
</t>
    </r>
    <r>
      <rPr>
        <sz val="10"/>
        <color rgb="FF1E7B34"/>
        <rFont val="Arial"/>
        <family val="0"/>
        <charset val="1"/>
      </rPr>
      <t xml:space="preserve">+ It beat and raised on grid modernization and data centres - the steadiest, lowest-volatility of the four new power names.
</t>
    </r>
    <r>
      <rPr>
        <sz val="10"/>
        <color rgb="FF000000"/>
        <rFont val="Arial"/>
        <family val="0"/>
        <charset val="1"/>
      </rPr>
      <t xml:space="preserve">  None of Dad's nine buy limits are triggered; Hubbell is the closest, still 14.4% above his $430 line, with about +20% to the analyst target.</t>
    </r>
  </si>
  <si>
    <r>
      <rPr>
        <sz val="10"/>
        <color rgb="FF000000"/>
        <rFont val="Arial"/>
        <family val="0"/>
        <charset val="1"/>
      </rPr>
      <t xml:space="preserve">  HYLN (Hyliion) added to Power &amp; Electrification at the Aug 7 close $3.87. Makes the KARNO generator - a fuel-flexible power module. Watchlist only.
</t>
    </r>
    <r>
      <rPr>
        <b val="true"/>
        <sz val="10"/>
        <color rgb="FFC00000"/>
        <rFont val="Arial"/>
        <family val="0"/>
        <charset val="1"/>
      </rPr>
      <t xml:space="preserve">RED FLAG: Pre-revenue in practice: only $5.8M sales, so its price-to-sales (121x) is meaningless and it burns ~$64M/yr. Very volatile (beta 3.6). A bet on a technology, not a business yet.
</t>
    </r>
    <r>
      <rPr>
        <sz val="10"/>
        <color rgb="FF1E7B34"/>
        <rFont val="Arial"/>
        <family val="0"/>
        <charset val="1"/>
      </rPr>
      <t xml:space="preserve">+ Momentum from defence: won a $41.7M US Navy award to scale its power modules and demonstrated them running as one plant. $72M cash. 3 analysts Buy, avg $7. Q2 call Aug 12.</t>
    </r>
  </si>
  <si>
    <t xml:space="preserve">  Housekeeping: moved to the Energy group per the handwritten note ($5K budget) and small intraday price drifts refreshed.</t>
  </si>
  <si>
    <r>
      <rPr>
        <b val="true"/>
        <sz val="10"/>
        <color rgb="FFC00000"/>
        <rFont val="Arial"/>
        <family val="0"/>
        <charset val="1"/>
      </rPr>
      <t xml:space="preserve">RED FLAG: Advisor admitted MPWR's 'live' price was filled in from memory, not retrieved; on a proper re-pull, four of five such prices were wrong.
</t>
    </r>
    <r>
      <rPr>
        <sz val="10"/>
        <color rgb="FFC00000"/>
        <rFont val="Arial"/>
        <family val="0"/>
        <charset val="1"/>
      </rPr>
      <t xml:space="preserve">- Jumped 10.6% overnight, blowing straight through the standing buy limit - the entry moved further away.
</t>
    </r>
    <r>
      <rPr>
        <sz val="10"/>
        <color rgb="FF000000"/>
        <rFont val="Arial"/>
        <family val="0"/>
        <charset val="1"/>
      </rPr>
      <t xml:space="preserve">  Earnings-related fundamentals refresh on MPWR preserved during a data cleanup.</t>
    </r>
  </si>
  <si>
    <t xml:space="preserve">  Energy group cleaned up: MPWR now sits in a tighter 12-name electrification-and-power bucket with ETN, VRT, GEV, VST, NEE.
  MPWR moved from Energy to Power &amp; Electrification group (we own 1 sh, cost $1,538.56, budget $5,000) - its P&amp;L now reports under Power &amp; Electrification. It makes power-management chips for AI/data-centre boards.
  (new, not yet condensed) Aug 7 move: MPWR (Monolithic Power Systems, HELD - 1 sh / 1,538.56 cost / 5,000 budget) moved Energy -&gt; Power and Electrification per request. Field values, position and budget untouched; group P&amp;L attribution now reports under Power and Electrification. Energy 11 -&gt; 10 names, Power and ...</t>
  </si>
  <si>
    <r>
      <rPr>
        <sz val="10"/>
        <color rgb="FF000000"/>
        <rFont val="Arial"/>
        <family val="0"/>
        <charset val="1"/>
      </rPr>
      <t xml:space="preserve">  NVT (nVent Electric) added at $162.24 as watchlist-only in the new six-name Power and Electrification group (which also absorbed held positions ETN and GEV).
</t>
    </r>
    <r>
      <rPr>
        <sz val="10"/>
        <color rgb="FF1E7B34"/>
        <rFont val="Arial"/>
        <family val="0"/>
        <charset val="1"/>
      </rPr>
      <t xml:space="preserve">+ nVent has raised full-year guidance twice on AI liquid-cooling demand and is buying back its own shares.
</t>
    </r>
    <r>
      <rPr>
        <sz val="10"/>
        <color rgb="FF000000"/>
        <rFont val="Arial"/>
        <family val="0"/>
        <charset val="1"/>
      </rPr>
      <t xml:space="preserve">  Data caveat: sources disagreed on the close ($162.24 vs $163.68); $162.24 was stored on a two-sources-to-one basis.</t>
    </r>
  </si>
  <si>
    <r>
      <rPr>
        <sz val="10"/>
        <color rgb="FF000000"/>
        <rFont val="Arial"/>
        <family val="0"/>
        <charset val="1"/>
      </rPr>
      <t xml:space="preserve">  POWI (Power Integrations) added to Power &amp; Electrification at the Aug 7 close $64.59. Makes energy-efficient power-conversion chips for industry, renewables and AI. Watchlist only.
</t>
    </r>
    <r>
      <rPr>
        <sz val="10"/>
        <color rgb="FF1E7B34"/>
        <rFont val="Arial"/>
        <family val="0"/>
        <charset val="1"/>
      </rPr>
      <t xml:space="preserve">+ Rock-solid balance sheet (no debt, pays a dividend), 54% gross margins, and Q2 beat and jumped ~9%. A quality niche chipmaker levered to grid/renewables demand.
</t>
    </r>
    <r>
      <rPr>
        <sz val="10"/>
        <color rgb="FFC00000"/>
        <rFont val="Arial"/>
        <family val="0"/>
        <charset val="1"/>
      </rPr>
      <t xml:space="preserve">- Barely profitable right now, so the P/E (147) and EV/EBITDA (80) look extreme; you're paying up for a recovery. Only 5 analysts, avg target $77. Stock $65 vs a $91 high.</t>
    </r>
  </si>
  <si>
    <r>
      <rPr>
        <sz val="10"/>
        <color rgb="FFC00000"/>
        <rFont val="Arial"/>
        <family val="0"/>
        <charset val="1"/>
      </rPr>
      <t xml:space="preserve">- Powell Industries missed on both revenue and profit Aug 3, gapping down almost 13% before closing -3.8%; with only four analysts covering it, the price moves violently.
</t>
    </r>
    <r>
      <rPr>
        <sz val="10"/>
        <color rgb="FF1E7B34"/>
        <rFont val="Arial"/>
        <family val="0"/>
        <charset val="1"/>
      </rPr>
      <t xml:space="preserve">+ The order book tells the opposite story: new orders +158%, backlog +69%, and a 3.0x book-to-bill - three dollars booked for every dollar shipped.
</t>
    </r>
    <r>
      <rPr>
        <sz val="10"/>
        <color rgb="FF000000"/>
        <rFont val="Arial"/>
        <family val="0"/>
        <charset val="1"/>
      </rPr>
      <t xml:space="preserve">  Watchlist-only in the new Power &amp; Electrification group at $211.38; an implausible 122.6% return-on-capital figure was rejected for the conservative 38.4%.</t>
    </r>
  </si>
  <si>
    <r>
      <rPr>
        <sz val="10"/>
        <color rgb="FF000000"/>
        <rFont val="Arial"/>
        <family val="0"/>
        <charset val="1"/>
      </rPr>
      <t xml:space="preserve">  PWR added watchlist-only to the new 'Power and Electrification' group alongside POWL, NVT and HUBB.
</t>
    </r>
    <r>
      <rPr>
        <sz val="10"/>
        <color rgb="FF1E7B34"/>
        <rFont val="Arial"/>
        <family val="0"/>
        <charset val="1"/>
      </rPr>
      <t xml:space="preserve">+ Quanta Services ($693) beat big on Jul 30 and raised full-year guidance - revenue +41%, backlog $53.4B; the stock jumped 13.65% that day.</t>
    </r>
  </si>
  <si>
    <r>
      <rPr>
        <sz val="10"/>
        <color rgb="FFC00000"/>
        <rFont val="Arial"/>
        <family val="0"/>
        <charset val="1"/>
      </rPr>
      <t xml:space="preserve">- AIRJ is filed under Energy but is really an industrial equipment maker (atmospheric water capture); a lottery ticket, and its news is about drinking water, not energy.
</t>
    </r>
    <r>
      <rPr>
        <sz val="10"/>
        <color rgb="FF1E7B34"/>
        <rFont val="Arial"/>
        <family val="0"/>
        <charset val="1"/>
      </rPr>
      <t xml:space="preserve">+ Real traction: 50/50 JV with GE Vernova is operating (unit installed at GE's NY campus Jul 28); Kubota signed as exclusive US residential partner Jul 21, stock +15% that day.
+ Balance sheet is clean: $35M cash, no debt, funded into 2028; all five covering analysts have targets above the price (lowest $6.00 vs $5.95).
</t>
    </r>
    <r>
      <rPr>
        <sz val="10"/>
        <color rgb="FFC00000"/>
        <rFont val="Arial"/>
        <family val="0"/>
        <charset val="1"/>
      </rPr>
      <t xml:space="preserve">- But there is no revenue at all - advisor's verdict: interesting, not a buy today.
</t>
    </r>
    <r>
      <rPr>
        <sz val="10"/>
        <color rgb="FF000000"/>
        <rFont val="Arial"/>
        <family val="0"/>
        <charset val="1"/>
      </rPr>
      <t xml:space="preserve">  Data caveat: the $5.84 Aug 4 close comes from a single source; no second source had that day's data.
  Housekeeping: AIRJ was already in Energy, so the regrouping request needed no action.
  Moved from Energy into the new Renewal Energy group. (Group label only - no change to any figures.)</t>
    </r>
  </si>
  <si>
    <t xml:space="preserve">  Moved from Energy into the new Renewal Energy group. (Group label only - no change to any figures.)</t>
  </si>
  <si>
    <r>
      <rPr>
        <b val="true"/>
        <sz val="10"/>
        <color rgb="FFC00000"/>
        <rFont val="Arial"/>
        <family val="0"/>
        <charset val="1"/>
      </rPr>
      <t xml:space="preserve">RED FLAG: FLNC missed Q3 badly on Aug 5: revenue $649.8M vs $806.2M expected (-19.4%), EPS -$0.24 vs +$0.02, full-year guidance cut to $2.9-3.1B from $3.2-3.6B; shares fell to ~$10.89.
</t>
    </r>
    <r>
      <rPr>
        <sz val="10"/>
        <color rgb="FFC00000"/>
        <rFont val="Arial"/>
        <family val="0"/>
        <charset val="1"/>
      </rPr>
      <t xml:space="preserve">- Verdict: a falling knife — do not buy; analysts will cut forecasts and the stock likely has further to fall.
- The $14.23 stored on the dashboard is the pre-release close and is stale; sources also disagree on FLNC's market cap ($1.43B-$2.62B), EPS, ROE and net margin.
</t>
    </r>
    <r>
      <rPr>
        <sz val="10"/>
        <color rgb="FF000000"/>
        <rFont val="Arial"/>
        <family val="0"/>
        <charset val="1"/>
      </rPr>
      <t xml:space="preserve">  FLNC had just been added to the Energy group at the Aug 5 close of $14.23 before the report; the next refresh will capture the gap down.
  Moved from Energy into the new Renewal Energy group. (Group label only - no change to any figures.)</t>
    </r>
  </si>
  <si>
    <r>
      <rPr>
        <sz val="10"/>
        <color rgb="FF000000"/>
        <rFont val="Arial"/>
        <family val="0"/>
        <charset val="1"/>
      </rPr>
      <t xml:space="preserve">  MYRG (MYR Group - you wrote 'MYR') added to the new Renewal Energy group at the Aug 7 close $337.42. An electrical-infrastructure builder: power lines, substations and data-centre/grid electrical work. Watchlist only.
</t>
    </r>
    <r>
      <rPr>
        <sz val="10"/>
        <color rgb="FF1E7B34"/>
        <rFont val="Arial"/>
        <family val="0"/>
        <charset val="1"/>
      </rPr>
      <t xml:space="preserve">+ High quality and profitable: revenue $4B (+16%), earnings more than doubled to $10.54/share, 25% return on capital, positive cash flow, almost no debt. Record Q2 and record $3.16B backlog.
+ Direct beneficiary of the grid buildout and data-centre electrification wave. Analysts see meaningful upside (avg ~$423 vs ~$337). Trades at a reasonable ~26x forward earnings for the growth.
</t>
    </r>
    <r>
      <rPr>
        <sz val="10"/>
        <color rgb="FFC00000"/>
        <rFont val="Arial"/>
        <family val="0"/>
        <charset val="1"/>
      </rPr>
      <t xml:space="preserve">- A contractor, so margins are thin (~4% net) and results can be lumpy project to project; the stock has pulled back from a $503 high.</t>
    </r>
  </si>
  <si>
    <t xml:space="preserve">+ NEE is the only dividend-quality name in the group: a $187B regulated utility plus the largest US renewables developer, 32% margins, near the ~$99 analyst fair value.
+ For real capital in the nuclear/energy group: CCJ or NEE for conviction; the SMR and storage names only as small, sized-to-lose speculative bets.</t>
  </si>
  <si>
    <t xml:space="preserve">  NEE now sits in the cleaner electrification-and-power-equipment bucket (with ETN, VRT, GEV, VST, MPWR) after the Energy group was trimmed from 18 names to 12.
  Moved from Energy into the new Renewal Energy group. (Group label only - no change to any figures.)</t>
  </si>
  <si>
    <r>
      <rPr>
        <sz val="10"/>
        <color rgb="FF000000"/>
        <rFont val="Arial"/>
        <family val="0"/>
        <charset val="1"/>
      </rPr>
      <t xml:space="preserve">  NRG (NRG Energy) added to Energy at the Aug 6 close $119.05. A big Texas power company - it generates electricity, sells it to homes, and is now a major play on data-centre/AI power demand. Watchlist only.
</t>
    </r>
    <r>
      <rPr>
        <sz val="10"/>
        <color rgb="FF1E7B34"/>
        <rFont val="Arial"/>
        <family val="0"/>
        <charset val="1"/>
      </rPr>
      <t xml:space="preserve">+ Real, profitable business paying a ~1.6% dividend: $33B revenue, earnings up 76% to $3.87/share, 24% return on equity. Cheap on next year's earnings (~12x) with a bargain PEG of 0.5.
+ Growth catalyst: on its Aug 4 call it announced a landmark 1.2-gigawatt deal (expandable to 2.4GW) to power a hyperscaler's data centre in Texas - ~$500M/yr of profit once running, ~2029.
</t>
    </r>
    <r>
      <rPr>
        <sz val="10"/>
        <color rgb="FFC00000"/>
        <rFont val="Arial"/>
        <family val="0"/>
        <charset val="1"/>
      </rPr>
      <t xml:space="preserve">- Heavily indebted (debt is ~5x equity - normal for a utility but real), and free cash flow is thin, so it looks expensive on a cash-flow basis (72x). Management sees this year's profit below the mid-point on soft Texas power prices.
- Analysts still like it (~$194 avg target vs $119 now) but two firms trimmed targets on Aug 5; the stock touched a 52-week low ($112.50) recently. The $119.05 stored is the Aug 6 close - tonight's refresh confirms it.
</t>
    </r>
    <r>
      <rPr>
        <sz val="10"/>
        <color rgb="FF000000"/>
        <rFont val="Arial"/>
        <family val="0"/>
        <charset val="1"/>
      </rPr>
      <t xml:space="preserve">  Moved from Energy into the new Renewal Energy group. (Group label only - no change to any figures.)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</si>
  <si>
    <r>
      <rPr>
        <sz val="10"/>
        <color rgb="FFC00000"/>
        <rFont val="Arial"/>
        <family val="0"/>
        <charset val="1"/>
      </rPr>
      <t xml:space="preserve">- VRT reports earnings within a week - buying now means holding a binary event within days, which is why the week's buy pick went elsewhere.
</t>
    </r>
    <r>
      <rPr>
        <sz val="10"/>
        <color rgb="FF000000"/>
        <rFont val="Arial"/>
        <family val="0"/>
        <charset val="1"/>
      </rPr>
      <t xml:space="preserve">  Per-firm analyst rating actions for mid-caps like VRT need the FMP Starter plan (~$22-29/month); the upgrade was recommended as worthwhile.</t>
    </r>
  </si>
  <si>
    <t xml:space="preserve">  VRT cited as part of the AI-rack exposure (with NVDA, AVGO, ANET, CRDO) that all rely on Amphenol connectors - context for the APH pick-and-shovel case.</t>
  </si>
  <si>
    <t xml:space="preserve">  VRT now sits in the cleaner electrification-and-power-equipment bucket after the Energy group regrouping (18 names down to 12).
  Moved from Energy into the new Renewal Energy group. (Group label only - no change to any figures.)</t>
  </si>
  <si>
    <r>
      <rPr>
        <sz val="10"/>
        <color rgb="FF000000"/>
        <rFont val="Arial"/>
        <family val="0"/>
        <charset val="1"/>
      </rPr>
      <t xml:space="preserve">  Affirm screens at 19x forward earnings with +32% growth and a 10% margin; it has only just turned profitable and carries buy-now-pay-later credit risk.
</t>
    </r>
    <r>
      <rPr>
        <sz val="10"/>
        <color rgb="FFC00000"/>
        <rFont val="Arial"/>
        <family val="0"/>
        <charset val="1"/>
      </rPr>
      <t xml:space="preserve">- Advisor files Affirm with the momentum-and-story names (Coinbase, Robinhood, Shopify), not the quality bucket - valuation has a long way to fall if growth blinks.</t>
    </r>
  </si>
  <si>
    <t xml:space="preserve">  Moved into the new Digital Applications group (from Fintech/Digital Platform). Group label only - no change to any figures or position.</t>
  </si>
  <si>
    <r>
      <rPr>
        <sz val="10"/>
        <color rgb="FF000000"/>
        <rFont val="Arial"/>
        <family val="0"/>
        <charset val="1"/>
      </rPr>
      <t xml:space="preserve">  BKNG (Booking Holdings) added to Digital Applications at the Aug 7 close $214.42 (split-adjusted). The world's largest online travel agency (Booking.com, Priceline, Agoda). Watchlist only.
</t>
    </r>
    <r>
      <rPr>
        <sz val="10"/>
        <color rgb="FF1E7B34"/>
        <rFont val="Arial"/>
        <family val="0"/>
        <charset val="1"/>
      </rPr>
      <t xml:space="preserve">+ Exceptional economics: 87% gross margin, 92% return on invested capital, $9.5B cash flow; Q2 beat with profit up 131% and a record $3.7B buyback. 38 analysts Buy, avg ~$238.
</t>
    </r>
    <r>
      <rPr>
        <sz val="10"/>
        <color rgb="FFC00000"/>
        <rFont val="Arial"/>
        <family val="0"/>
        <charset val="1"/>
      </rPr>
      <t xml:space="preserve">- Carries negative book equity from years of buybacks (so some ratios don't compute - normal for BKNG), and growth is moderating to high-single-digits.</t>
    </r>
  </si>
  <si>
    <t xml:space="preserve">  MELI appears among the pre-dashboard closed exits (with TTD, APP, SOFI, HOOD) captured in the new group P&amp;L view.</t>
  </si>
  <si>
    <r>
      <rPr>
        <sz val="10"/>
        <color rgb="FF000000"/>
        <rFont val="Arial"/>
        <family val="0"/>
        <charset val="1"/>
      </rPr>
      <t xml:space="preserve">  Verdict: parked, not rejected - it reported the night before, fell 4.5% with margins down 550bps; same timing trap as APP, revisit in a week once the dust settles.
</t>
    </r>
    <r>
      <rPr>
        <sz val="10"/>
        <color rgb="FF1E7B34"/>
        <rFont val="Arial"/>
        <family val="0"/>
        <charset val="1"/>
      </rPr>
      <t xml:space="preserve">+ Still the most attractive fundamentals of the candidate list: the cheapest cash flow of the lot at $1,922.57 with +15% upside shown and revenue growing 50%.
</t>
    </r>
    <r>
      <rPr>
        <sz val="10"/>
        <color rgb="FFC00000"/>
        <rFont val="Arial"/>
        <family val="0"/>
        <charset val="1"/>
      </rPr>
      <t xml:space="preserve">- Risk: MELI fell because its numbers got worse - when analysts update they will cut forecasts, so the stock likely has further to adjust downward.
</t>
    </r>
    <r>
      <rPr>
        <sz val="10"/>
        <color rgb="FF000000"/>
        <rFont val="Arial"/>
        <family val="0"/>
        <charset val="1"/>
      </rPr>
      <t xml:space="preserve">  Moved into the new Digital Applications group (from Fintech/Digital Platform). Group label only - no change to any figures or position.</t>
    </r>
  </si>
  <si>
    <r>
      <rPr>
        <sz val="10"/>
        <color rgb="FF000000"/>
        <rFont val="Arial"/>
        <family val="0"/>
        <charset val="1"/>
      </rPr>
      <t xml:space="preserve">  NFLX (Netflix) added to Digital Applications at the Aug 7 close $74.14 (price is low because of a 10-for-1 stock split in Nov 2025 - not comparable to old ~$700 levels). Watchlist only.
</t>
    </r>
    <r>
      <rPr>
        <sz val="10"/>
        <color rgb="FF1E7B34"/>
        <rFont val="Arial"/>
        <family val="0"/>
        <charset val="1"/>
      </rPr>
      <t xml:space="preserve">+ Elite business: 28% net margin, 49% return on equity, $11B free cash flow, trades at a reasonable 23x earnings. 51 analysts rate it Buy, avg target ~$94.
</t>
    </r>
    <r>
      <rPr>
        <sz val="10"/>
        <color rgb="FFC00000"/>
        <rFont val="Arial"/>
        <family val="0"/>
        <charset val="1"/>
      </rPr>
      <t xml:space="preserve">- Down ~37% over the past year; Q2 earnings beat but weak next-quarter guidance knocked it ~9%. Growth is steady (low-teens), not explosive.</t>
    </r>
  </si>
  <si>
    <t xml:space="preserve">  Moved into the Digital Applications group (from Fintech/Digital Platform). Group label only.</t>
  </si>
  <si>
    <t xml:space="preserve">- Great business but priced for perfection at 84x EV/EBITDA with +32% growth; bucketed with the momentum-and-story names where valuation has far to fall if growth blinks.</t>
  </si>
  <si>
    <r>
      <rPr>
        <sz val="10"/>
        <color rgb="FF000000"/>
        <rFont val="Arial"/>
        <family val="0"/>
        <charset val="1"/>
      </rPr>
      <t xml:space="preserve">  SOUN (SoundHound AI) added to the Digital Platform group at the Aug 6 close $7.08. A small voice-AI company - drive-thru ordering, in-car assistants, AI call-centre agents. Watchlist only.
</t>
    </r>
    <r>
      <rPr>
        <sz val="10"/>
        <color rgb="FF1E7B34"/>
        <rFont val="Arial"/>
        <family val="0"/>
        <charset val="1"/>
      </rPr>
      <t xml:space="preserve">+ Record Q2 (Aug 5): revenue $61.9M +45%, margins improving, full-year outlook RAISED to $230-260M. It has $203M cash and almost no debt, so plenty of runway. Stock jumped 10% on the news.
</t>
    </r>
    <r>
      <rPr>
        <sz val="10"/>
        <color rgb="FFC00000"/>
        <rFont val="Arial"/>
        <family val="0"/>
        <charset val="1"/>
      </rPr>
      <t xml:space="preserve">- Still loses a lot of money: -67% net margin, burning ~$142M cash a year, no P/E. You're buying a growth story, not profits - and it's priced at 15x sales while unprofitable.
</t>
    </r>
    <r>
      <rPr>
        <b val="true"/>
        <sz val="10"/>
        <color rgb="FFC00000"/>
        <rFont val="Arial"/>
        <family val="0"/>
        <charset val="1"/>
      </rPr>
      <t xml:space="preserve">RED FLAG: Extreme-risk profile: 43% of its shares are sold short (one of the most-shorted stocks anywhere), beta 2.8, and it trades at $7 vs a 52-week range of $5.65-$22. Very volatile - a speculative bet, not a core holding.
</t>
    </r>
    <r>
      <rPr>
        <sz val="10"/>
        <color rgb="FF000000"/>
        <rFont val="Arial"/>
        <family val="0"/>
        <charset val="1"/>
      </rPr>
      <t xml:space="preserve">  Moved into the Digital Applications group (from Fintech/Digital Platform). Group label only - no change to figures.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</si>
  <si>
    <t xml:space="preserve">  Uber is one of 12 watchlist-only names occupying the free data feed's whitelist while $242K of actual holdings goes unpriced - an entitlement quirk, not a stock view.</t>
  </si>
  <si>
    <r>
      <rPr>
        <sz val="10"/>
        <color rgb="FFC00000"/>
        <rFont val="Arial"/>
        <family val="0"/>
        <charset val="1"/>
      </rPr>
      <t xml:space="preserve">- Uber deployed AI aggressively and, by its own admission, cannot yet prove it paid for itself - the discipline point that 'this company uses AI' is not a thesis.
- If two or three more large firms follow Uber in admitting they cannot trace AI spending to output, the whole 'AI as margin lever' thesis needs rethinking.
</t>
    </r>
    <r>
      <rPr>
        <sz val="10"/>
        <color rgb="FF000000"/>
        <rFont val="Arial"/>
        <family val="0"/>
        <charset val="1"/>
      </rPr>
      <t xml:space="preserve">  Moved into the new Digital Applications group (from Fintech/Digital Platform). Group label only - no change to any figures or position.</t>
    </r>
  </si>
  <si>
    <r>
      <rPr>
        <sz val="10"/>
        <color rgb="FF000000"/>
        <rFont val="Arial"/>
        <family val="0"/>
        <charset val="1"/>
      </rPr>
      <t xml:space="preserve">  WDAY (Workday) added to Digital Applications at the Aug 7 close $179.64. Cloud software for HR and finance departments. Watchlist only.
</t>
    </r>
    <r>
      <rPr>
        <sz val="10"/>
        <color rgb="FF1E7B34"/>
        <rFont val="Arial"/>
        <family val="0"/>
        <charset val="1"/>
      </rPr>
      <t xml:space="preserve">+ Cash-rich, not earnings-poor: the headline P/E (56) looks high on accounting profit, but on cash terms it's cheap (forward P/E 16, PEG 0.76, $3B free cash flow). Steady ~13% growth.
</t>
    </r>
    <r>
      <rPr>
        <sz val="10"/>
        <color rgb="FFC00000"/>
        <rFont val="Arial"/>
        <family val="0"/>
        <charset val="1"/>
      </rPr>
      <t xml:space="preserve">- 11% of shares are shorted, the founder returned as CEO with layoffs in Feb, and analysts' avg target ($169) sits below today's price. Reports Aug 27.</t>
    </r>
  </si>
  <si>
    <r>
      <rPr>
        <sz val="10"/>
        <color rgb="FF000000"/>
        <rFont val="Arial"/>
        <family val="0"/>
        <charset val="1"/>
      </rPr>
      <t xml:space="preserve">  CAT (Caterpillar) added to the new Industrial STX group at the Aug 7 close $842.19. The world's biggest construction and mining equipment maker; also a data-centre-power beneficiary. Watchlist only.
</t>
    </r>
    <r>
      <rPr>
        <sz val="10"/>
        <color rgb="FF1E7B34"/>
        <rFont val="Arial"/>
        <family val="0"/>
        <charset val="1"/>
      </rPr>
      <t xml:space="preserve">+ Firing on all cylinders: revenue +18%, 57% return on equity, record backlog; Q2 beat and jumped ~9%. Pays a small dividend. 28 analysts Buy, avg ~$973.
</t>
    </r>
    <r>
      <rPr>
        <sz val="10"/>
        <color rgb="FFC00000"/>
        <rFont val="Arial"/>
        <family val="0"/>
        <charset val="1"/>
      </rPr>
      <t xml:space="preserve">- Cyclical and richly valued (P/E 36); already pulled back ~21% from its June peak of ~$1,073, so it can be volatile.</t>
    </r>
  </si>
  <si>
    <r>
      <rPr>
        <sz val="10"/>
        <color rgb="FF000000"/>
        <rFont val="Arial"/>
        <family val="0"/>
        <charset val="1"/>
      </rPr>
      <t xml:space="preserve">  DE (Deere) added to Industrial STX at the Aug 7 close $620.83. The world's largest maker of farm machinery, plus construction equipment. Watchlist only.
</t>
    </r>
    <r>
      <rPr>
        <sz val="10"/>
        <color rgb="FFC00000"/>
        <rFont val="Arial"/>
        <family val="0"/>
        <charset val="1"/>
      </rPr>
      <t xml:space="preserve">- In a farming downturn right now: earnings down ~15% and low returns on capital this year, though management expects agriculture to bottom in 2026.
</t>
    </r>
    <r>
      <rPr>
        <sz val="10"/>
        <color rgb="FF1E7B34"/>
        <rFont val="Arial"/>
        <family val="0"/>
        <charset val="1"/>
      </rPr>
      <t xml:space="preserve">+ Still a dominant franchise with pricing power; 24 analysts rate it Buy, avg ~$648. Reports Aug 20. A recovery play if the ag cycle turns.</t>
    </r>
  </si>
  <si>
    <r>
      <rPr>
        <sz val="10"/>
        <color rgb="FF000000"/>
        <rFont val="Arial"/>
        <family val="0"/>
        <charset val="1"/>
      </rPr>
      <t xml:space="preserve">  GE (GE Aerospace) added to Industrial STX at the Aug 7 close $370.08. This is the jet-engine company left after GE split into three in 2024 - NOT the old conglomerate. Watchlist only.
</t>
    </r>
    <r>
      <rPr>
        <sz val="10"/>
        <color rgb="FF1E7B34"/>
        <rFont val="Arial"/>
        <family val="0"/>
        <charset val="1"/>
      </rPr>
      <t xml:space="preserve">+ Best-in-class: revenue +22%, 31% return on capital, strong cash flow; Q2 beat and raised full-year guidance. 22 analysts rate it STRONG BUY (avg ~$405) - the highest conviction of these four industrials.
</t>
    </r>
    <r>
      <rPr>
        <sz val="10"/>
        <color rgb="FFC00000"/>
        <rFont val="Arial"/>
        <family val="0"/>
        <charset val="1"/>
      </rPr>
      <t xml:space="preserve">- Priced for perfection at 44x earnings and sits near its all-time high, so limited margin for error.</t>
    </r>
  </si>
  <si>
    <r>
      <rPr>
        <sz val="10"/>
        <color rgb="FF000000"/>
        <rFont val="Arial"/>
        <family val="0"/>
        <charset val="1"/>
      </rPr>
      <t xml:space="preserve">  MMM (3M) added to Industrial STX at the Aug 7 close $182.90. A diversified industrial (tapes, abrasives, safety, electronics) recovering after big legal settlements. Watchlist only.
</t>
    </r>
    <r>
      <rPr>
        <sz val="10"/>
        <color rgb="FF1E7B34"/>
        <rFont val="Arial"/>
        <family val="0"/>
        <charset val="1"/>
      </rPr>
      <t xml:space="preserve">+ Turnaround underway: Q2 beat, best organic growth in 5 years, raised full-year guidance; pays a 1.7% dividend. 37% return on capital.
</t>
    </r>
    <r>
      <rPr>
        <sz val="10"/>
        <color rgb="FFC00000"/>
        <rFont val="Arial"/>
        <family val="0"/>
        <charset val="1"/>
      </rPr>
      <t xml:space="preserve">- Near its 52-week high with the average analyst target (~$182) essentially at today's price - limited upside priced in - and heavy debt from PFAS/earplug settlements. Views are split (3 Sells).</t>
    </r>
  </si>
  <si>
    <t xml:space="preserve">Date</t>
  </si>
  <si>
    <t xml:space="preserve">Source</t>
  </si>
  <si>
    <t xml:space="preserve">Comment</t>
  </si>
  <si>
    <t xml:space="preserve">Claude - chat</t>
  </si>
  <si>
    <t xml:space="preserve">Everything is reconciled and re-deployed — dashboard, workbook, dad's link, sidebar artifact, and your P4 folder all now tie to the POEMS statement to the cent: cost $536,988.31, MV $635,013.32, +18.25%. AAOI is also in (details below).</t>
  </si>
  <si>
    <t xml:space="preserve">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</si>
  <si>
    <t xml:space="preserve">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</si>
  <si>
    <t xml:space="preserve">⚠ The whole gap is one row: CRWD — the July 2026 4-for-1 stock split was never applied to your manual record.</t>
  </si>
  <si>
    <t xml:space="preserve">On your naming request — I applied my recommendations and here's the reasoning, all easy to revert if any miss:</t>
  </si>
  <si>
    <t xml:space="preserve">One flag for your own records: I applied the standard $8.56 POEMS commission on this fill (same rate we standardized in the reconciliation). If your trade confirmation shows a different fee, tell me and I'll true up the cost basis to the cent.</t>
  </si>
  <si>
    <t xml:space="preserve">Three AI-datacenter / crypto-miner neocloud names — APLD (Applied Digital), CIFR (Cipher Mining), HUT (Hut 8) — into the Neocloud group (g=13, alongside IREN/NBIS/CRWV). Pulling their fundamentals.</t>
  </si>
  <si>
    <t xml:space="preserve">| APLD | Applied Digital | $27.19 | −42% | +112% | −59% | 1.10 | Signed hyperscaler leases; heavy capex build |</t>
  </si>
  <si>
    <t xml:space="preserve">Stagger applied — earnings job now 03:00 UTC, clear of the 01:00 pile-up. Now the staleness marker.</t>
  </si>
  <si>
    <t xml:space="preserve">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</si>
  <si>
    <t xml:space="preserve">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</si>
  <si>
    <t xml:space="preserve">Dashboard note effe9e9</t>
  </si>
  <si>
    <t xml:space="preserve">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</si>
  <si>
    <t xml:space="preserve">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</si>
  <si>
    <t xml:space="preserve">⚠️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</si>
  <si>
    <t xml:space="preserve">- AAPL is alone in the worst quadrant — thinnest margin of the seven (47.9%) at the highest multiple (40.5x). Smallest position, thankfully.</t>
  </si>
  <si>
    <t xml:space="preserve">Done — every ladder row now carries a paired-bar column: top lane = conviction (green, extends right toward avg fair value), bottom lane = devastation (red, extends left from the 52-week high), both anchored to a shared zero line so lengths are directly comparable. Stocks at their ATH show "at ATH" instead of a bar, and negative conviction (like AAPL, priced above its avg target) correctly flips left in red. The scale re-normalizes to whichever group filter is active, and hovering any bar pair gives the exact figures.</t>
  </si>
  <si>
    <t xml:space="preserve">- Rating actions (7 days), with names: AAPL — HSBC upgrade Hold→Buy (Jul 17) vs KeyBanc downgrade Sector Weight→Underweight (Jul 14). A genuine bull-bear split on your at-ATH position; the other 10 covered names had zero non-maintain actions this week.</t>
  </si>
  <si>
    <t xml:space="preserve">| Analyst data (price targets, upgrades/downgrades, estimates) | ⚠️ only ~11 mega-caps (NVDA, MSFT, AAPL, TSM...) | The Street-signals section — this is the gated part |</t>
  </si>
  <si>
    <t xml:space="preserve">⚠️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</si>
  <si>
    <t xml:space="preserve">At the other end, AAPL prints 96% of range — it's sitting at the top of its band while the HI lane shows only −2%. That's a name where the ladder is telling you there's nothing left to buy.</t>
  </si>
  <si>
    <t xml:space="preserve">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</si>
  <si>
    <t xml:space="preserve">Dashboard note 97dee22</t>
  </si>
  <si>
    <t xml:space="preserve">Jul 30, 2026 · close — 47 held names marked to the POEMS positions screen; watchlist at Jul 29–30 close — fundamentals refreshed Jul 31 (post-earnings: AAPL · AMZN · COIN · MA · KLAC catch-up)</t>
  </si>
  <si>
    <t xml:space="preserve">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</si>
  <si>
    <t xml:space="preserve">ADBE was already in SaaS. It has been in there since you asked me to add it a couple of days ago, so nothing needed doing. I only added VEEV (Veeva Systems) — SaaS now shows 11 names.</t>
  </si>
  <si>
    <t xml:space="preserve">1. AIRJ — nothing to do. It was already sitting in Energy. Same situation as ADBE last time. I'm telling you rather than quietly skipping it, so you know the request wasn't dropped.</t>
  </si>
  <si>
    <t xml:space="preserve">The real contest was Adobe vs. Salesforce. Both trade at roughly nine times the cash they throw off, which for software of this quality is genuinely unusual — the market is pricing both as if AI will eat them.</t>
  </si>
  <si>
    <t xml:space="preserve">What separated them: Adobe's damage shows up in the actual numbers. New subscription revenue came in around $400M against expectations of $450–460M — a real miss. Its flagship AI product, Firefly, is under 2% of a $26 billion revenue base. Morgan Stanley's price target of $240 sits *below* today's price. The analyst community has quietly capitulated.</t>
  </si>
  <si>
    <t xml:space="preserve">Dashboard note 7e7d133</t>
  </si>
  <si>
    <t xml:space="preserve">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</si>
  <si>
    <t xml:space="preserve">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</si>
  <si>
    <t xml:space="preserve">LUNR (Intuitive Machines) → Space (g=7), AEHR (Aehr Test Systems, semi test equipment) → Computing Chips (g=1). Pulling fundamentals.</t>
  </si>
  <si>
    <t xml:space="preserve">Both added — LUNR in Space, AEHR in Computing Chips (97 tickers total) across the dashboard, workbook, and dad's link.</t>
  </si>
  <si>
    <t xml:space="preserve">| AEHR | Computing Chips | $76.32 | −40% | −15% | −14% | avg $115 (+51%) | Semi burn-in test; revenue *shrinking* |</t>
  </si>
  <si>
    <t xml:space="preserve">⚠️ AEHR's revenue is *declining* (−15%), which is the red flag here. Most of your speculative adds at least have explosive growth to justify the story — AEHR doesn't right now. It's a niche semiconductor *test/burn-in* equipment maker (wafer-level reliability testing, historically levered to silicon-carbide/EV chips), and that end market softened. It trades at ~50× sales with *shrinking* revenue and a −26 Rule-of-40. The analyst target of $115 (+51%) is a bet on a silicon-carbide/AI-test recovery that isn't in the numbers yet. Interesting call option, but the fundamentals are moving the wrong way — size it accordingly.</t>
  </si>
  <si>
    <t xml:space="preserve">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</si>
  <si>
    <t xml:space="preserve">Two housekeeping items I did *not* do, deliberately. The FI → FISV ticker correction is blocked by the sanity gate — a renamed ticker registers as "FI VANISHED", which is a hard failure with no override, and I'm not going to bypass a guard that has already caught two bad prints. It needs a proper `--rename OLD:NEW` flag added to the gate, which I'd rather do as its own change than smuggle into a price refresh. And I left AEHR in Computing Chips and the group-4 rename alone, since you haven't said yes to those yet.</t>
  </si>
  <si>
    <t xml:space="preserve">AEHR → Chips Manufacturing and AMPX → Energy are clean, and CRDO is already sitting in Photonic &amp; Optic Fiber so that one's done. Two snags:</t>
  </si>
  <si>
    <t xml:space="preserve">Your FMP access shrank between Jul 28 and Jul 30. The Jul 28 cron refreshed 58 tickers including ARM, AEHR, SKHY, CRWV, NBIS, OKLO, SMCI. Today ARM is denied outright. Same job, same endpoint, same code — the entitlement moved underneath it.</t>
  </si>
  <si>
    <t xml:space="preserve">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</si>
  <si>
    <t xml:space="preserve">Dashboard note 266571f</t>
  </si>
  <si>
    <t xml:space="preserve">Jul 31, 2026 · close — all names verified at the Jul 31 close; AEHR → Chips Manufacturing; DELL/HPE/SMCI → Neocloud Watch; added POET (Photonic), AMPX (Energy), NOK (Neocloud Watch)</t>
  </si>
  <si>
    <t xml:space="preserve">Done — AEHR is back in Chips Manufacturing (now 6 names), Photonic &amp; Optic Fiber back to 12. Pushed as `ed9555c`.</t>
  </si>
  <si>
    <t xml:space="preserve">For the record, I think your instinct was right. AEHR's revenue is still mostly silicon carbide test for EVs — the photonics piece is the story, not yet the business. Grouping by story rather than by revenue is how you end up misreading a chart six months from now.</t>
  </si>
  <si>
    <t xml:space="preserve">Dashboard note 1228826</t>
  </si>
  <si>
    <t xml:space="preserve">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</si>
  <si>
    <t xml:space="preserve">Dashboard note ed9555c</t>
  </si>
  <si>
    <t xml:space="preserve">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</si>
  <si>
    <t xml:space="preserve">| | AFRM | Affirm | 19 fwd | +32% | 10% | Just turned profit; BNPL credit risk |</t>
  </si>
  <si>
    <t xml:space="preserve">AIRJ is not really an energy company, and it's a lottery ticket. I filed it under Energy because that's what you asked for, but you should know what you're looking at. Officially it's classified as an industrial equipment maker, not energy — it builds a box that pulls water vapour out of the air. The energy angle is indirect: removing humidity is the expensive part of air conditioning, so in theory it saves power. But the news driving the stock is about making drinking water, not saving energy.</t>
  </si>
  <si>
    <t xml:space="preserve">| AIRJ | No revenue at all | GE Vernova JV live, Kubota deal | ⏸️ Interesting, not today |</t>
  </si>
  <si>
    <t xml:space="preserve">Dashboard note 3eac88f</t>
  </si>
  <si>
    <t xml:space="preserve">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</si>
  <si>
    <t xml:space="preserve">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</si>
  <si>
    <t xml:space="preserve">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</si>
  <si>
    <t xml:space="preserve">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</si>
  <si>
    <t xml:space="preserve">- Semi Equipment (+50%) and Software (+56%) are your best percentage performers — LRCX, AMAT, CRWD (+108%), PLTR all pulling hard.</t>
  </si>
  <si>
    <t xml:space="preserve">💡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</si>
  <si>
    <t xml:space="preserve">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</si>
  <si>
    <t xml:space="preserve">So here's the problem you actually have. For 36 of your 47 holdings — including AVGO, MU, ASML and AMAT, which together are about $98,000 — the wall board is showing today's live price, but the stored file still has the price from July 28th. The page *looks* current. The math underneath isn't.</t>
  </si>
  <si>
    <t xml:space="preserve">-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</si>
  <si>
    <t xml:space="preserve">4. Where the dry powder concentrates: Computing Chips ($68K) and Chips Manufacturing ($57K) — your two best-performing groups (+19%, +64%). The plan wants you adding to winners; NVDA alone has $8.5K of room, TSM $14K, MU $14.6K, AMD $11.2K.</t>
  </si>
  <si>
    <t xml:space="preserve">The only red cell in the whole row is ORCL (3x over its 5K allocation) — everything else has room. Biggest green: NVDA +$8.5K, TSM +$14K, MU +$14.6K, AMD +$11.2K, Chips MFG names collectively +$57K.</t>
  </si>
  <si>
    <t xml:space="preserve">They don't sell a data API. TradingView's business is charts and social, not data distribution. What they publish is the *widget* family and the Advanced Charts library — client-side embeds that render data in a viewer's browser. There is no REST endpoint you can subscribe to at any price tier, including Premium. Their exchange licences let them *display* data, not redistribute it as a feed, so this isn't a gap they're going to fill.</t>
  </si>
  <si>
    <t xml:space="preserve">Second data point, quieter but more important for margins: they *"reduced the cost of AI Mode responses to its lowest level since launch, even as we've brought more advanced AI capabilities."* Google is serving better AI for less money per answer. That's the whole ballgame for a company answering billions of queries a day.</t>
  </si>
  <si>
    <t xml:space="preserve">What Dad sees: each wedge is one holding, and the wider the wedge the bigger that position is as a share of the book. The coloured band around the outer rim is the profit or loss — gold for a gain, red for a loss — and the thicker that band, the bigger the move. So AMD's fat gold rim tells him it's up a lot without him reading a single number. The twenty largest holdings are named individually and the remaining twenty-seven are pooled into the dark "OTHER 27" wedge so the picture stays readable. The middle carries the headline: market value $655,382, cost $552,392, up $102,990 or +18.64%, across 47 positions. Every one of those figures was computed by the page from the position data, not typed in by me.</t>
  </si>
  <si>
    <t xml:space="preserve">1. "AMP" — I do not know what Dad means, and I will not guess. There is no AMP anywhere in your 110-name dashboard. The obvious candidate is Ameriprise Financial, a wealth-management firm — which would be completely off-theme for this portfolio. The more likely reading, given the handwriting and the company he keeps on this list, is AMD, which you already own. If it is AMD: do not buy it today. AMD reports its quarterly results *after the market closes tonight*, and it is already up 6.1% at $514.00 in anticipation. Buying a stock hours before its earnings announcement is a coin flip, not an investment. Please check with Dad which one he meant.</t>
  </si>
  <si>
    <t xml:space="preserve">🎯 Conviction: Medium-High on TSM · Horizon: Long (&gt;24 months) · What would change my mind: a TSMC guidance cut, a US export-control action on advanced chips to China, or a hyperscaler publicly slowing 2027 capex. Any of those and I'd stop adding.</t>
  </si>
  <si>
    <t xml:space="preserve">| CORZ | $21.77 | +53% | ❌ Negative equity, $1.16B quarterly loss, AMD holds warrants for 30M shares at $23.47 that dilute you the moment it works |</t>
  </si>
  <si>
    <t xml:space="preserve">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</si>
  <si>
    <t xml:space="preserve">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</si>
  <si>
    <t xml:space="preserve">Dashboard note 2e5ac49</t>
  </si>
  <si>
    <t xml:space="preserve">Jul 31, 2026 · close — weekly audit Aug 3: all 110 prices re-verified at the Jul 31 close vs stockanalysis.com; 57 market caps re-based to verified shares outstanding (largest fixes: SNDK +42%, AMKR +37%, WDC +27%, TSLA +18%, NBIS -18%, ONDS -17%)</t>
  </si>
  <si>
    <t xml:space="preserve">POET and AMPX aren't on the board at all, and with FMP down I have no way to pull their price, market cap, 52-week range or fundamentals to create the entries. I can add them as empty shells now and backfill when the data feed returns, or wait — your call.</t>
  </si>
  <si>
    <t xml:space="preserve">The year-to-date column is blank for POET, AMPX and NOK. The free price source only serves about ten weeks of history and won't go back to January no matter how I ask it. Everything else on their cards is real.</t>
  </si>
  <si>
    <t xml:space="preserve">The honest trade-off: the FCF version punishes companies mid-investment even when that investment is rational — AMZN's 13.9 looks worse than the business is. It's deliberately harsh.</t>
  </si>
  <si>
    <t xml:space="preserve">| Next earnings | ~early Aug | ~Jul 29 | ~Jul 29 | ~early Sept | Jul 30 (MarketBeat (https://www.marketbeat.com/stocks/NASDAQ/AMZN/earnings/)) |</t>
  </si>
  <si>
    <t xml:space="preserve">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</si>
  <si>
    <t xml:space="preserve">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</si>
  <si>
    <t xml:space="preserve">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</si>
  <si>
    <t xml:space="preserve">On SNDK, because that +34.9% conviction and 8.6× forward PE will tempt you: that's the classic peak-cycle trap. NAND is the most violently cyclical commodity in semis; a single-digit forward multiple on supercycle earnings after a +550% YTD run is how the market prices "these earnings won't last." And portfolio-wise it would be your *third* memory bet stacked on MU (+66% unrealized, $28.6K) and SKHY. It's on the watchlist now — the right entry is the first NAND price wobble, not an all-time-high week. WDC is SNDK with less upside; VRT is fine but you'd pay 42× a week before earnings; AMZN is the respectable second choice (+27% upside, 65 analysts, cheapest PS in the book) but its moment is *after* the Jul 30 print — a strong AWS quarter would also be your green light on more CRDO, since Amazon is a major AEC end-market.</t>
  </si>
  <si>
    <t xml:space="preserve">Only one position change, and it matches your order screen exactly: AMZN +8 sh filled at $244.00 (your $244.20 limit caught the dip — 202 sh now, cost $46,594.67, leaving $3,405 budget room on the $50K plan). Cash moved $27,352.14 → $25,394.23, which ties the buy plus ~$6 of fees. Booked into the Jul 22 trade log. The book now matches POEMS to the cent again: cost $538,948.94, MV $635,013.66, +$96,065 (+17.8%).</t>
  </si>
  <si>
    <t xml:space="preserve">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</si>
  <si>
    <t xml:space="preserve">What would change my mind: an earnings-week selloff (META/AMZN report Jul 30) dragging GOOGL or META down to their limits — those are far higher-quality triggers than RKLB, and I'd rather you spend into a $300 GOOGL or $600 META than a $70 RKLB. Watch those two into month-end.</t>
  </si>
  <si>
    <t xml:space="preserve">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</si>
  <si>
    <t xml:space="preserve">And the one that actually bites you. That warning about differing from corporate reports isn't boilerplate — it's the GAAP versus adjusted problem, and you hit it two days ago. Amazon's reported Q2 EPS was $5.75, but that figure includes a $53.4 billion pre-tax mark-up on their Anthropic stake. It's a paper gain, not the operating business. I stored 8.61 on your board — the underlying trailing figure with the gain stripped out — because $5.75 would make Amazon's P/E look like something it isn't.</t>
  </si>
  <si>
    <t xml:space="preserve">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</si>
  <si>
    <t xml:space="preserve">| Skip for now | AMZN, GOOGL, MSFT | 23–33% above Dad's limits, smallest upside of the group | Medium |</t>
  </si>
  <si>
    <t xml:space="preserve">| 4 | AMZN | Margin 11.4% → 13.7%; robot $3k vs human $34k | ★★★★★ Reported | $285.83 | 29.3× | +13% | Medium (price) |</t>
  </si>
  <si>
    <t xml:space="preserve">The mechanism is brutally simple. A human warehouse worker costs roughly $34,000 a year with benefits. A robot costs roughly $3,000 a year in maintenance and electricity. Amazon has over 1.5 million employees and is building 100 new robotic fulfilment centres over 18 months. Robotic facilities process orders 40% faster. Morgan Stanley puts the annual saving at up to $4 billion.</t>
  </si>
  <si>
    <t xml:space="preserve">&gt;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</si>
  <si>
    <t xml:space="preserve">- Amazon's operating margin stalls below 14% next quarter despite the robot rollout — the savings would be one-off, not structural.</t>
  </si>
  <si>
    <t xml:space="preserve">Portfolio: $655,382 market value on $552,392 cost — up $102,990, or 18.6%. Cash $13,997.90, though the AMZN contract hasn't settled yet, so roughly $11,992 is genuinely free.</t>
  </si>
  <si>
    <t xml:space="preserve">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</si>
  <si>
    <t xml:space="preserve">The only residual is that $254 commission drift — on POEMS basis my net capital is $566,821 vs your sheet's $567,075. Trim those six cost rows (TER/ANET/MU/NVDA/CRWD/TSM) and they'll tie to the dollar. Want me to note that as a fix in your reconciliation reminder so it doesn't get forgotten?</t>
  </si>
  <si>
    <t xml:space="preserve">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</si>
  <si>
    <t xml:space="preserve">| Budget | Takes APH from $2,004 to ~$3,935 of a $10,000 budget — still only 39% deployed |</t>
  </si>
  <si>
    <t xml:space="preserve">And you are not paying up for it. APH trades at 27.4x forward against its own five-year median of 34.3x. Dad is buying a business that just accelerated, at a *discount to its own history*, in the week the news came out. Barclays put $200 on it and Citi $195 on July 28; consensus PT is $186 against $152.60.</t>
  </si>
  <si>
    <t xml:space="preserve">⚠️ Why a limit and not market: the stock gapped roughly +6% on the print. Never chase a gap. Pre-earnings it closed near $144. A limit at $148.50 sits in the middle of the gap and fills on any ordinary two-day cooling off, which happens more often than not after a +6% open. If it doesn't fill within five sessions and APH is still holding above $150, raise the limit to $152 — do not go to market.</t>
  </si>
  <si>
    <t xml:space="preserve">&gt; Summary in one line: Buy APH at a $148.50 limit for ~$1,930. Sit on your hands for META until tomorrow morning. Everything else on both notes is either overpriced, mispriced, or broken.</t>
  </si>
  <si>
    <t xml:space="preserve">Good question, and the honest answer starts with a constraint dad's note didn't account for: you have ~$17,600 of cash after the APH ticket, but these three names have ~$40,500 of unused budget between them. So this isn't three separate ladders — it's one queue. Bands first, then the sequencing.</t>
  </si>
  <si>
    <t xml:space="preserve">APLD, CIFR, and HUT are live in the Neocloud group (now 6 names alongside IREN, NBIS, CRWV) across the dashboard, workbook, and dad's link — 92 tickers total.</t>
  </si>
  <si>
    <t xml:space="preserve">&gt;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</si>
  <si>
    <t xml:space="preserve">These belong in the same mental bucket as your existing "To Be Sold" neocloud names — high-torque call options on AI power, sized to lose. Want me to pull the actual signed-contract backlog on APLD and HUT to see which one's buildout is de-risked by real customer commitments?</t>
  </si>
  <si>
    <t xml:space="preserve">Dashboard note 043fb31</t>
  </si>
  <si>
    <t xml:space="preserve">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</si>
  <si>
    <t xml:space="preserve">- Why AppLovin Stock Fell 24% in the First Half of 2026 — Motley Fool (https://www.fool.com/investing/2026/07/22/why-applovin-stock-fell-24-in-the-first-half-of-20/)</t>
  </si>
  <si>
    <t xml:space="preserve">- AppLovin Q2 2026 results set for Aug. 5 (https://www.stocktitan.net/news/APP/app-lovin-to-announce-second-quarter-2026-g1xc29828pv2.html)</t>
  </si>
  <si>
    <t xml:space="preserve">1. Add "APP" to the SaaS group — that is AppLovin, currently $419.98, up 3.4% today, market cap $141B, 32 analysts with an average target of $656. It would slot into SaaS cleanly.</t>
  </si>
  <si>
    <t xml:space="preserve">Both are straightforward. The IBM move is a five-minute change; adding AppLovin needs a full research pass to fill in all 31 data fields the dashboard tracks. Say the word and I will do both and push them.</t>
  </si>
  <si>
    <t xml:space="preserve">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</si>
  <si>
    <t xml:space="preserve">The deciding factor isn't valuation, it's timing. AppLovin reports earnings tonight, Aug 5, after the market closes. Salee, you place orders during Bangkok night, which is US market hours — so buying APP today means buying a few hours before a coin flip. And this is not a stock that takes surprises calmly: it fell 30% in January after a short-seller report, then another 17% in a single day on Jan 30 when Google announced Project Genie, then 13% in mid-July on a Bank of America note about slowing e-commerce growth. It's already 44% below its 52-week high of $745.61. It's up 4% pre-market today purely on anticipation. Buying into that tonight is a bet on a number neither of us has seen.</t>
  </si>
  <si>
    <t xml:space="preserve">&gt;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</si>
  <si>
    <t xml:space="preserve">AppLovin reported Q2 after the close on Aug 5, about five hours ago. This matters because it was on your list.</t>
  </si>
  <si>
    <t xml:space="preserve">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</si>
  <si>
    <t xml:space="preserve">Quick one — I already have ARM's full data from the parked watchlist sweep, so no research needed. Adding it to Computing Chips as a watchlist column (no budget, no position):</t>
  </si>
  <si>
    <t xml:space="preserve">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</si>
  <si>
    <t xml:space="preserve">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</si>
  <si>
    <t xml:space="preserve">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</si>
  <si>
    <t xml:space="preserve">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</si>
  <si>
    <t xml:space="preserve">3. It fails your own value lens harder than anything you own. PEG 3.58 · 318x trailing · 58x sales, for +23% revenue growth. You're a value-framework investor in a growth sector — that discipline is *why* your book is +15% — and ARM is the single most expensive item on your board. Your notebook already voted: you gave it a watchlist slot and left the budget blank. Trust the version of you who wrote that page.</t>
  </si>
  <si>
    <t xml:space="preserve">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</si>
  <si>
    <t xml:space="preserve">You have live orders working for tonight — IREN, NBIS, MU. That's enough action for one session, Salee. The best trade on ARM today is patience. 🎯</t>
  </si>
  <si>
    <t xml:space="preserve">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</si>
  <si>
    <t xml:space="preserve">💡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</si>
  <si>
    <t xml:space="preserve">Done — SBUX and the Consumer/F&amp;B group are gone from every surface. The board is back to its clean state: 47 held positions, 3 watchlist (ARM, ASTS, SpaceX), 11 groups, Pillar 4 staying pure to its AI thesis. Probably the right call — the +1.4% consensus upside was doing the arguing for you.</t>
  </si>
  <si>
    <t xml:space="preserve">✅ UNH is on the board — new teal Healthcare group, watchlist column, blank budget/position. Deployed to dad's link and delivered above. The board now: 47 held + 6 watching (ARM, ASTS, SpaceX, SBUX, MCD, UNH) across 13 groups.</t>
  </si>
  <si>
    <t xml:space="preserve">ARM was refreshed Jul 28 but is denied today — the entitlement shrank. That reframes the verdict. Now building the staleness marker.</t>
  </si>
  <si>
    <t xml:space="preserve">Dashboard note 45067db</t>
  </si>
  <si>
    <t xml:space="preserve">Jul 31, 2026 · close — 47 held names marked to the POEMS positions screen; watchlist refreshed to Jul 31 closes (&gt;6% movers verified vs 2nd source) — ARM · GLW · HPE · TE · YUM held at Jul 30 close (Jul 31 print unverified), EOSE at Jul 29, FN held at Jul 28 (no verified fresh close)</t>
  </si>
  <si>
    <t xml:space="preserve">&gt; Housekeeping I'll raise again: the "Chips Manufacturing" group now holds five cybersecurity names (CRWD, PANW, ZS, NET, FTNT) plus the actual foundry/equipment names (ASML, LRCX, AMAT, KLAC, AMKR). It's really two different industries sharing one label. Same offer as before — I can split out a proper "Cybersecurity" group (I'd just need one more color slot, same as the Fintech group), which would make both that group and the chips group read cleanly. Want me to do that split?</t>
  </si>
  <si>
    <t xml:space="preserve">Done — clean split. Cybersecurity is now its own group (the 16th, teal accent), and all five names moved out of Chips Manufacturing into it: CRWD, PANW, ZS, NET, FTNT. Chips Manufacturing is now back to a pure foundry/equipment group (ASML, LRCX, AMAT, KLAC, AMKR), and both groups read cleanly. Live across the dashboard, workbook, and dad's link.</t>
  </si>
  <si>
    <t xml:space="preserve">All 45 reconciled. One flag: ASML shows as held in my data but isn't in the POEMS statement — likely exited. Let me check it and verify the totals tie to POEMS.</t>
  </si>
  <si>
    <t xml:space="preserve">False alarm on ASML — it's actually still held (my cost/shares already tie to the POEMS total exactly), I just missed its row when transcribing. Its cost basis is correct; only its price is stale. The math tells me POEMS has ASML at $1,655.26 (its $21,518 MV ÷ 13 sh). Let me fix that and confirm the totals tie out.</t>
  </si>
  <si>
    <t xml:space="preserve">ASML nearly got flagged as "sold." It didn't appear in my first read of the screenshot, so my check initially thought it might've been exited. But when I summed the cost of the 45 names I *did* transcribe and added ASML's existing $16,394.06, it hit your POEMS total of $544,839.56 *exactly* — which mathematically proved ASML is still in the statement (I'd just missed its row). Its cost and 13 shares were already right; only its price was stale, and the arithmetic told me POEMS has it at $1,655.26 (its $21,518 market value ÷ 13). Fixed, and now everything ties. That's the reconciliation doing its job — the totals are a checksum that catches a missed line.</t>
  </si>
  <si>
    <t xml:space="preserve">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</si>
  <si>
    <t xml:space="preserve">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</si>
  <si>
    <t xml:space="preserve">ASML — down 14% in five sessions, and I don't yet know why it stops. The July 27 report of Shanghai achieving immersion-DUV mass production is a structural question, not a sentiment wobble. It still trades at 50.1x trailing versus a 37.9x five-year average, so it's not even cheap after the fall. Every analyst target on the screen predates the China news, and the company no longer discloses bookings, so we're flying with less instrumentation than usual. Catching this knife needs a thesis on Chinese lithography capability that neither of us has today.</t>
  </si>
  <si>
    <t xml:space="preserve">This is the one where dad's instinct ("it fell 14%, it must be a bargain") and the arithmetic disagree. ASML trades at 55.7x trailing against a five-year average of 37.9x, and at 61x price-to-free-cash-flow. It fell hard and is *still* expensive. It's also the only one of the three he's sitting on a gain in — there's no urgency here.</t>
  </si>
  <si>
    <t xml:space="preserve">⚠️ Do not add above $1,450 at all. The July 27 Shanghai immersion-DUV mass-production report is a *structural* question about ASML's monopoly, not a sentiment dip, and it is unresolved. Two things make it harder to underwrite than usual: the company no longer discloses bookings, so the forward-order visibility we used to have is gone, and every analyst target on the screen predates the China news. The analyst range on the board is $885 to $2,859 — a 3.2x spread. When the professionals disagree that violently, the correct position size is *smaller*, not larger.</t>
  </si>
  <si>
    <t xml:space="preserve">Second — ASML at $1,250 only (~$5,000). Skip the $1,380 rung. With cash this tight, spend it at the better price. Dad is already up 22.7% here; there is no cost-basis repair to do, only opportunistic adding.</t>
  </si>
  <si>
    <t xml:space="preserve">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</si>
  <si>
    <t xml:space="preserve">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</si>
  <si>
    <t xml:space="preserve">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</si>
  <si>
    <t xml:space="preserve">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</si>
  <si>
    <t xml:space="preserve">Conviction: High that nothing cheaper is reachable. Medium-Low that FactSet actually works. Horizon: immediate. What changes my mind: FactSet returning a live price for a non-whitelisted name like ASML or MU — that single call decides whether you spend $588 this year or $0.</t>
  </si>
  <si>
    <t xml:space="preserve">The proof: I sent `batch-market-cap` all 107 of your tickers in one call. It returned exactly 23 — the identical 23 the Jul 30 cron got. Then I asked for 10 of the missing ones on their own (AVGO, ORCL, MA, CRM, MU, ASML, AMAT, LRCX, KLAC, QCOM) and the whole call was denied. Single-symbol price history for MU and ARM: denied too. There is no batching trick around a wall like this, so fix 1 as I sold it to you does not exist.</t>
  </si>
  <si>
    <t xml:space="preserve">ASML, MU, AVGO, LRCX, AMAT, KLAC, ORCL, VRT, GEV, ANET, IREN, SKHY, LITE, ALAB — the entire semi-cap and infrastructure core of your book — cannot be auto-priced at all. Every mark on 40% of your capital depends on you screenshotting POEMS by hand.</t>
  </si>
  <si>
    <t xml:space="preserve">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</si>
  <si>
    <t xml:space="preserve">| `batch-market-cap` with 10 non-listed names only (AVGO, ORCL, MA, CRM, MU, ASML, AMAT, LRCX, KLAC, QCOM) | ACCESS DENIED — the whole call |</t>
  </si>
  <si>
    <t xml:space="preserve">The dark 36 include four positions above $15K — AVGO $32.6K, MU $27.5K, ASML $21.5K, AMAT $17.1K — plus ANET, ISRG, CRDO, MRVL, CRWD, ETN, PANW, LRCX, ORCL, VST, LITE, ALAB, CEG, CGNX, TER, KLAC, VRT, AMKR, AVAV, APH, ZETA, SKHY, CDNS, CRM, GEV, IREN, QCOM, BWXT, ONDS, RKLB, IBM, MPWR.</t>
  </si>
  <si>
    <t xml:space="preserve">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</si>
  <si>
    <t xml:space="preserve">| Space | RKLB (Rocket Lab), ASTS (AST SpaceMobile), SPACEX — all pure orbital/launch/satellite |</t>
  </si>
  <si>
    <t xml:space="preserve">Conviction: High. What would change my mind: if stockanalysis.com's quote page ever starts serving stale snapshots at scale the way it did on ASTS, rather than on one name in sixty.</t>
  </si>
  <si>
    <t xml:space="preserve">- ⚠️ Space, Defense &amp; Robotics is the one red group: −25% ($24.0K cost → $17.9K). ISRG −24%, AVAV −32%, IONQ −21%, ONDS −36% — small individually, but as a basket it's bleeding. Worth a dedicated conversation when you have time.</t>
  </si>
  <si>
    <t xml:space="preserve">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</si>
  <si>
    <t xml:space="preserve">| Drone &amp; Defense | PLTR (Palantir), AVAV (AeroVironment), ONDS (Ondas), MDB (per your defense placement) |</t>
  </si>
  <si>
    <t xml:space="preserve">4. The rotation trade. "One company's capex is another's revenue." The money Google is spending flows to NVDA, AVGO, the memory makers, and power names — so the market sells the payer and buys the beneficiaries.</t>
  </si>
  <si>
    <t xml:space="preserve">So for the narrow question *"can I see AVGO's current price without paying FMP?"* — you already can, today, free. It's in the tape.</t>
  </si>
  <si>
    <t xml:space="preserve">Dashboard note 1b482a9</t>
  </si>
  <si>
    <t xml:space="preserve">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</si>
  <si>
    <t xml:space="preserve">Dashboard note 4fd57a6</t>
  </si>
  <si>
    <t xml:space="preserve">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</si>
  <si>
    <t xml:space="preserve">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</si>
  <si>
    <t xml:space="preserve">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</si>
  <si>
    <t xml:space="preserve">3. BWXT is crossed out on Dad's note — I have treated it as cancelled and did not include it in the recommendation.</t>
  </si>
  <si>
    <t xml:space="preserve">I did preserve everything useful the jobs did — the earnings-related fundamentals refresh on ETN, CCJ, MPWR, TEM and YUM is intact. Only the prices were overridden.</t>
  </si>
  <si>
    <t xml:space="preserve">CDNS is gone (totals now $547,844 cost / $625,683 MV, +14.2%). IREN and NBIS sit in a maroon ⚠ To Be Sold band with red SELL badges on their cards — impossible to forget they're on death row. When you execute the sales, just tell me and I'll remove them like CDNS.</t>
  </si>
  <si>
    <t xml:space="preserve">The two loose threads, whenever you're ready: budget numbers for row 10, and the FMP Starter decision (~฿1,000/mo for full-book Street signals). And when IREN or NBIS actually sell — one word and they leave the book like CDNS did.</t>
  </si>
  <si>
    <t xml:space="preserve">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</si>
  <si>
    <t xml:space="preserve">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</si>
  <si>
    <t xml:space="preserve">The caveat that applies to all of them ⚠️: free aggregators run smaller analyst pools than IBES/FactSet and update slower — fine for your weekly cadence, misleading if you ever read them intraday around earnings. And every consensus number is a lagging average of opinions; the *revision direction* is the signal, the level is just scenery.</t>
  </si>
  <si>
    <t xml:space="preserve">| 1 | ⚠ CDNS is back | 6 sh, cost $2,007.28 (avg $334.55) | Removed — you told me it was fully sold Jul 20 | Re-added under SaaS, metrics rebuilt |</t>
  </si>
  <si>
    <t xml:space="preserve">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</si>
  <si>
    <t xml:space="preserve">Cost basis: $544,094 − $536,988 = +$7,106 — same story: ORCL +$7,316, IONQ +$3,569, ISRG −$1,764, CDNS −$2,007, MU fee −$8.56 → +$7,106 ✓. Both legs reconcile with zero unexplained residual, which is what tells me the current book is right, not just close.</t>
  </si>
  <si>
    <t xml:space="preserve">All tied up then — book matches POEMS to the cent, and dad's link will pull the same build on his next refresh. Whenever you have the fills for the CDNS buy-back, ISRG add, ORCL trim, and IONQ exit, send them over and I'll complete the trading-activity log with exact realized P&amp;L.</t>
  </si>
  <si>
    <t xml:space="preserve">Dashboard note a09a721</t>
  </si>
  <si>
    <t xml:space="preserve">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</si>
  <si>
    <t xml:space="preserve">Keep that ~$5,150 in reserve, because two of your own holdings report this week: CEG tomorrow (Aug 6) and VST Friday (Aug 7). If either sells off on the print, that's your money to use.</t>
  </si>
  <si>
    <t xml:space="preserve">| CIFR | Cipher Mining | $23.15 | near high | +38% | −428% | 6.42 | Most leveraged, thinnest margins ⚠️ |</t>
  </si>
  <si>
    <t xml:space="preserve">One thing worth explaining, because it caused a scare on my end: when you asked, my first check came back "APP not present." That was a false alarm from my own workspace, not the dashboard. This sandbox wiped itself and rolled back to a week-old copy of the repo — the third time it's done that in this session. Your published dashboard was never affected, because everything I finish gets pushed to GitHub, and I pull from there rather than trusting whatever's on this disk. I re-synced (32 commits behind) and confirmed APP, COHR and all of this morning's numbers are intact.</t>
  </si>
  <si>
    <t xml:space="preserve">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</si>
  <si>
    <t xml:space="preserve">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</si>
  <si>
    <t xml:space="preserve">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</si>
  <si>
    <t xml:space="preserve">Growing a third faster with fewer people, while the core risk metric improves 16 points. That's a machine learning to underwrite.</t>
  </si>
  <si>
    <t xml:space="preserve">I also added CORZ (Core Scientific) so it could be judged fairly for item 3. One note: Dad called it a "Digital platform" name and that's where I put it, but CORZ is really a bitcoin-miner-turned-AI-datacenter-landlord. Neocloud Watch is the more honest home for it. Say the word and I'll move it.</t>
  </si>
  <si>
    <t xml:space="preserve">- CORZ has negative shareholder equity of −$2.42 billion. That means its liabilities exceed its assets on paper. Several standard metrics (return on equity, debt-to-equity, EV/EBITDA) become mathematically meaningless when that happens, so I left them blank rather than print a misleading number. Its revenue growth is reported three different ways by three sources (+26%, −42%, −14%) and I couldn't resolve it, so that's blank too.</t>
  </si>
  <si>
    <t xml:space="preserve">CORZ stays in Neocloud Watch as you asked. Nothing else touched: 126 stocks, held cost $566,141.82, cash $13,200.76, zero errors on the page.</t>
  </si>
  <si>
    <t xml:space="preserve">&gt; 🎯 My pick: CRDO — add to your existing position. Conviction: Medium-High, horizon Medium (6–24m).</t>
  </si>
  <si>
    <t xml:space="preserve">Ah — that explains "these 2." ZETA joins IBM + CRM in "SaaS"; To Be Sold = IREN and NBIS only:</t>
  </si>
  <si>
    <t xml:space="preserve">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</si>
  <si>
    <t xml:space="preserve">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</si>
  <si>
    <t xml:space="preserve">Tell me whether to wait for the Jul 29 close before writing prices, or push this intraday mark now with the ASOF label changed to reflect it — and I'll re-check the CRM cost figure against the screenshot either way.</t>
  </si>
  <si>
    <t xml:space="preserve">- CRM: portal shows 11 × 171.64273 = 1,888.07, which is exactly what the board carries. My earlier 1,878.07 was a digit slip.</t>
  </si>
  <si>
    <t xml:space="preserve">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</si>
  <si>
    <t xml:space="preserve">| CRM (Salesforce) | Priced per seat. Stock has lagged the software sector through 2025–26 and trades well below its historic multiples — the market is already pricing this fear. Agentforce is the defence (8,000+ paid deals). |</t>
  </si>
  <si>
    <t xml:space="preserve">| CRM ✅ | $192.98 | +27% | 9.1× | ✅ Equally cheap, and analysts have *not* given up |</t>
  </si>
  <si>
    <t xml:space="preserve">&gt; CRM — Conviction: Medium-High · Horizon: Medium (6–24 months)
&gt; What would prove me wrong: if the Aug 26 earnings report shows *current remaining performance obligations* (essentially, contracted revenue coming in the next 12 months) growing under 9%, the AI fear becomes a fact rather than a rumour and I'd exit rather than average down.</t>
  </si>
  <si>
    <t xml:space="preserve">If you DID buy TSM (~$5,153 left): do one name only, and make it CRM — 25 shares ≈ $4,833.06, leaving about $320.</t>
  </si>
  <si>
    <t xml:space="preserve">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</si>
  <si>
    <t xml:space="preserve">CRM is the tightest of the three new ones at $1,258 left, which is about 6–7 more shares. You just added 10 shares an hour ago, so that's probably the right amount of restraint anyway.</t>
  </si>
  <si>
    <t xml:space="preserve">Salesforce's damage is a story problem, not a numbers problem. It has beaten both revenue and profit expectations on every single report. Nothing has actually broken. The stock is down because investors *fear* AI agents will replace the software, not because customers have left. And 52 analysts still see it 27% higher.</t>
  </si>
  <si>
    <t xml:space="preserve">Dashboard note 9c0eff7</t>
  </si>
  <si>
    <t xml:space="preserve">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</si>
  <si>
    <t xml:space="preserve">Dashboard note b5fdfc1</t>
  </si>
  <si>
    <t xml:space="preserve">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</si>
  <si>
    <t xml:space="preserve">- All 48 positions — every name from your broker statement, cost basis tied to the penny ($549,851.07). CRWV and APP excluded (zero shares — closed). CRWD reflects its July 4-for-1 split.</t>
  </si>
  <si>
    <t xml:space="preserve">| ZETA | Chips Manufacturing | Parked next to CRWD/PANW, your other software names — weakest fit of the seven |</t>
  </si>
  <si>
    <t xml:space="preserve">Tell me any you want moved. Also flagging: your note puts CRWD and PANW under Chips-MFG — cybersecurity in a fab group. I followed the note, but wanted you to see it consciously. And ORCL carries your "?" — left in Hyperscalers pending your verdict.</t>
  </si>
  <si>
    <t xml:space="preserve">The fix in your sheet (one row): CRWD → Remaining QTY 40, Total QTY Bought 40, Average Cost $97.98 (your $3,919 ÷ 40), everything else recalculates. Your total will land on $635,013 and tie POEMS exactly. The dashboard already handles this correctly — I split-adjusted CRWD when we built it.</t>
  </si>
  <si>
    <t xml:space="preserve">$7,646 − $1,912 = $5,734 — the gap to the dollar (the remaining $0.32 is row rounding). Every other one of the 48 positions matches POEMS within $1. The nasty part is what it did to your P&amp;L view: your sheet shows CrowdStrike as your second-worst loser at −51%, when it's actually one of your best winners at +95%. Classic split trap — the price column updated itself to the post-split market price ($191) while the quantity and average cost stayed pre-split, so the position looks like it crashed 75%.</t>
  </si>
  <si>
    <t xml:space="preserve">ZS (Zscaler), NET (Cloudflare), FTNT (Fortinet) into Chips Manufacturing (g=2) — where CRWD and PANW already sit, so the cyber names have company there. Pulling fundamentals.</t>
  </si>
  <si>
    <t xml:space="preserve">ZS, NET, and FTNT are live in Chips Manufacturing (alongside the CRWD/PANW cyber names already there) — and that tips the board to a round 100 tickers across 15 groups.</t>
  </si>
  <si>
    <t xml:space="preserve">Creating the Cybersecurity group (16th group) and moving all five cyber names — CRWD, PANW, ZS, NET, FTNT — out of Chips Manufacturing into it. No re-research needed; just group scaffolding + reassignment.</t>
  </si>
  <si>
    <t xml:space="preserve">Big expansion — 41 new tickers on top of the 7, metrics flipped to rows, and my own grouping until you hand me yours tomorrow. I'll note up front: CRWV and APP show zero quantity on your statement (closed positions), so I'm leaving them out — say the word if you want them tracked as watchlist. Kicking off the data sweep now.</t>
  </si>
  <si>
    <t xml:space="preserve">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</si>
  <si>
    <t xml:space="preserve">Fair warning on what the card reveals: that $240 average target spans an enormous $62 to $800 range — the widest dispersion on your entire board, wider even than CoreWeave. That's the market openly admitting nobody can price a pre-profit, capex-monster launch-and-Starlink business yet. It behaves like a venture bet in public clothing: burning ~$9B a year against 33% revenue growth, with the whole thesis riding on Starlink cash flow and Starship economics. Genuinely interesting for the Space bucket, but size it like the option it is if you ever move off watchlist — and the Aug 17 first print will be a volatility event worth waiting for.</t>
  </si>
  <si>
    <t xml:space="preserve">I also found and fixed a real error in the DDOG record while I was in there. The dashboard had DDOG's all-time high at $277.49 but its 52-week high at $288.15. That's impossible — an all-time high can't be lower than a one-year high. The true all-time high is $292.72, set intraday on Aug 5. Both fields now read that. Price also nudged $283.14 → $283.17.</t>
  </si>
  <si>
    <t xml:space="preserve">| DDOG | Yes, $4.46B guided | Beat and raised — and fell 22% | ✅ The pick |</t>
  </si>
  <si>
    <t xml:space="preserve">Two days ago I told you not to buy MELI while it was gapping down in the morning. DDOG is also gapping down. I owe you the distinction rather than pretending there isn't one.</t>
  </si>
  <si>
    <t xml:space="preserve">DDOG fell because its numbers got better but not fast enough for the price it was trading at. When analysts update, they'll likely trim their *price targets* while leaving their *revenue and profit forecasts* higher than before. That's a different kind of adjustment — it's the market repricing the same improving business, not discovering a broken one.</t>
  </si>
  <si>
    <t xml:space="preserve">At $221, DDOG trades at roughly 21 times sales and 88 times next year's earnings. Before today it was 27 times sales. Cheaper, not cheap. If growth really is settling into the mid-20s rather than the mid-30s, a 21x sales multiple still has room to fall further. And note that Bernstein already downgraded DDOG on July 14 with a $226 target — that target is *above* today's price and it was set using the old, lower forecasts.</t>
  </si>
  <si>
    <t xml:space="preserve">&gt; Recommendation: DDOG. Conviction: Medium. Horizon: Medium (6–24 months).
&gt;
&gt; What would change my mind: if tomorrow's analyst notes reveal that the weak next-quarter forecast comes from a big customer actually leaving rather than from management being cautious, I'd stand down. Equally, if the stock keeps sliding through $200 without any new bad news, that tells me the market sees something I don't, and I'd want to understand it before adding. On the positive side: if the company's retention rate or its AI-customer revenue is disclosed on the call and looks solid, I'd upgrade to High conviction and size up.</t>
  </si>
  <si>
    <t xml:space="preserve">ZETA's stored all-time high reads $25.95 — which is *below* its own stored price of $27.07 and *below* its verified 52-week high of $28.50. That's mathematically impossible. It's the exact same bug I found and fixed on DDOG yesterday.</t>
  </si>
  <si>
    <t xml:space="preserve">Datadog is software that watches over companies' computer systems and tells them when something breaks. Think of it as the smoke detectors and security cameras for a company's technology — once you've installed them everywhere, you don't rip them out.</t>
  </si>
  <si>
    <t xml:space="preserve">Plus ~$125K reserved for names you don't hold yet: Memory 40K (SKHY·SNDK·WDC·DELL), Photonic 20K (COHR·FN·AOI), Energy 40K (LEU·OKLO·EOSE…), Space 25K (ASTS·SpaceX), ARM unbudgeted.</t>
  </si>
  <si>
    <t xml:space="preserve">All three in — DELL, HPE, SMCI wiring into Memory &amp; Storage (g=3). One flag before I do: these are AI-*server* makers, not memory/storage chips, so they're a category stretch in that group — I'll place them where you asked and note it.</t>
  </si>
  <si>
    <t xml:space="preserve">DELL, HPE, and SMCI are live in the Memory &amp; Storage group (95 tickers total) across the dashboard, workbook, and dad's link.</t>
  </si>
  <si>
    <t xml:space="preserve">&gt;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</si>
  <si>
    <t xml:space="preserve">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</si>
  <si>
    <t xml:space="preserve">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</si>
  <si>
    <t xml:space="preserve">One data note: Dell's +263% YTD move (from ~$121 to $438) is eye-popping — I cross-checked it against two sources ($437.50 and $440) and the market cap / P/E all tie out internally, so it's real, but if it looks off to you versus your broker, tell me and I'll re-verify.</t>
  </si>
  <si>
    <t xml:space="preserve">One small cleanup for whenever you have 30 seconds: that stray "RSN" Enterprise trial you created — leave it alone and it expires harmlessly in 31 days, or delete it at github.com/enterprises/rsn → Settings if you want a tidy account.</t>
  </si>
  <si>
    <t xml:space="preserve">⚠️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</si>
  <si>
    <t xml:space="preserve">EOSE was the worst. Its history table printed a closing price of 3.17 on a day when it also claimed the day's *low* was 3.22. A stock cannot close below its own low. The site was serving a Jul 30 price as if it were current. I went outside: MarketScreener showed 3.38 with an explicit "July 31, 2026, 4:00 PM EDT (Market Closed)" stamp, and YCharts independently showed 3.39. I used 3.38.</t>
  </si>
  <si>
    <t xml:space="preserve">NBIS at 0 and IREN at 45 sh / $1,735.17 confirmed clean against Monday's bookings, and I refreshed the small intraday price drifts (ETN, LITE, MPWR, ZETA).</t>
  </si>
  <si>
    <t xml:space="preserve">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</si>
  <si>
    <t xml:space="preserve">Your $300 limit sits below Eaton's 52-week low. The cheapest it has traded in a year is $311.92. So this isn't a limit waiting for a dip — it's waiting for a break into ground the stock hasn't touched in twelve months. Meanwhile the analyst average sits at $455.79, 52% above where you want to buy.</t>
  </si>
  <si>
    <t xml:space="preserve">Energy drops from 18 names to 12 and is now much cleaner — it's the electrification-and-power-equipment bucket (ETN, VRT, GEV, VST, NEE, MPWR) plus the small alternative-energy watchlist, rather than a catch-all.</t>
  </si>
  <si>
    <t xml:space="preserve">You asked me to add FLNC and then asked me to consider it as today's buy. Between those two things, the company reported earnings. The timing matters enormously.</t>
  </si>
  <si>
    <t xml:space="preserve">| FLNC | Yes, $2.6B revenue | Missed by 19%, cut guidance, down ~23% | ❌ Falling knife |</t>
  </si>
  <si>
    <t xml:space="preserve">They beat both numbers and raised their forecast for the whole year. That is the opposite of what APP and FLNC just did.</t>
  </si>
  <si>
    <t xml:space="preserve">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</si>
  <si>
    <t xml:space="preserve">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</si>
  <si>
    <t xml:space="preserve">Dashboard note 0edbb4a</t>
  </si>
  <si>
    <t xml:space="preserve">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(150-330). ath 320.95 = 52-wk high proxy (true ATH NOT FOUND; 52-wk low 176.47 on stockanalysis vs 171.99 GuruFocus); jan2 NOT FOUND. Also MOVED TSLA (Tesla) from Robotic / Automation / EV -&gt; Energy per request (field values / position untouched; group P&amp;L re-attributed). Note Tesla is really an EV + energy-storage + robotics company, so this is a reasonable but debatable home - its Energy Generation &amp; Storage segment is the part that fits 'Energy'. Robotic / Automation / EV group 6 -&gt; 5 names; Energy 4 -&gt; 6 (FSLR + TSLA). NOT ADDED - CATL: the user requested CATL for Energy, but CATL (Contemporary Amperex, the Chinese battery giant) has NO US exchange (NASDAQ/NYSE) listing - it lists in Shenzhen (300750.SZ) and Hong Kong (3750.HK). The only US access is an OTC ADR, CYATY (~20.03 USD Aug 7), or foreign-ordinary CTATF (~86 USD); the ADR's fundamentals on stockanalysis carry a STALE Jun 17-19 2026 stamp (price then 22.41), and OTC ADRs may not be tradeable via POEMS. Held pending the user's decision on whether to add the CYATY ADR as a proxy.</t>
  </si>
  <si>
    <t xml:space="preserve">FTNT (Fortinet) is the quality anchor — the only *profitable* one, 27% net margin, 132% ROE, 80% gross margins, throwing off $2.4B of real free cash flow. At 49× forward it's not cheap, but you're buying an actual cash machine, not a promise.</t>
  </si>
  <si>
    <t xml:space="preserve">FTNT — the analysts think it's worth 19% LESS than it costs. Fortinet has doubled this year (+104%), and the average analyst target is $131.78 against a $161.95 price. Think of it like a house valued by every surveyor at ฿13m that's listed at ฿16m. Dad's instinct is sharp here — his $130 limit is almost exactly where the professionals think fair value sits. The problem is the stock is 25% away from that, and it's priced at 49× next year's earnings.</t>
  </si>
  <si>
    <t xml:space="preserve">| Skip | FTNT | Analyst target is 19% *below* the price; 49× forward | High |</t>
  </si>
  <si>
    <t xml:space="preserve">And to close out Dad's note: none of his nine limits are triggered. The closest is HUBB, still 14.4% above his $430; the furthest is FTNT, 40.6% above his $100. He's set patient prices — nothing to do on that list today.</t>
  </si>
  <si>
    <t xml:space="preserve">More importantly, it has no revenue at all — none, in any year since 2022. Analysts expect the company to make $50,000 in sales this entire year. That is fifty thousand dollars, not fifty million. It has 16 employees. It has $31 million in the bank and has already signed a commitment to put another $77 million into a joint venture with GE Vernova, which is a $46 million hole it has no obvious way to fill except by issuing more shares — and it's already issuing them fast, up 10% in a single quarter. It jumped 20% on Aug 3 and the financial press openly reported that nobody could find a reason why. Think of it as buying a ticket, not building a position — the size should be money you'd be relaxed about losing entirely.</t>
  </si>
  <si>
    <t xml:space="preserve">💡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</si>
  <si>
    <t xml:space="preserve">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</si>
  <si>
    <t xml:space="preserve">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</si>
  <si>
    <t xml:space="preserve">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</si>
  <si>
    <t xml:space="preserve">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</si>
  <si>
    <t xml:space="preserve">Reported Jul 22 after close. The headline was a beat; the stock fell ~5–6% anyway. GOOGL now sits in the low $340s on our book — down from ~$375 pre-print, still ~12% above dad's $300 limit.</t>
  </si>
  <si>
    <t xml:space="preserve">2. The cash machine broke — temporarily. Negative FCF removes the thing that justified GOOGL's premium. You re-rate a stock hard when its defining feature disappears, even for a quarter.</t>
  </si>
  <si>
    <t xml:space="preserve">Now put dad's own new metrics on it (right there in the matrix now): GOOGL shows EV/EBITDA 21.6 (reasonable for the growth), D/E 0.18 (a fortress balance sheet — it can absolutely *afford* the spend), but P/FCF 72.5 and climbing — and with FCF now negative near-term, that ratio is the flashing light. The balance sheet says "they can do this"; the FCF ratio says "you're paying up while the cash flow is impaired." That's the exact tension.</t>
  </si>
  <si>
    <t xml:space="preserve">That last line is the whole story. Alphabet is the definitional cash machine — its identity is gushing free cash flow that funds buybacks. This quarter, capex outran the $39.1B of operating cash flow, FCF flipped negative, and they raised $49.6B issuing equity. A software business with 34% margins is now spending like a utility — capex is running at ~42% of revenue, a ratio you see in telcos and power companies, not ad platforms.</t>
  </si>
  <si>
    <t xml:space="preserve">New POEMS statement — GOOGL got a +7-share add on the post-earnings dip, and prices moved. Let me reconcile.</t>
  </si>
  <si>
    <t xml:space="preserve">The one position change: GOOGL +7 shares at ~$319.38 ($2,235.64), booked to the Jul 24 trade log. You now hold 205 shares, avg cost still a very low $269.88 (+17.7% unrealized). Cash moved $25,394 → $23,158.59.</t>
  </si>
  <si>
    <t xml:space="preserve">You bought the exact dip I analyzed. GOOGL fell from ~$342 to $317.69 on the capex/negative-FCF selloff — and you added into it. That's the right instinct on a fortress-balance-sheet compounder whose Cloud is growing 82%; buying quality when the market panics about spending is how you build a position. ⚠ The only discipline note: dad's written limit was &lt; $300, and you filled at $319 — about 6% above the line. Small size (7 sh) so it barely moves your average, but it's a deviation from the plan worth being conscious of. If GOOGL keeps sliding toward $300 on continued capex worry, that's where the *real* add sits.</t>
  </si>
  <si>
    <t xml:space="preserve">Reconciled — spreadsheet and dashboard are aligned. All share counts match to the position (including GOOGL at 205 sh in both), 258 buys / 13 sells, and the latest GOOGL +7 add on Jul 23 is captured in both. Let me confirm the cost/total ties, then set up the daily discipline.</t>
  </si>
  <si>
    <t xml:space="preserve">| 2 | GOOGL | 8× engineering speed; falling AI serving cost | ★★★★☆ CEO stated | $356.13 (Jul 31) | 28.0× | +20% | High |</t>
  </si>
  <si>
    <t xml:space="preserve">Two years of engineering work, done in three months. If that spreads across Alphabet's engineering organisation, it doesn't reduce headcount — it means the same engineers ship eight times more product.</t>
  </si>
  <si>
    <t xml:space="preserve">Two exact matches. Verifying one NYSE name plus GOOGL (its quote page is serving a cached Jul 31 snapshot).</t>
  </si>
  <si>
    <t xml:space="preserve">All four verified exactly (MSFT 487.65, META 590.24, TSM 406.11, GOOGL 373.51) — the POEMS "Current Price" column is the official Aug 3 close, not an intraday mark. I can use all 47.</t>
  </si>
  <si>
    <t xml:space="preserve">Items 1 and 2 are quick. LMND and HINGE are new names needing full fundamentals research — roughly a couple of hours' work each to do properly rather than sloppily. Say the word and I'll start; I'd suggest doing APP right away since it's live on Dad's buy list.</t>
  </si>
  <si>
    <t xml:space="preserve">"HGE" doesn't exist — the real ticker is HNGE. I searched and there is no US-listed company or fund trading under HGE. The company you almost certainly mean is Hinge Health (NYSE: HNGE), the digital physical-therapy company. I've filed it under Healthcare at its Aug 4 close of $79.42. Worth knowing: it reported earnings that very day and beat badly — revenue up 53%, earnings of $0.59 a share against an expected $0.13, and it raised its full-year forecast. The stock only rose 2.3% on the day, then slipped 1.9% after hours, which usually means the good news was already in the price.</t>
  </si>
  <si>
    <t xml:space="preserve">LMND and HNGE were already there from yesterday — Lemonade sits in Fintech / Digital Platform at $54.11, Hinge Health in Healthcare at $79.42. Nothing needed doing.</t>
  </si>
  <si>
    <t xml:space="preserve">Dad also corrected himself on the note — he crossed out "HGE" and wrote HNGE. That's the right ticker.</t>
  </si>
  <si>
    <t xml:space="preserve">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</si>
  <si>
    <t xml:space="preserve">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</si>
  <si>
    <t xml:space="preserve">| HOOD ✅ | $92.80 | +32% | ✅ All 26 analyst targets sit above today's price |</t>
  </si>
  <si>
    <t xml:space="preserve">&gt; HOOD — Conviction: Medium · Horizon: Medium (6–24 months)
&gt; What would prove me wrong: two consecutive quarters of falling monthly funded customers. Robinhood's whole story is customer growth; if that stalls, the premium valuation has nothing holding it up.</t>
  </si>
  <si>
    <t xml:space="preserve">That last point is the same structural signal I used on TSM. The *lowest* target any of the 26 analysts has on Robinhood is $100 — above the $92.80 price. When the biggest bear on the desk still sees upside, you're not fighting the crowd.</t>
  </si>
  <si>
    <t xml:space="preserve">Robinhood beat both lines on July 29 (revenue $1.31B, +32%; earnings $0.62 against $0.43 expected — a 44% beat), and it carries almost no debt. It's down 40% from its high, but that drawdown is *cyclical*, not structural: crypto trading revenue fell 38% because Bitcoin and Ethereum are off their peaks. When crypto recovers, that revenue comes straight back. The business itself is intact — it already bottomed at $63.52 in March and has recovered 45% since.</t>
  </si>
  <si>
    <t xml:space="preserve">Dashboard note 1940032</t>
  </si>
  <si>
    <t xml:space="preserve">Aug 8: DELETED FI (Fiserv) and COIN (Coinbase) from the dashboard entirely per request - both were watchlist-only (no position, budget, or trade history), so removed cleanly from STOCKS, POS and M3 with nothing to unwind. MOVED SE (Sea Limited) from Fintech / Digital Platform -&gt; Digital Applications (watchlist; field values untouched). Fintech / Digital Platform 10 -&gt; 7 (V, MA, PYPL, HOOD, SOFI, NU, LMND); Digital Applications 8 -&gt; 9 (added SE). Total stocks 154 -&gt; 152.</t>
  </si>
  <si>
    <t xml:space="preserve">Dashboard note 881af96</t>
  </si>
  <si>
    <t xml:space="preserve">Aug 8: renamed group 'Fintech / Digital Platform' -&gt; 'Digital Fintech' (group index 14 unchanged, so all 7 members - V, MA, PYPL, HOOD, SOFI, NU, LMND - carry over automatically with their data, positions and group P&amp;L intact; label change only).</t>
  </si>
  <si>
    <t xml:space="preserve">| HPE | HP Enterprise | $47.69 | 12.4 | 0.42 | +23% | 4% | Cheapest; Juniper deal integrating |</t>
  </si>
  <si>
    <t xml:space="preserve">Repo recovered from the container rollback — and while it was down, the Monday weekly-audit job had already run and re-verified all 110 Friday closes, so the price base is solid. Two of Dad's ten names (APP, HUBB) aren't on the dashboard yet, so I pulled those fresh. The US market is open right now (11am New York = 10pm Bangkok), so I used live quotes where they moved.</t>
  </si>
  <si>
    <t xml:space="preserve">| Watch | HUBB | Only +9.9% over limit, +20% to target — but modest vs the others | Low |</t>
  </si>
  <si>
    <t xml:space="preserve">| HUBB $502.24 | Hubbell | Beat and raised on grid modernization and data centres. The steadiest of the four — lowest volatility. |</t>
  </si>
  <si>
    <t xml:space="preserve">| IBM | Large services/consulting arm sells human hours. AI compresses the hours. |</t>
  </si>
  <si>
    <t xml:space="preserve">2. Move "IBM" from SaaS to Quantum — this makes real sense. Quantum currently holds just one name (IONQ), and IBM is one of the two or three most serious quantum-computing efforts in the world. It is arguably mis-filed where it is.</t>
  </si>
  <si>
    <t xml:space="preserve">Both checked with fresh data — and one of them changes the tactical picture, so read the INTC part before you place anything.</t>
  </si>
  <si>
    <t xml:space="preserve">✅ INTC condition check — both conditions still unmet, but ⚠ earnings are TOMORROW</t>
  </si>
  <si>
    <t xml:space="preserve">&gt; Of everything you hold, Intel is the position where the price has run furthest beyond what the business is doing.</t>
  </si>
  <si>
    <t xml:space="preserve">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</si>
  <si>
    <t xml:space="preserve">The pattern that jumps out immediately 📊: the stocks with the longest green bars almost all have the longest red bars too — ORCL (▲99/▼63), ONDS (▲203/▼57), IONQ (▲98/▼59), MU (▲75/▼32). That's not a coincidence; analyst targets lag crashes. The rarer and more interesting rows are long green with short red — MRVL (▲34/▼43... still symmetric), but look at AMKR (▲24/▼35) vs AVGO (▲41/▼25) and NVDA (▲49/▼14) — upside without the wreckage. Those asymmetries are where conviction actually means something.</t>
  </si>
  <si>
    <t xml:space="preserve">Clear orders — executing: ORCL stays in Hyperscalers (question mark resolved), CDNS removed entirely (sold), IREN·NBIS·ZETA into a flagged "⚠ To Be Sold" bucket, BWXT confirmed in Energy, and a new Software group for CRM + IBM (Quantum becomes IONQ solo).</t>
  </si>
  <si>
    <t xml:space="preserve">⚠️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</si>
  <si>
    <t xml:space="preserve">2. Unbudgeted holdings: ONDS ($1.4K), IONQ ($2.8K), IBM, CRM, ZETA ($5.6K combined) — plus IREN/NBIS (To Be Sold, correctly zero). If Quantum and SaaS are zero-allocation by intent, these five are implicitly exit candidates too — worth confirming.</t>
  </si>
  <si>
    <t xml:space="preserve">| 4 | ⚠ IONQ gone | Not on statement | 81 sh, $3,569.26 | Position zeroed — kept visible as a Quantum watchlist row |</t>
  </si>
  <si>
    <t xml:space="preserve">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</si>
  <si>
    <t xml:space="preserve">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</si>
  <si>
    <t xml:space="preserve">That takes you to 14 groups. I inserted Drone &amp; Defense right after Space so the two sit adjacent, gave Neocloud Watch a new distinct color (the palette shifted one slot for the groups below the split — purely cosmetic, still all distinct), and remapped every downstream reference: the filter chips on both pages, the fair-value ladder bands, the metric matrix, the P&amp;L-by-group and by-stock tables, the monthly rollup's by-group figures, and the realized ledger (IONQ's realized loss now sits under Quantum at its new index, etc.). The workbook's group colors updated to match.</t>
  </si>
  <si>
    <t xml:space="preserve">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</si>
  <si>
    <t xml:space="preserve">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</si>
  <si>
    <t xml:space="preserve">The machine is now: live tape → daily API closes → weekly API fundamentals + revision flags → auto-deployed to your artifact, your workbook, and dad's LINE-able link. Still open whenever you're ready: budget numbers for row 10, and the word "sold" on IREN/NBIS.</t>
  </si>
  <si>
    <t xml:space="preserve">💡 One actionable observation: IREN — sitting in your ⚠ To Be Sold bucket — just ripped +19.6% in a single session and flipped your position from −13% to +4% unrealized. If the exit decision stands, strength like this is what you sell into; you're being handed your cost basis back.</t>
  </si>
  <si>
    <t xml:space="preserve">Now — the IREN/NBIS exit. Here's my plan, thinking like someone who's had to unwind positions without donating the gains back to the market:</t>
  </si>
  <si>
    <t xml:space="preserve">- Time stop: Friday Jul 31 — NBIS gets two weeks because the uptrend is intact and the Street's $244 average target gives the second tranche a genuine tailwind; IREN gets one because its rally is squeeze-flavored, not estimate-driven.</t>
  </si>
  <si>
    <t xml:space="preserve">- IREN and NBIS: current price, opening gap, distance to your next limit and to the floor</t>
  </si>
  <si>
    <t xml:space="preserve">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</si>
  <si>
    <t xml:space="preserve">When fills happen, just tell me — "sold 45 IREN at 40" or "both done" — and I'll log the realized P&amp;L, update the book everywhere, retire the ⚠ To Be Sold band, and delete this watch. Good hunting, Salee. 🫡</t>
  </si>
  <si>
    <t xml:space="preserve">| Sell 45 IREN, limit $40.00, GTC | "Sell half my IREN as soon as anyone pays $40+" (price is ~there now → fills almost instantly, locking the squeeze gain) |</t>
  </si>
  <si>
    <t xml:space="preserve">| Sell 45 IREN, limit $44.00, GTC | "Sell the other half only if the rally stretches another 10%" |</t>
  </si>
  <si>
    <t xml:space="preserve">- The floor (IREN below $35.50 / NBIS below $164): if price drops through it, the rally is over — you cancel the remaining limit orders and sell at market (= "sell now at whatever the current price is"). This is the fire exit. Without it, "to be sold" quietly becomes "riding it down 40%."</t>
  </si>
  <si>
    <t xml:space="preserve">-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</si>
  <si>
    <t xml:space="preserve">- Quiet night: "IREN $39.80, no levels touched, 2 days to time stop. NBIS $185, tranche-1 level exceeded — check your fill." → glance, done, 10 seconds.</t>
  </si>
  <si>
    <t xml:space="preserve">- ⚠ Floor breach: "IREN below $35.50 — plan says cancel remaining limits and sell at market." → you open the broker app and act.</t>
  </si>
  <si>
    <t xml:space="preserve">- ⚠ Time-stop day: "Today is Jul 24 — anything IREN unsold sells at market before the 03:00 close." → same.</t>
  </si>
  <si>
    <t xml:space="preserve">One thing to be crystal clear about: I cannot touch your broker account — I never place, cancel, or execute anything. I'm the risk manager shouting from the next desk; your finger is the only one on the button. And the loop closes with you telling me the fills ("sold 45 IREN at 40") — I then log the realized P&amp;L, update the dashboard/workbook, and when both hit zero, retire the ⚠ To Be Sold band and delete the watch.</t>
  </si>
  <si>
    <t xml:space="preserve">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</si>
  <si>
    <t xml:space="preserve">Already running: the 20:45 evening watch covers MU alongside the IREN/NBIS exits starting tonight — fills, invalidation, reserve signal, earnings date.</t>
  </si>
  <si>
    <t xml:space="preserve">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</si>
  <si>
    <t xml:space="preserve">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</si>
  <si>
    <t xml:space="preserve">Tonight's complete ticket stands at six orders: four sells (IREN/NBIS), two buys (MU). Watch fires at 20:45. Report fills as they land, Salee — and good hunting. 🎯</t>
  </si>
  <si>
    <t xml:space="preserve">Everything stands ready for tonight: six orders on your ticket (IREN ×2, NBIS ×2, MU ×2), trade watch firing at 20:45, and the full refresh machinery humming on schedule.</t>
  </si>
  <si>
    <t xml:space="preserve">Movers (Fri→Mon close): ▲ IREN +19.6% (+$592) · ONDS +5.2% · CRDO +4.6% (+$507) · LITE +4.5% · TER +3.5% — ▼ ORCL −4.0% (−$474) · TSLA −3.0% · PANW −2.8% · RKLB −2.8% · KLAC −2.4%</t>
  </si>
  <si>
    <t xml:space="preserve">*The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</si>
  <si>
    <t xml:space="preserve">The workbook carries the new positions too (NBIS zeroed, IREN 45 sh, MU 29.45 sh), recalc clean. And nice discipline on the NBIS exit — that's a +51.9% realized gain on a name we'd flagged To Be Sold, sold into strength rather than hope. 🎯</t>
  </si>
  <si>
    <t xml:space="preserve">First, the plan you already have: finish IREN today. 45 sh left, ~$1,858, sitting +7% above cost, time stop is Friday Jul 24 anyway. A 0.3%-of-book residual in the To Be Sold bucket earns nothing but attention. Execute tranche 2, close the bucket.</t>
  </si>
  <si>
    <t xml:space="preserve">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</si>
  <si>
    <t xml:space="preserve">The strategic logic matters more than any single number: your compute exposure is NVDA + AMD + TSM + AVGO + AMAT/LRCX/KLAC — you own the winners of the AI buildout up and down the stack. INTC is the turnaround lottery ticket that already paid out 2.3×. Selling releases ~$4.7K with a +$2,715 realized gain and zero loss of thesis coverage. Combined with IREN, that's ~$6.6K freed — enough to top up MU toward its $30K budget ($1,409 of room) with plenty left over.</t>
  </si>
  <si>
    <t xml:space="preserve">⚠ IREN tranche 2 is going to expire unfilled. Your GTC $45 sell limit dies tomorrow (Jul 24) and IREN closed $41.28 — it needs a +9% day to fill. Given you've since moved IREN to Neocloud Watch "in case of a turnaround," the two instructions now point in opposite directions. If you let the order lapse, I'll treat the 45 sh as a keeper and remove the SELL badge; if you still want out, the order needs a lower limit tonight. Your call — I'll follow whichever the Friday order status shows.</t>
  </si>
  <si>
    <t xml:space="preserve">💡 Your night's fills also locked in the real Jul 21 numbers (replacing my at-close estimates in the trade log): NBIS exit went at ~$194.85 avg → realized +$1,405 (not my +$2,000 est — the fills were below Monday's close), and IREN tranche 1 at ~$40.76 → +$99. The log now shows actuals, no more asterisks.</t>
  </si>
  <si>
    <t xml:space="preserve">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</si>
  <si>
    <t xml:space="preserve">Two events in those screenshots: NVDA BUY 9 sh @ $211.0599 (executed Jul 25, order done) and the IREN SELL @ $45 was Withdrawn (cancelled — no fill, IREN position unchanged). Let me look at how the current NVDA cost basis, cash, and trade log are structured so I update consistently.</t>
  </si>
  <si>
    <t xml:space="preserve">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</si>
  <si>
    <t xml:space="preserve">| IREN SELL | $45 limit Withdrawn — no fill, position unchanged (45 sh, still flagged To-Be-Sold) |</t>
  </si>
  <si>
    <t xml:space="preserve">📊 What the tape is actually saying, and why it matters for SKHY: this is a broad memory/semi de-rating in the US session, not idiosyncratic noise — VRT −13.8%, IREN −9.1%, KLAC −7.6%, LITE −7.0%, ETN −6.1%, CRDO −5.8%, ANET −5.4%, AMAT −5.3%, AMD −5.2%, MU −4.9%, LRCX −4.6%, MRVL −4.3%, TSM −4.1%. And it is happening *even though Seoul rebounded +3.74%*. That divergence strengthens the SKHY call rather than weakening it: the US listing is being marked down by the same complex that's carrying a ~20% ADR premium, and you don't want to be the marginal buyer paying that premium into a session where the entire supply chain is being sold. The recommendation stands.</t>
  </si>
  <si>
    <t xml:space="preserve">What went to the board: 46 prices, each `mcapB` scaled by the same ratio so implied share counts didn't move — the sanity gate passed with zero warnings, meaning the price/mcap linkage held on all 46. Eight names cleared the 6% threshold and I passed `--allow` on each, since the POEMS statement is an independent broker source and that is exactly the verification the gate asks for: VRT, IREN, ONDS, KLAC, LITE, AVAV, ETN, APH.</t>
  </si>
  <si>
    <t xml:space="preserve">Twenty names tripped the 6% gate — IREN +30.5%, ALAB +20.0%, MU +18.4%, LRCX +18.0%, SKHY +17.5%, LITE +15.1%, AMAT +15.0%, TER +14.4%. None of those are one-day moves. The Jul 30 daily cron could only refresh 23 of 107 tickers before hitting FMP plan limits, so 84 names were still carrying a Jul 29-or-older close. Your screenshot was doing the work the automated job couldn't. Until that coverage gap is fixed, the board between your screenshots is quietly stale on roughly four names in five — I'd rather tell you that than let a green number on dad's page imply freshness it doesn't have.</t>
  </si>
  <si>
    <t xml:space="preserve">Monday was a big up day. Ten of your holdings moved more than 6%: ONDS +9.9%, LITE +9.2%, ORCL +9.2%, VRT +8.9%, RKLB +8.4%, IREN +8.0%, AVAV +6.6%, ISRG +6.3%, CRWD +6.1%, META +6.0%. AMZN and ETN both closed at new 52-week highs.</t>
  </si>
  <si>
    <t xml:space="preserve">Deep research done. Here's the full picture on ISRG — and it's a genuinely important one, because it's your biggest percentage loser (33 sh, cost $438.94, now $332 = −24.4%, −$3,528 unrealized).</t>
  </si>
  <si>
    <t xml:space="preserve">The setup: ISRG reported Q2 CY2026 on Jul 16 after close, the stock fell ~11–12% the next day, and it's now down ~30% YTD — it broke below its 200-week moving average for the first time in years. Your entry at $439 was near the highs; the whole move down happened after.</t>
  </si>
  <si>
    <t xml:space="preserve">5. Valuation at 46× forward earnings. At that multiple, *any* deceleration gets punished violently. The premium that rewarded you on the way up is what's hurting on the way down — and it's still not cheap. By dad's new value screens (EV/EBITDA &lt;10), ISRG's EV/EBITDA of ~26 fails hard; this was never a value name.</t>
  </si>
  <si>
    <t xml:space="preserve">6. Sector contagion + technical break. HCA Healthcare cut its outlook Jul 14, dragging *all* medtech down two days before ISRG reported. The stock then sliced through its 200-week trendline — a decisive technical breakdown that pulled in momentum sellers.</t>
  </si>
  <si>
    <t xml:space="preserve">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</si>
  <si>
    <t xml:space="preserve">Everything that made ISRG great is intact: 70% gross margin, 42% operating margin, a growing 11,710-system installed base, the da Vinci 5 ramp, and a recurring-revenue razor-blade model. But the three-headed worry — decelerating procedures + GLP-1/ACA demand pressure + a self-inflicted 2027 recurring-revenue haircut — is legitimate, and at 46× forward the stock can compress further before it's "cheap."</t>
  </si>
  <si>
    <t xml:space="preserve">Let me get ISRG's exact forward PE math so the alert triggers on the right price, then set up the watch.</t>
  </si>
  <si>
    <t xml:space="preserve">Important nuance before I set this up — the two conditions don't bind the way they might seem. I verified ISRG's current forward PE is ~29.5× (at $332, on ~$11.2 consensus forward EPS), already *below* dad's 40× gate. So:</t>
  </si>
  <si>
    <t xml:space="preserve">- The 40× forward condition is already satisfied today — ISRG isn't expensive on forward earnings anymore; that's exactly what the 30% de-rating did.</t>
  </si>
  <si>
    <t xml:space="preserve">Net: the alert = flag when ISRG hits $300 or below. Let me set up a daily watch.</t>
  </si>
  <si>
    <t xml:space="preserve">Let me confirm the ISRG trigger got created, then handle the trade-order fix and the earnings-update request.</t>
  </si>
  <si>
    <t xml:space="preserve">ISRG watch is live (fires Tue–Sat mornings Bangkok; pushes only when it hits $300). Now the trade-order fix and the earnings automation.</t>
  </si>
  <si>
    <t xml:space="preserve">2. ISRG add-target watch ✅ — a daily check (Tue–Sat mornings Bangkok, after each US close) that flags you the moment ISRG hits $300 or below. As covered above, the 40× forward gate is already satisfied (it's at ~29.5× now), so $300 is the real trigger — and at $300 forward PE would be ~27×, well inside dad's ceiling. It stays silent on days the target isn't hit and pushes to your phone only when it triggers, with the price, forward PE, and a one-line thesis reminder.</t>
  </si>
  <si>
    <t xml:space="preserve">The two differ because analysts expect ISRG's earnings to grow — from $8.73 trailing toward ~$11 forward (that +21.75% EPS growth is literally in the "EPS dil growth" column on your screenshot). When earnings are rising, the forward multiple is always *lower* than the trailing one at the same price.</t>
  </si>
  <si>
    <t xml:space="preserve">Here's the part that actually matters for the plan: dad wrote "40× *forward* PE," so forward is the right basis — and ISRG is already at ~29.5×, below 40×. But notice it's below 40× even on the *trailing* number (38 &lt; 40). So either way you measure it, the 40× gate is already met. That's why I said the binding trigger is purely the $300 price — the valuation condition is satisfied on both definitions right now; you're just waiting on the price. At $300, trailing P/E would be ~34× and forward ~27× — comfortably inside his ceiling on both.</t>
  </si>
  <si>
    <t xml:space="preserve">Sounds good, Salee. Everything's saved and current — dashboard, workbook, and dad's link all reconciled to POEMS Jul 24, and your four scheduled tasks (ISRG $300 watch, earnings-day refresh, daily reconciliation reminder, Monday full refresh) are running in the background.</t>
  </si>
  <si>
    <t xml:space="preserve">The one I would *not* chase is ISRG — it popped +1.7% today to $337, it's the furthest of the "quality" names from dad's $310 line, and dad's real add-thesis is the $300 / 40× forward-PE level we flagged. $337 is nowhere near it. That scheduled alert will ping you when it's actually there.</t>
  </si>
  <si>
    <t xml:space="preserve">- ACA subsidy uncertainty — if premium subsidies lapse, patients defer elective/"deferrable" procedures, which is exactly Intuitive's volume base.</t>
  </si>
  <si>
    <t xml:space="preserve">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</si>
  <si>
    <t xml:space="preserve">The two worth watching are ISRG and META. ISRG needs a 6.5% pullback and META 7.2% — both are one bad session away, not one bad quarter away. Everything else needs a 10–40% drawdown, which is a different kind of event entirely.</t>
  </si>
  <si>
    <t xml:space="preserve">Answer to your original question stands: nothing is triggered. ISRG at −5.6% is still the only one within reach.</t>
  </si>
  <si>
    <t xml:space="preserve">Dashboard note 140a88d</t>
  </si>
  <si>
    <t xml:space="preserve">Aug 7 fill: BUY ISRG 5 sh @ 377.595 (order 368452, Today's Orders screen, Aug 7 2026 11:04 PM BKK / 11:04 AM ET). Position set to 33 -&gt; 38 sh; cost 14,485.14 -&gt; 16,381.68 (added gross 1,887.98 plus 8.56 commission per the standard rule that POS cost includes commission while the TRADES amount excludes it - NOTE this could not be cross-checked against a POEMS 'Open Qty Cost' column this time because only the Today's Orders screen was provided, not the Outstanding Positions screen; if a later positions snapshot omits the commission the cost may read 16,373.12 instead). CASH: this update uses a REAL POEMS 'Cash Balance (Live) USD' screenshot of 13,223.60 - the first real balance since Aug 5 (the intervening 13,200.76 was DERIVED). That live balance is stamped 'before the settlement of the outstanding contract', i.e. it does NOT yet reflect the ISRG buy, so the ISRG net cost 1,896.54 was subtracted to give stored cash 11,327.06 as of Aug 7. The real pre-ISRG balance 13,223.60 was 22.84 ABOVE the prior derived 13,200.76 (likely a small dividend/interest credit or rounding drift) - anchoring to the real number corrects that drift. Available Cash / buying power shown as SGD-equivalent 13,907.76 is a separate FX figure and was not used. ISRG prices elsewhere untouched.</t>
  </si>
  <si>
    <t xml:space="preserve">JNJ is on the dashboard — but I put it in Healthcare, not Consumer or Robotic, and I'd push back on both of your instincts. Here's the honest reasoning:</t>
  </si>
  <si>
    <t xml:space="preserve">And one structural reason "both" doesn't work: the dashboard is one-group-per-ticker by design. Adding JNJ to two groups would make it appear twice — double-counting it in the totals, the win/loss record, and every group subtotal. Fixing that would mean rebuilding the whole grouping model for one edge case. Not worth it, and not what you'd want in the P&amp;L math anyway.</t>
  </si>
  <si>
    <t xml:space="preserve">D/E now sits in Fundamentals (after Profit margin, before Rule of 40), and KO/JNJ metrics are filled. Recalcing the workbook and deploying.</t>
  </si>
  <si>
    <t xml:space="preserve">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</si>
  <si>
    <t xml:space="preserve">TEM = Tempus AI (healthcare genomics/AI diagnostics) — fits the Healthcare group next to JNJ/UNH. Let me pull its fundamentals.</t>
  </si>
  <si>
    <t xml:space="preserve">TEM (Tempus AI) is now on all three surfaces, sitting in Healthcare alongside JNJ and UNH — as a watchlist entry, no position held.</t>
  </si>
  <si>
    <t xml:space="preserve">KO's in Consumer/F&amp;B — let me fix its metrics entry (the append missed) and move D/E to Fundamentals as you asked.</t>
  </si>
  <si>
    <t xml:space="preserve">YUM = Yum! Brands (KFC / Pizza Hut / Taco Bell) — fits the Consumer/F&amp;B group where KO sits, and it's squarely in your operator wheelhouse. Let me pull its fundamentals, then wire it into all three surfaces (dashboard, workbook, dad's link).</t>
  </si>
  <si>
    <t xml:space="preserve">Group 11 (Consumer/F&amp;B) confirmed — YUM slots in next to KO as a watchlist entry. Now let me pull YUM's fundamentals.</t>
  </si>
  <si>
    <t xml:space="preserve">YUM (Yum! Brands) is now on all three surfaces — dad's live link, the dashboard, and the workbook — sitting in Consumer / F&amp;B right next to KO, as a watchlist entry (no position held).</t>
  </si>
  <si>
    <t xml:space="preserve">Separately — a scheduled task overwrote dad's dashboard again. `5fdc1dd "Earnings refresh Jul 29, 2026: V, KO, PYPL"` (author `Jarvis &lt;jarvis@pillar4.local&gt;`) had replaced `ec7015f` before I fetched. I reset over it and pushed `d083c97`, so the live board is correct and current at 107 tickers. Nothing held was affected — V, KO and PYPL are all watchlist names.</t>
  </si>
  <si>
    <t xml:space="preserve">I recovered their V/KO/PYPL data before resetting, and it makes me more concerned, not less: their prices came in V +3.0%, KO +8.7%, PYPL +3.9% above mine — all one direction, on a same-day refresh. That's the same failure signature as the job that once wrote MSFT $381 against a verified ~$421.</t>
  </si>
  <si>
    <t xml:space="preserve">When they push, my 107-ticker rebuild gets replaced by their hand-patched copy. When I push, their V/KO/PYPL work gets wiped. Neither is malfunctioning — they're both doing exactly what they were told, into the same file. That's a plumbing problem, and you don't solve a plumbing problem by turning off the water.</t>
  </si>
  <si>
    <t xml:space="preserve">Separate from the clobber — that job has now printed two suspicious price sets. MSFT at $381 against a verified ~$421, and this week V +3.0% / KO +8.7% / PYPL +3.9% above mine, all in the same direction on a same-day refresh. KO moving 8.7% in a day would be a headline event; it wasn't one.</t>
  </si>
  <si>
    <t xml:space="preserve">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</si>
  <si>
    <t xml:space="preserve">LITE — no. 114.7x trailing, 37.8x forward, down 21% in three sessions, and it reports August 11. Insiders sold $38.9M with literally zero buying. Three reasons to wait, one date to wait for.</t>
  </si>
  <si>
    <t xml:space="preserve">&gt; Conviction: Medium-Low. Horizon: Medium (6–24m). The datacenter optics cycle is real and Rule-of-40 at 73.6 is genuinely excellent, but $0.11B of free cash flow means this is priced on a future that hasn't shown up in cash yet. What changes my mind: a print showing free cash flow inflecting above ~$400M annualized — that converts LITE from a story into a business.</t>
  </si>
  <si>
    <t xml:space="preserve">Third — LITE at $530 or below, ~$3,700, after August 11. Last in the queue because it's the lowest-quality balance sheet of the three and it's the only one with a hard event gate.</t>
  </si>
  <si>
    <t xml:space="preserve">⚠️ Lumentum reports August 11, insiders sold $38.9M with zero buying, and the fundamentals underneath the 69% revenue growth are thin: trailing P/E 139x, free cash flow of $0.11B on $2.49B of revenue (a 566x price-to-free-cash-flow), EV/EBITDA of 127x, and debt-to-equity of 1.11. This is a story stock that has to *earn* its multiple in two weeks.</t>
  </si>
  <si>
    <t xml:space="preserve">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</si>
  <si>
    <t xml:space="preserve">| 5 | LMND | Loss ratio 78% → 62%, fewer staff | ★★★★☆ Reported | $48.31 | n/a (loss) | +27% | Medium (small, volatile) |</t>
  </si>
  <si>
    <t xml:space="preserve">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</si>
  <si>
    <t xml:space="preserve">NET is currently in Cybersecurity — I'll move it to SaaS. LMND is a genuinely new ticker, so it needs a full fundamentals record. Gathering that now.</t>
  </si>
  <si>
    <t xml:space="preserve">Two more to add. Let me resolve the LMND price conflict and research both new tickers in parallel.</t>
  </si>
  <si>
    <t xml:space="preserve">- Equity research snapshot — the flagship for you: consensus estimates vs actuals, forward estimates by quarter, fundamentals, and price performance from the same feed the sell-side uses. Sharper than free aggregators on estimate detail (EPS/revenue by period, revision momentum).</t>
  </si>
  <si>
    <t xml:space="preserve">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</si>
  <si>
    <t xml:space="preserve">The full research note is delivered — in the chat above and saved to your ClaudeCoWork/P4 folder. Four pages, six sections; read section 5 first since that's the one that answers your actual question.</t>
  </si>
  <si>
    <t xml:space="preserve">On it — Google research and the three new dashboard metrics (Price/FCF, EV/EBITDA, D/E — the ones from dad's note) in parallel. Let me grab the ticker list and kick off both.</t>
  </si>
  <si>
    <t xml:space="preserve">My stored forward PE (30.8) conflicts with the ~46× the research cited — I need the current number before setting a price trigger. Let me verify.</t>
  </si>
  <si>
    <t xml:space="preserve">Eight energy names — nuclear SMRs (OKLO, SMR, NNE), uranium (CCJ), solar/storage (TE, EOSE, ENPH) and a utility (NEE) — all into the Energy group (g=5). That's a lot of fundamentals to pull accurately, so I'll fan out the research across two agents, then wire the results in myself.</t>
  </si>
  <si>
    <t xml:space="preserve">You picked all three baskets — that's 13 fintech/platform names. Let me fan out the fundamentals research across three agents, then wire them all into the new group at once.</t>
  </si>
  <si>
    <t xml:space="preserve">What they do state. Their reference data comes via FactSet Research Systems, with SEC filings supplied by Quartr. They offer figures on three bases — fiscal year, fiscal quarter, and trailing twelve months. And they carry an explicit warning that their financial data *"may differ from that shown in corporate reports."* No update frequency is stated anywhere I could find.</t>
  </si>
  <si>
    <t xml:space="preserve">APP's print landed — and it's decisive. Launching the remaining research in parallel.</t>
  </si>
  <si>
    <t xml:space="preserve">Research is complete. Now checking field conventions before writing the two new records.</t>
  </si>
  <si>
    <t xml:space="preserve">| LUNR | Space | $12.92 | −72% | +54% | −33% | avg $41 (+216%) | Lunar-lander pure-play, pre-profit |</t>
  </si>
  <si>
    <t xml:space="preserve">| LWLG | No — $243K revenue | Reports in 5 days, no coverage | ❌ Lottery ticket |</t>
  </si>
  <si>
    <t xml:space="preserve">Consumer is out of date. This is the big one. J&amp;J spun off its entire consumer-health business as Kenvue (KVUE) in 2023 — Tylenol, Band-Aid, Listerine, Neutrogena all left the building. What's left of J&amp;J is a pure pharma + medical-device company: ~64% Innovative Medicine (oncology, immunology drugs) + ~36% MedTech. There is no consumer segment anymore. Putting it in Consumer/F&amp;B next to SBUX and MCD would be classifying it as something it stopped being three years ago.</t>
  </si>
  <si>
    <t xml:space="preserve">Dashboard note c3da38d</t>
  </si>
  <si>
    <t xml:space="preserve">Aug 8 addition: MCHP (Microchip Technology, NASDAQ) added to Computing Chips at the Aug 7, 2026 close 84.69, UP 13.89% that day, stamp 'At close: Aug 7, 2026, 4:00 PM EDT', second-sourced by MarketBeat. Watchlist only - no position, no budget. Microchip makes microcontrollers, analog and connectivity chips for cars, industry, aerospace/defence and data centres, and is RECOVERING from a deep inventory-correction downcycle. Q1 FY2027 (ended Jun 30, reported Aug 6) was a clear beat and the trigger for the pop: net sales 1.485B (+38% YoY, +13% QoQ), GAAP EPS 0.37 (vs a loss a year ago), non-GAAP EPS 0.76; Q2 guidance strong (~1.6B, +41% YoY); inventory days improving (185-&gt;175); PCIe Gen 6 / data-centre commentary cited. Pays a ~2.15% dividend (0.455/qtr). KEY VALUATION NOTE: trailing P/E 124.83 and payout ratio 268% look alarming but are DISTORTED by trough earnings during the downturn - the forward P/E is 21.46 and PEG 0.47, and analysts model FY2027 EPS +95% to 3.20; treat trailing metrics as low quality. Fundamentals stored: rev 5.122B TTM (+20.93%), gross margin 60%, net margin 9.3%, EPS 0.67, FCF 1.11B, ROIC 5.9%, debt/equity 0.84, EV/EBITDA 34.78. 25 analysts Buy (17 Strong Buy), avg target 109.21 (80-135). RISK: short interest ~6.7%, still evaluating a Fab 2 (Tempe AZ) shutdown/sale, and the current price already embeds the +14% earnings pop. NOT FOUND: jan2 (nearest was Jan 5 close 80.10), all-time high (52-wk high 105.91 stored as ath proxy; note MarketBeat shows a much narrower 52-wk range 71.24-88.65 vs stockanalysis 48.52-105.91 - stockanalysis taken), epsG, and a company-confirmed next earnings date.</t>
  </si>
  <si>
    <t xml:space="preserve">On it — three changes: THB columns on Group Summary, prominent win-rate %, and three new watchlist names. Let me pull data for MDB, OUST, ROK first.</t>
  </si>
  <si>
    <t xml:space="preserve">⚠ One flag on MDB: you asked for it under the Defense group, but MDB is MongoDB — a database-software company (71% gross margin, −1% net, Rule of 40 ~42, avg target $396 = +30%). It has nothing to do with defense; it'd sit more naturally in SaaS. I placed it in Space/Drone/Defense exactly as you asked, but say the word and I'll move it to SaaS. If you actually meant a defense-sector name, let me know which — there's no defense company trading under "MDB."</t>
  </si>
  <si>
    <t xml:space="preserve">One flag I'll repeat since it's now more visible in its own group: MDB is MongoDB, a database-software company sitting in Drone &amp; Defense only because that's where you'd placed it. It's the one member of that group with no defense connection. Happy to move it to SaaS whenever you want — just confirm.</t>
  </si>
  <si>
    <t xml:space="preserve">| MELI | $1,922.57 | +15% | ⏸️ Cheapest cash flow of the lot, but reported last night, fell 4.5%, margins down 550bps. Same timing trap as APP |</t>
  </si>
  <si>
    <t xml:space="preserve">- META is the anomaly — fattest margin in your book (81.9% GM) at one of the cheapest multiples (23.5x). That's the "cheap · fat margin ✓" corner, and it's only your 5th-largest position.</t>
  </si>
  <si>
    <t xml:space="preserve">- All 27 of your notebook metrics, digitized as a matrix (metrics as rows, stocks as columns — same layout as your handwriting) for NVDA, MSFT, GOOGL, AMZN, META, AAPL, ORCL. I verified my pulled data against your notebook and it matches nearly line-for-line: MSFT conviction +41.9% (you wrote +41%), ORCL devastation −63.4% (you wrote −63%), AAPL at ATH → "—" exactly as you marked it.</t>
  </si>
  <si>
    <t xml:space="preserve">I have partial numbers from memory (NVDA ~$43K, MSFT ~$34K, GOOGL ~$33K, AMZN ~$25K, META ~$24K position values), but those are stale and I don't have your actual cost basis, share counts, or anything for AAPL/ORCL — I won't guess on numbers that drive your P&amp;L.</t>
  </si>
  <si>
    <t xml:space="preserve">Two reconciliation notes: NVDA, MSFT, AMZN, META, AAPL match your broker statement exactly. GOOGL shows +32.2% here vs +29.3% on the statement — your broker's quote (346.77) is staler than my Jul 17 close (354.46); your own notebook's MKT row (70.183) agrees with mine. ORCL differs by 7 cents of price. Nothing to fix — the weekly refresh will keep converging both.</t>
  </si>
  <si>
    <t xml:space="preserve">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</si>
  <si>
    <t xml:space="preserve">- VST $160 and META $600 — the quality names in the ~4% zone. These I'd happily set as GTC limits; a normal down day in an earnings-heavy week (META reports Jul 30) could fill either.</t>
  </si>
  <si>
    <t xml:space="preserve">If you want *one* order working today, make it META at $600 — best business of the three, and its Jul 30 print is the kind of event that can hand you the 4% dip. Set it GTC, size it to your Hyperscaler budget room, and let it sit.</t>
  </si>
  <si>
    <t xml:space="preserve">Found it — META (fell to $606.10 post its own capex read) was in the statement but I missed it in my price map. Fixing.</t>
  </si>
  <si>
    <t xml:space="preserve">If you're determined to deploy cash today, the only name I'd consider relaxing the limit on is META — it's the highest-quality business on the list, it's a mere $6.40 (1.1%) above dad's line, and you already own it at a good cost basis so this would just be an add. But even there I'd put a limit at $600 and wait for the intraday dip rather than pay $606 at market.</t>
  </si>
  <si>
    <t xml:space="preserve">Conviction: High (on "wait") · Horizon: Immediate · What changes my mind: META prints &lt; $600, NVDA &lt; $200, or you correct one of the three ambiguous limits above and it turns out something's already through.</t>
  </si>
  <si>
    <t xml:space="preserve">The whole book took the AI-capex hit today, not just Google. META dropped to $606 (−8.7% unrealized now — it reports Jul 30 and the market's pricing the same capex fear), MSFT $381, NVDA $208. This is the rotation I described playing out in real time: the hyperscalers footing the AI bill got sold. Your semis/infra names held up better (AMD $540, MU $990, TSM $416, AVGO $392), which is the portfolio hedge working — you own both sides.</t>
  </si>
  <si>
    <t xml:space="preserve">⚠️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</si>
  <si>
    <t xml:space="preserve">The winners carrying the +11.61%: AMD (+97%), AMAT (+115%), INTC (+103%), PANW (+86%), CRWD (+84%), LRCX (+56%). The drags: MSFT (−13.5%, −$6,850 — your single biggest dollar loss), META (−10.6%, −$3,933), ORCL (−27.9%), ISRG (−18.7%), TSLA (−28%). MU is now +49% and sitting at $900 after dad's $869 add — nice timing confirmed.</t>
  </si>
  <si>
    <t xml:space="preserve">META — do not buy today. It reports tonight, July 29, after the close. Implied move is ~±7%. Buying this afternoon is not investing, it's a coin flip on one number: capex. FY26 guidance is $125–145B and only $19.84B was spent in Q1, so the back-half number is enormous and unresolved. Remember the last print — Meta *beat* and still fell 8.55%, purely because of the capex raise. Wait for the tape tomorrow. If it sells off on spending and the business is intact, that's the better entry, and dad still has $12,810 of unused META budget to do it with.</t>
  </si>
  <si>
    <t xml:space="preserve">First — META $560 and $535 (~$8,760). Highest conviction, cheapest on cash flow, and the catalyst is tonight, so it's the first band that can realistically fill. This gets funded before anything else.</t>
  </si>
  <si>
    <t xml:space="preserve">⚠️ Hard ceiling: do not add above $600. Here's why that number and not a rounder one — Meta's trailing free cash flow is $48.25B while capex is $75.75B. The company is now spending 1.57x its free cash flow on capital investment. That's a defensible bet on AI infrastructure, but it means the multiple has to *compress* to reflect the fact that cash is going out the door faster than it comes in. Paying 20x+ forward for that is paying growth-stock prices for a company in its heaviest-investment phase.</t>
  </si>
  <si>
    <t xml:space="preserve">The practical consequence: META is already inside the band I told you to wait for. I said 17–18x forward was attractive and named $560 and $535. At $585.61 it is trading at 17.75x — the multiple got there via *both* a lower price and higher estimates, without needing the $560 print. Revised ladder on the new $32.99 forward EPS:</t>
  </si>
  <si>
    <t xml:space="preserve">&gt; Recommendation: no, don't buy MSFT at market today. Work a limit at $402 for 22 shares (~$8,844), which closes the $60,000 MSFT budget almost exactly. And META goes first.</t>
  </si>
  <si>
    <t xml:space="preserve">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</si>
  <si>
    <t xml:space="preserve">Conviction: META first, High. MSFT at market for the remaining budget, Medium-High. What would change my mind: META guiding 2027 capex above ~$135B without a Reels/AI revenue line to match — that's the number that turns the discount into a value trap.</t>
  </si>
  <si>
    <t xml:space="preserve">TradingView itself gave me a wrong number. I pulled its META page and it reported $646.01. That is not the price. TradingView's page is built by JavaScript in a live browser, so when a tool fetches the raw page it gets whatever placeholder happens to be sitting in the file — not what you'd see on screen. Confirmed my earlier answer, just for a reason I hadn't spelled out.</t>
  </si>
  <si>
    <t xml:space="preserve">The covered 11 are your biggest by value — NVDA $78.4K, GOOGL $68.4K, MSFT $51.0K, AMZN $47.6K, TSM $41.5K, META $30.2K, AMD $26.7K, AAPL $15.3K, PLTR $4.9K, INTC $4.1K, TSLA $3.1K. That's why the dashboard looked fine for a while: the fat end of the book kept updating.</t>
  </si>
  <si>
    <t xml:space="preserve">That's what happened. TradingView ships the page with the price left blank, to be filled in live once the page is running. What I read was leftover junk sitting in the box. $646.01 was never Meta's price — it was a number that happened to be lying in the file.</t>
  </si>
  <si>
    <t xml:space="preserve">Dashboard note 680b95b</t>
  </si>
  <si>
    <t xml:space="preserve">Jul 30, 2026 · close (23 tickers refreshed via FMP; remainder Jul 29 close — data source limited) — fundamentals refreshed Jul 30 (post-earnings: MSFT · META-week reporters)</t>
  </si>
  <si>
    <t xml:space="preserve">Meta Ads needs you to authorize it in your Claude connector settings before I can touch it. Unrelated to this task, just noting it.</t>
  </si>
  <si>
    <t xml:space="preserve">4. Your own brokerage statement. Eight mega-caps — AAPL, AMZN, NVDA, MSFT, GOOGL, META, TSM, AVGO — matched the POEMS screen exactly, to the penny, on all three sources. That's the calibration that says the method works.</t>
  </si>
  <si>
    <t xml:space="preserve">*(MU, APP, META, TSM are live Aug 3 quotes; the rest are Friday Jul 31 closes.)*</t>
  </si>
  <si>
    <t xml:space="preserve">META is arguably the *better business case* on this list — and today is the wrong day to pay for it.</t>
  </si>
  <si>
    <t xml:space="preserve">That is a genuine, durable re-rating catalyst. It's also 6% of upside that the market took this morning while Bangkok was asleep. At $591 META still trades at just 17.6× forward earnings — the cheapest of any mega-cap on Dad's list, and cheaper than the S&amp;P 500 average — with an analyst target of $762 (+29%).</t>
  </si>
  <si>
    <t xml:space="preserve">| Limit order | META @ ~$556–565 | Cheapest mega-cap multiple; don't chase today's +6% gap | High / Medium on entry |</t>
  </si>
  <si>
    <t xml:space="preserve">But *why* it fell 47% is the whole story: a short-seller attack alleging weak anti-money-laundering controls, Google launching an AI game-creation platform that threatens the mobile-gaming ecosystem APP advertises into, and Meta moving to compete for the exact iOS ad traffic APP dominated. Two of the largest companies on earth walking into your lane is not a valuation problem — it's a business-model question.</t>
  </si>
  <si>
    <t xml:space="preserve">Thursday's earnings report is the referendum on that question. Buying Monday instead of Thursday is choosing to flip a coin you don't have to flip. Waiting 48 hours costs nothing; it just removes the guess. If the numbers show the growth surviving Google and Meta, it'll still be cheap on Friday — and you'll be buying with the answer in hand instead of hoping.</t>
  </si>
  <si>
    <t xml:space="preserve">Then this morning Meta announced it will rent out its spare AI computing power — an internal project called "Meta Compute." That single announcement reframes the entire capex story: what looked like a bottomless cost turns into a potential revenue business alongside AWS and Azure. The stock is up 6.2% today to $591, having been as high as +10%.</t>
  </si>
  <si>
    <t xml:space="preserve">| Wait 2 days | APP | Earnings Aug 5 decides the Google/Meta threat question | High |</t>
  </si>
  <si>
    <t xml:space="preserve">One housekeeping note: the Meta Ads connector needs you to authorize it in your claude.ai connector settings before I can use it — I can't run that sign-in from here.</t>
  </si>
  <si>
    <t xml:space="preserve">Meta just gave me the cleanest data point in the entire market. Digging into the next tier.</t>
  </si>
  <si>
    <t xml:space="preserve">That is $806,000 of revenue per employee in a single quarter — roughly $3.2 million per person per year. Meta's rising cost line isn't people anymore; it's capex, $31.08 billion in the quarter on data centres. They swapped a payroll bill that grows forever for a machine bill that eventually stops growing.</t>
  </si>
  <si>
    <t xml:space="preserve">- Meta's headcount starts rising again while capex keeps climbing — that means the AI isn't substituting for people, it's an additional cost on top.</t>
  </si>
  <si>
    <t xml:space="preserve">&gt; If you buy one name today, buy META. It is the only stock on Dad's list that is *cheaper* this morning than it was last night. Every other name on the list is asking you to pay a premium for news that broke after Dad wrote the note.</t>
  </si>
  <si>
    <t xml:space="preserve">A "moat" just means: if a competitor wanted to take this business away, could they? For META the answer is still no, and the Q2 numbers actually made the case *stronger*, not weaker.</t>
  </si>
  <si>
    <t xml:space="preserve">The single cleanest piece of evidence is this. Last quarter META showed 14% more ads than a year ago — and charged 12% more for each one. Think about what that means. Normally if you flood the market with more of something, the price falls. META did the opposite: more ads *and* a higher price per ad, at the same time. That only happens when the buyers have nowhere better to go.</t>
  </si>
  <si>
    <t xml:space="preserve">The reason advertisers can't leave is that META's auction is the only place where a small business can reach a very specific person — a 34-year-old in Bangkok who just searched for gym equipment — at low cost and at that scale. Google is the only real alternative, and most advertisers use both rather than choosing.</t>
  </si>
  <si>
    <t xml:space="preserve">META is at $581.74 right now (Aug 4, 2026, 11:04 AM EDT, −1.44% today), against a 52-week high of $796.25. That's a 27% fall from the top.</t>
  </si>
  <si>
    <t xml:space="preserve">That's META. The $130–145 billion is being spent on data centres and chips for AI. Zuckerberg believes whoever has the most computing power wins the next decade, and he is spending like he means it.</t>
  </si>
  <si>
    <t xml:space="preserve">The market's objection is not "this business is broken." The objection is "you are spending our money at a rate we did not agree to, and you haven't shown us what we get back." Some analysts went further and pointed out that if spending keeps climbing, free cash flow could actually turn *negative* — meaning META would have to borrow to fund the build. That's the sentence that triggered the ~10% overnight drop after the results.</t>
  </si>
  <si>
    <t xml:space="preserve">That last row is the argument in a single number. At 17.9× next year's expected earnings, META is priced roughly like a slow, ordinary company — while growing revenue 28% and earning 82% gross margins. You are being offered a business with an intact moat at a price that assumes the moat is leaking. Even the *most pessimistic* of the 65 analysts covering it has fair value at $700, which is 20% above today.</t>
  </si>
  <si>
    <t xml:space="preserve">The honest counter-argument: the cheap multiple is only cheap if the AI spending eventually turns back into profit. If META spends $140 billion a year for three years and the revenue doesn't follow, then today's "17.9× earnings" becomes "17.9× earnings that never arrive," and the stock deserves to be here. I think that's unlikely — a company converting 82 cents of every revenue dollar into gross profit has an unusually forgiving margin for error — but it is the real risk and I won't paper over it.</t>
  </si>
  <si>
    <t xml:space="preserve">My recommendation: buy about 10 shares (~$5,820) at current levels, not the full remaining budget. You have $12,810 of room left in your $50,000 META allocation. Ten shares brings your average cost down from $664.10 to about $651.60 and gets you exposure at what I think is a good price. Hold the other ~$7,000 back for either (a) a drop toward $540, or (b) confirmation at the Q3 results in late October. Buying it all today would leave you with nothing to respond with if it falls another 10%, and given how nervous this stock is right now, that optionality is worth more than the extra shares.</t>
  </si>
  <si>
    <t xml:space="preserve">One thing the picture makes obvious that a table doesn't: the top-right quadrant of the wheel — NVDA, GOOGL, AMZN, MSFT, TSM — is 48% of your money in five names, and if you add META and AVGO it's roughly two-thirds in seven. That's a concentrated book. Not a criticism given your 2026–2030 target needs winners, but worth seeing in one glance.</t>
  </si>
  <si>
    <t xml:space="preserve">The plain-English version: imagine you walk into a market with a shopping list your father wrote yesterday. Overnight, someone announced good news about eight of the ten items, and the sellers have raised their prices accordingly. One item — Meta — is quietly marked down. Buying the marked-down item is not clever; it is just the only purchase where you are not paying for excitement you already missed.</t>
  </si>
  <si>
    <t xml:space="preserve">The dashboard's fair-value band says it is too cheap. Twenty-three analysts put Meta's reasonable range at $700 to $880. Today's price is below even the *bottom* of that band. Not one of the other nine names is below the low end of its own band.</t>
  </si>
  <si>
    <t xml:space="preserve">| What would prove me wrong | Meta is down for a real reason: last quarter revenue grew 26% but earnings grew only 7%, meaning the heavy AI spending is eating the profit. If the next quarterly report raises spending again with no revenue to show for it, $520 is the floor that matters. If it breaks $520 on heavy volume, this stops being "cheap" and starts being a value trap — and I would stop adding. |</t>
  </si>
  <si>
    <t xml:space="preserve">| Daily users | 3.6 billion | Roughly 4 in every 10 people alive open a Meta app every day |</t>
  </si>
  <si>
    <t xml:space="preserve">Changes I made from your note: MPWR moved to Energy (your note lists it there — 5K) and group 4 renamed "Memory &amp; Storage."</t>
  </si>
  <si>
    <t xml:space="preserve">Dashboard note 217d94c</t>
  </si>
  <si>
    <t xml:space="preserve">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</si>
  <si>
    <t xml:space="preserve">- MSFT and ORCL sit almost on top of each other (~66-68% GM, ~22-23x) — the market is pricing Oracle like Microsoft on these two axes, despite wildly different FCF profiles. That's either your ORCL opportunity or the market telling you something.</t>
  </si>
  <si>
    <t xml:space="preserve">A workbook version — good call. For live prices in Excel, the realistic best is `STOCKHISTORY` (built into Microsoft 365, auto-pulls the latest close whenever you open the file) with my static last-close as automatic fallback if your Excel version doesn't support it — which is exactly your "previous day close" requirement. Let me check the spreadsheet skill first, then build.</t>
  </si>
  <si>
    <t xml:space="preserve">- Option volatility analysis — vol surfaces and Greeks; useful if you ever sell covered calls against NVDA/MSFT.</t>
  </si>
  <si>
    <t xml:space="preserve">One flag while I was pushing: a scheduled daily-refresh had written some odd watchlist prices to dad's link (MSFT showing $381 vs the ~$421 I pulled live today). My rebuild overwrote them with the reconciled figures, so the link is correct now — but you may want me to sanity-check that daily-refresh task's price source before it runs again tomorrow. Want me to look into it?</t>
  </si>
  <si>
    <t xml:space="preserve">⚠️ One thing you need to know. When I fetched to deploy, the branch head was `de9db26 "Daily price refresh Jul 28, 2026"` — the scheduled task fired and overwrote my statement-reconciled version, resetting ASOF to "Jul 28, 2026 (US close)". I reset over it, so the live page is correct now, but this is the same automated job I flagged last week for writing MSFT at $381 against a verified ~$421. It's going to clobber this reconciliation again on its next fire. That job should be pointed at the reconciled data or switched off until its price source is fixed.</t>
  </si>
  <si>
    <t xml:space="preserve">One thing I noticed and did not chase: the board carries MSFT at $393.35, but my note from the earlier incident says the verified price then was ~$421. One of those is wrong and it's a held position. Want me to reconcile it?</t>
  </si>
  <si>
    <t xml:space="preserve">On MSFT — question closed. POEMS shows $394.59 against the board's $393.35, 0.3% apart. The board was right; the "~$421" figure in my incident notes was the bad number, not the price on the page. No correction needed.</t>
  </si>
  <si>
    <t xml:space="preserve">Microsoft reported Q4 FY2026 after the close on Jul 29. The ladder's $390.54 is that day's close — pre-earnings. The stock gapped +8.9% to roughly $418–425 overnight. So "current price" isn't $390 and MSFT isn't sitting at 20% of its 52-week range any more; at $425 it's at about 37%.</t>
  </si>
  <si>
    <t xml:space="preserve">Your MSFT position: 113 sh, avg cost $449.72. At $425 you're down $2,770 (−5.5%) — the gap already repaired most of a $6,687 hole.</t>
  </si>
  <si>
    <t xml:space="preserve">What would prove me wrong: if MSFT closes above $440 on heavy volume with the 45% Azure guide intact, the gap isn't filling and I'm being clever for $500 on 22 shares — take it at market and move on. Conversely, if Q1 FY27 capex prints north of $55B or the Azure guide slips under 42%, the free-cash-flow trough extends and you'll get a better entry than $402, so don't rush the limit up. And watch those investment marks — the Anthropic and OpenAI stakes that flattered this quarter's EPS cut in both directions.</t>
  </si>
  <si>
    <t xml:space="preserve">My words last turn: *"if MSFT closes above $440 on heavy volume with the 45% Azure guide intact, the gap isn't filling and I'm being clever for $500 on 22 shares — take it at market and move on."*</t>
  </si>
  <si>
    <t xml:space="preserve">MSFT printed $451.10. The $402 limit is dead — it never came close. The position went from −$6,687 (−13.2%) to +$155.86 (+0.31%) in one session, and dad's 113 shares are now above water. I was right on the business and wrong on the entry, which is the more expensive of the two errors to make. Conviction on waiting: withdrawn.</t>
  </si>
  <si>
    <t xml:space="preserve">| 3 | MSFT | $500m saved; 30% of code AI-written | ★★★★☆ Executive stated | $481.90 | 23.6× | +17% | Medium-High |</t>
  </si>
  <si>
    <t xml:space="preserve">Judson Althoff, Chief Commercial Officer, on record: Microsoft saved approximately $500 million in its call centres alone using AI. Nadella: 30% of Microsoft's code is already written by AI.</t>
  </si>
  <si>
    <t xml:space="preserve">Q4 operating margin 45.1%. Azure +43%. Microsoft 365 Copilot passed 30 million paid seats — which makes Microsoft both an applier *and* a seller.</t>
  </si>
  <si>
    <t xml:space="preserve">MSFT Aug 3 close = $487.65 — exactly the POEMS figure. Confirming with two more.</t>
  </si>
  <si>
    <t xml:space="preserve">- MU is the single best trade on the sheet: +187.7% YTD, +51% on your position, and the Street's $1,486 avg target still implies +75% — though at these levels I'd treat that target with healthy skepticism; memory cycles cut both ways.</t>
  </si>
  <si>
    <t xml:space="preserve">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</si>
  <si>
    <t xml:space="preserve">Good — then let's mirror the selling machine on the buy side. Same philosophy: you decide the *what*, we engineer the *how*, and automation removes emotion from the *when*. Using MU as the live example, here's the full support stack:</t>
  </si>
  <si>
    <t xml:space="preserve">1. Pre-buy brief (before any order exists). You say "I'm thinking of adding MU" and I produce a one-page decision brief within minutes: current valuation vs its own history (MU today: 19x trailing, 5.9x forward, PEG 0.03 — cheap *if* the estimates hold, which is always the catch with memory), analyst revision direction (the Street's been chasing it *up* — avg target $1,486, +72% above price), the next earnings date (the single most important calendar item — memory stocks routinely move ±10% on results; I'll pull the exact date when we build the real plan), and the bear case stated plainly — MU is a cyclical that's already +188% YTD; every memory supercycle in history ended with people explaining why "this one's different." The brief ends with my honest read and conviction level, not a menu.</t>
  </si>
  <si>
    <t xml:space="preserve">2. Budget check (automatic). The dashboard already knows your ceiling: MU budget $30K, deployed $15.4K → $14.6K of sanctioned room. Any plan I draft fits inside that — the allocation you wrote in your notebook becomes the hard constraint, so a good story never talks you into an oversized position.</t>
  </si>
  <si>
    <t xml:space="preserve">4. The buy-watch (same 20:45 rhythm). Once you approve a plan, I add the levels to the evening note: "MU $792 — inside tranche-2 zone, check your fill," "⚠ earnings in 3 trading days — plan says pause new buys until the print," "⚠ consensus target cut 8% this week — invalidation review before deploying reserve." And the Monday Street-signals report already tracks MU's revisions, so the thesis gets re-tested weekly without you asking.</t>
  </si>
  <si>
    <t xml:space="preserve">Want me to build the real MU buy plan now — exact earnings date, fresh revision check, tuned levels — or park the template until you're ready to deploy?</t>
  </si>
  <si>
    <t xml:space="preserve">On it — pulling fresh MU data first (the market's open right now, so these are live numbers):</t>
  </si>
  <si>
    <t xml:space="preserve">There's a certain elegance to tonight's setup worth naming 💡: you're selling two speculative names into strength and redeploying into your highest-conviction winner on a pullback — trimming the lottery tickets to feed the compounder, exactly what your own budget allocation said to do before any of us looked at a chart. If all six orders eventually fill, roughly $8.5K exits the To-Be-Sold bucket and $9.8K goes to work in MU, all inside your written plan.</t>
  </si>
  <si>
    <t xml:space="preserve">Report fills as they happen and I'll keep the book true. And one standing caveat, fund manager to fund manager: plans written at 15:00 get tested at 20:31 — if MU gaps hard either way at the open, tonight's 20:45 note will tell you whether the levels still make sense or need a fresh look before you chase anything.</t>
  </si>
  <si>
    <t xml:space="preserve">Your two orders tonight: BUY 6 MU @ limit $860 GTC · BUY 6 MU @ limit $780 GTC — that's it. The third tranche (~6 sh at ~$700) deliberately has *no* order; it waits for my ⚠ signal confirming the thesis is intact if price ever gets there.</t>
  </si>
  <si>
    <t xml:space="preserve">Standing rules: cancel unfilled nets if MU closes below $650 or estimates turn down · no new buying within 5 days of fiscal Q4 earnings (~late Sept, exact date being confirmed by the watch) · everything fits inside your $14.6K budget room.</t>
  </si>
  <si>
    <t xml:space="preserve">2. The comp table cuts both ways: SK Hynix and Samsung trade at 5-6x forward vs MU's ~12x. MU's premium buys you the only NASDAQ-listed pure play and the only US-domiciled supplier — defensible, but it means MU has the most multiple to lose if Samsung's yields fix and supply floods.</t>
  </si>
  <si>
    <t xml:space="preserve">The one thing I'd stop you from doing is market-buying at the open because you're feeling eager — if MU gaps up to $890-900 at 20:30, chasing it erases the whole point of buying a pullback. The limit at $860 enforces the discipline your feelings won't: it buys weakness automatically and *cannot* chase strength. If tonight runs away without filling — fine; you already own 27.45 shares enjoying the ride, and the order keeps working every session after.</t>
  </si>
  <si>
    <t xml:space="preserve">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</si>
  <si>
    <t xml:space="preserve">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</si>
  <si>
    <t xml:space="preserve">| BUY MU 2 sh @ $921.01 | Avg cost now $585.20 on 29.45 sh — MU closed $970.82 (+12.2% day), unrealized +65.9% | — |</t>
  </si>
  <si>
    <t xml:space="preserve">| 5 | MU cost | $17,242.60 | $17,234.04 | +$8.56 — commission/fees on the +2 sh fill; avg cost is $585.49, not $585.20 |</t>
  </si>
  <si>
    <t xml:space="preserve">First, let me challenge the premise slightly, because it matters for sizing: GlobalWafers is a *supplier to* Micron, but not *the* key supplier. It's the world's #3 silicon wafer maker (~15–17% share) behind Shin-Etsu (~30%) and SUMCO (~20%+), and Micron multi-sources wafers across all of them under long-term agreements. Raw silicon is also only a small slice of a chip's cost — so GlobalWafers gives you *volume* exposure to the fab buildout, not the pricing power you own through MU.</t>
  </si>
  <si>
    <t xml:space="preserve">&gt;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</si>
  <si>
    <t xml:space="preserve">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</si>
  <si>
    <t xml:space="preserve">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</si>
  <si>
    <t xml:space="preserve">One honest caveat on the earnings task: it runs unattended and edits live data, so I built it conservatively — it only touches tickers that clearly just reported, never changes your positions or cost basis, and won't push unless the dashboard builds error-free. If a company's data page is formatted oddly and the scrape looks off, it'll defer to you rather than guess. You'll see MU next (it's on your book and reports around late September); the first real test will be whichever holding reports next this week.</t>
  </si>
  <si>
    <t xml:space="preserve">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</si>
  <si>
    <t xml:space="preserve">&gt; `Transaction In` row 61 — the MU lot (5 sh @ $365) has Commission (L61) = $58.56, while every other MU lot is $8.56. That extra $50 is MU's *entire* $50.00 drift. It looks like a fat-finger (an extra "5" in the commission).</t>
  </si>
  <si>
    <t xml:space="preserve">Fix: set L61 = 8.56 (or reduce J61 by $50). MU then ties to POEMS exactly. This is the one I'd correct with confidence.</t>
  </si>
  <si>
    <t xml:space="preserve">Bottom line: all fixes happen in `Transaction In`, columns G / L (price / commission). MU row 61 is the guaranteed win; the rest are small commission trims. Once done, your MAIN_2 "Total Investment" drops by $254 and ties to POEMS — and to my dashboard — to the cent.</t>
  </si>
  <si>
    <t xml:space="preserve">The only open item waiting on you is the `Transaction In` cleanup — MU row 61 is the guaranteed $50 fix, plus the small commission trims on the other five. Whenever you're back, just send the day's POEMS screenshot and I'll pick it up from there. 📊</t>
  </si>
  <si>
    <t xml:space="preserve">2026-07-27</t>
  </si>
  <si>
    <t xml:space="preserve">Dad's list (buy-below limits) with a note: "Prefer ③ or ⑥" (TSM or MU) and "Check Claude 1–6." Let me pull live prices for all six against his limits.</t>
  </si>
  <si>
    <t xml:space="preserve">Live prices are in, and one number needs resolving before I answer — MU came back conflicting ($920.95 vs $874), and MU is dad's preferred #6, so whether it's under his $900 limit is the whole question. Let me nail it.</t>
  </si>
  <si>
    <t xml:space="preserve">Only one name is actually at its limit today: ONDS. Both of dad's preferred picks (TSM ③, MU ⑥) are still above their lines — though MU is close after a rough day.</t>
  </si>
  <si>
    <t xml:space="preserve">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</si>
  <si>
    <t xml:space="preserve">⚠️ One data flag that could flip this — verify MU on your own POEMS screen before doing anything. My sources disagreed on MU: Google Finance shows $920.95 (Jul 24 close, $939 pre-market), but stockanalysis.com flashed $874. If POEMS shows MU *under $900*, then dad's preferred pick is already triggered and MU is your unambiguous buy today. If it shows ~$920, hold the limit and wait.</t>
  </si>
  <si>
    <t xml:space="preserve">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</si>
  <si>
    <t xml:space="preserve">That settles it. MU at $869 is through dad's $900 line — buy MU (his preferred ⑥). 🎯</t>
  </si>
  <si>
    <t xml:space="preserve">That's the clean setup: it's the *only* quality name on the sheet that's both triggered and dad's own pick, and $869 means it's now ~$31 (3.5%) below his limit, not a hair's-breadth call. MU has dropped ~12% from the ~$990 it was at last week, so you're buying a genuine pullback in the memory-supercycle name, not chasing.</t>
  </si>
  <si>
    <t xml:space="preserve">&gt; Recommendation: Buy MU today. Dad's ⑥, at $869 vs his &lt;$900 limit — confirmed trigger. Conviction: High.</t>
  </si>
  <si>
    <t xml:space="preserve">Ranking-wise it beats the only other trigger (ONDS at $7.80) on every axis that matters — MU is a real, profitable business riding the HBM/AI-memory cycle; ONDS is an $8 speculative drone micro-cap. If you only make one buy today, it's MU.</t>
  </si>
  <si>
    <t xml:space="preserve">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</si>
  <si>
    <t xml:space="preserve">Dad's MU buy filled — 2 sh @ $869.16 — and the cash screenshot ties out beautifully to my prior reconciliation. Let me confirm the MU cost basis before I update.</t>
  </si>
  <si>
    <t xml:space="preserve">Reconciled to the cent — POEMS live cash = my prior $21,250.49 + the $39.18 ORCL dividend. Now booking the MU fill (trade-date, same as NVDA).</t>
  </si>
  <si>
    <t xml:space="preserve">MU fill booked and everything reconciled — dashboard, workbook, and dad's link all updated.</t>
  </si>
  <si>
    <t xml:space="preserve">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</si>
  <si>
    <t xml:space="preserve">Good discipline on this one, Salee — dad wanted #6, the price came to his limit, and you executed at $869.16, a full ~12% below where MU was trading last week. That's the buy-list working exactly as designed: patience got you a better entry than chasing.</t>
  </si>
  <si>
    <t xml:space="preserve">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</si>
  <si>
    <t xml:space="preserve">⚠️ Salee — before anything else: this is a memory crash day. KOSPI closed −10.84% with a circuit breaker, SK Hynix −14.65% in Seoul, MU −9.75% right now. Let me finish the board update and then give you the answer.</t>
  </si>
  <si>
    <t xml:space="preserve">&gt;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</si>
  <si>
    <t xml:space="preserve">4. Salee มี memory exposure อยู่แล้วผ่าน MU ($18,989 cost) — ซื้อ SKHY วันนี้คือเพิ่ม bet ก้อนเดิมตอนที่มันกำลังแตก</t>
  </si>
  <si>
    <t xml:space="preserve">ผมต้อง flag เรื่องนี้ MU ตอนนี้ revenue โต 167% YoY, net margin 55.91% — ตัวเลขระดับนี้ไม่มีทางยั่งยืน และ CXMT กำลังจะเอากำลังผลิตที่รัฐจีนหนุนเข้าตลาด กำไร +$6,562 (+34.6%) ที่มีอยู่คือกำไรจริงที่ยังไม่ realize</t>
  </si>
  <si>
    <t xml:space="preserve">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</si>
  <si>
    <t xml:space="preserve">&gt; Don't buy SKHY. If you want more memory-cycle exposure, add to MU or open STX — same thesis, no 20% toll.</t>
  </si>
  <si>
    <t xml:space="preserve">You already hold MU (31.45 sh, cost $18,989, now $820.53) giving you ~$25.8K of memory beta in that exact group. Cash is $19,542.79 and pre-settlement — the NVDA buy clears Jul 30. Spending it on the most expensive wrapper for a thesis you already own is the wrong trade twice over.</t>
  </si>
  <si>
    <t xml:space="preserve">The MU buy is logged. 2 shares at $828.6263 = $1,665.81, contract 396719/400/01, settling Aug 3. That takes you to 33.45 shares at an average cost of $617.4975, and MU is now sitting on roughly +$6,875 unrealized. Budget left on the MU line: $9,344.71.</t>
  </si>
  <si>
    <t xml:space="preserve">MU is the closest name to Dad's limit (+8.8%) — and that's precisely what makes it dangerous. Micron trades at 5.7× forward earnings. That looks absurdly cheap next to everything else on the list.</t>
  </si>
  <si>
    <t xml:space="preserve">It's like a durian orchard in a year when a storm wiped out everyone else's crop. Your profits are enormous and your "price to earnings" looks tiny. But those earnings are the storm, not the orchard. MU is up 179% this year yet already down 35% from its June high — that shape is what a cycle top looks like while it's forming. Salee is already up 33% on the existing 33 shares. I'd hold, not add.</t>
  </si>
  <si>
    <t xml:space="preserve">| Hold, don't add | MU | 5.7× forward is a cycle-peak signal, not a bargain | Medium-High |</t>
  </si>
  <si>
    <t xml:space="preserve">Here's the thing about memory chip companies: *they look cheapest at the exact moment their profits are about to peak.* Micron's gross margin right now is ~85%, near an all-time record, because memory is in desperately short supply. The market isn't stupid — a single-digit multiple is the market saying "we don't believe these earnings last." Meanwhile China's CXMT is adding conventional DRAM capacity, and Micron itself has committed $250bn+ of new plants through 2035. More supply eventually meets the same demand.</t>
  </si>
  <si>
    <t xml:space="preserve">AI sellers make money when *other people* buy AI. Nvidia, TSMC, Micron. When AI spending slows, their revenue slows. You already own a lot of this.</t>
  </si>
  <si>
    <t xml:space="preserve">MU (+5.8%) and SNDK (+8.6%) — riding the same memory-chip rally. Micron is your third-best performer already (+34%). Both fine businesses, both up strongly this morning. Nothing wrong with them; just not today.</t>
  </si>
  <si>
    <t xml:space="preserve">| Sell 13 NBIS, limit $183.00, GTC | "Sell half my NBIS near today's price" (locks in ~+28%) |</t>
  </si>
  <si>
    <t xml:space="preserve">| Sell 14 NBIS, limit $198.00, GTC | "Sell the rest only if it runs toward $200" |</t>
  </si>
  <si>
    <t xml:space="preserve">What the exact numbers changed versus my earlier rounded estimates: I now have the two-lot NBIS exit split correctly (13 sh +$640.88, 14 sh +$763.64 = +$1,404.52), and every other line matched within a dollar. Here's how lifetime realized P&amp;L distributes across your groups:</t>
  </si>
  <si>
    <t xml:space="preserve">&gt;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</si>
  <si>
    <t xml:space="preserve">| NET | Cloudflare | $262.15 | 202 | 4.69 | +34% | −4% | 47 | Fastest growth, wildest valuation ⚠️ |</t>
  </si>
  <si>
    <t xml:space="preserve">⚠️ NET (Cloudflare) is the one to be clear-eyed about — 202× forward P/E and an EV/EBITDA of ~860×. That's not a typo; it's what happens when a company has a $93B enterprise value and almost no EBITDA. Cloudflare is a genuinely great growth business (+34%, expanding into AI-inference at the edge), but at 40× *sales* the market has priced in years of flawless execution. Any growth stumble and there's a very long way to fall. It's the single most expensive name in your entire 100-stock book on almost every multiple. Momentum bet, not a value one.</t>
  </si>
  <si>
    <t xml:space="preserve">- NVDA's 74% margin at 31x looks expensive until you remember the PEG of 0.46 — growth is doing the work the multiple can't show on this map.</t>
  </si>
  <si>
    <t xml:space="preserve">The gap and the fix: between Mondays, a big move — say NVDA drops 8% on a Wednesday — would show in the tape but *not* in your G/L or conviction numbers. That's a real blind spot for a $625K book.</t>
  </si>
  <si>
    <t xml:space="preserve">What you'd actually gain over the current stack once connected, concretely for NVDA:</t>
  </si>
  <si>
    <t xml:space="preserve">1. Try connecting Daloopa first — you already have its full skill suite installed here (DCF, comps, earnings reviews, guidance trackers, bull/bear frameworks). Daloopa is hedge-fund-grade fundamentals extracted from filings — every line item, historical, clean — and unlike LSEG it has accessible entry tiers for individuals. Same path: Settings → Connectors → search Daloopa in the directory (one housekeeping note: your Claude settings currently have connector *suggestions* disabled, which is why I can't push you a connect button directly — browse the directory manually or flip that toggle on). Once connected, say `daloopa:setup` here and I'll verify the pipe, then run a real DCF or earnings-prep on NVDA before its next report.</t>
  </si>
  <si>
    <t xml:space="preserve">🎯 My recommendation (Conviction: High): connect FMP + Daloopa now; chase LSEG through your broker in parallel. FMP gives your *whole book* consistent API-grade data — and critically, once it's connected I'll rewire the daily and Monday refresh tasks to pull from the API instead of scraping web pages: faster, more reliable, and estimate revisions come native. Daloopa covers the deep-dive layer (I'd start with an earnings-prep on NVDA before its next report). If LSEG credentials ever materialize, it slots in on top for Pillar 3 fixed income, where nothing else here competes.</t>
  </si>
  <si>
    <t xml:space="preserve">One immediate fruit from the first API pull worth registering 📊: NVDA's analyst floor moved from $180 to $218 and consensus from ~$302 to $319 — upward revisions on your largest position, with the stock at $203 still sitting *below the lowest target on the Street*. Monday's note will tell you whether that's a trend or a blip.</t>
  </si>
  <si>
    <t xml:space="preserve">- Dashboard matrix: new row 3b "Budget remaining ($)" right under cost — green `+$8,518` (NVDA: room to add), red `−$10,630 over` (ORCL)</t>
  </si>
  <si>
    <t xml:space="preserve">NVDA is showing conflicting quotes ($197 vs $235) — that's the borderline name against dad's limit, so let me nail it down.</t>
  </si>
  <si>
    <t xml:space="preserve">The composite below weights growth (30%), quality/returns (25%), margins (15%), and valuation-adjusted-for-growth (30%). NVDA scores +1.64; the next name is +0.52.</t>
  </si>
  <si>
    <t xml:space="preserve">The rare thing here is that the *fastest-growing, highest-quality* name is also the *cheapest on growth-adjusted valuation*. NVDA grows revenue +71% and EPS +111%, earns a 105% return on invested capital, runs a 63% net margin, posts a Rule of 40 *(revenue growth + FCF margin)* of 118 — nearly 3× the "great business" threshold of 40 — and still trades at a 0.46 PEG *(price/earnings-to-growth; under 1.0 means you're paying less than a point of P/E per point of growth)* and a 20× forward P/E, the second-lowest on the whole list. On the numbers alone, that combination doesn't exist anywhere else on dad's sheet. It's the textbook "growth at a value price."</t>
  </si>
  <si>
    <t xml:space="preserve">Runner-up worth naming: TSM. It's the cleanest value on the board — cheapest forward P/E (18.8), lowest EV/EBITDA (18.5), 50% net margin, ROIC 55% — and it's the foundry NVDA physically depends on, so you get most of the same AI tailwind with less single-company risk.</t>
  </si>
  <si>
    <t xml:space="preserve">⚠️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</si>
  <si>
    <t xml:space="preserve">Conviction: High that NVDA leads on fundamentals · Horizon: Long (&gt;24m) · What would prove me wrong: forward numbers here embed enormous expectations — a hyperscaler capex pause, a Blackwell/Rubin demand air-pocket, or China export escalation would compress that +71% growth fast, and at that point the 20× forward P/E re-rates *up* (E falls) rather than staying cheap. That's the whole risk in one sentence: NVDA is cheap only if the growth is real.</t>
  </si>
  <si>
    <t xml:space="preserve">Want me to pull the actual latest earnings-print details on NVDA and TSM to confirm these snapshots are current before you act?</t>
  </si>
  <si>
    <t xml:space="preserve">You've deployed 89.4% of the NVDA line. At the current ~$208, the remaining $8,518 buys roughly 40 more shares before you hit the $80K cap.</t>
  </si>
  <si>
    <t xml:space="preserve">1. On market value, NVDA is already at the cap. Cost basis is $71.5K, but the position is *worth* ~$80K right now (383 × $208 ≈ $79,955). So the $8.5K "room" only exists because the budget is measured against cost, not market value. If your mental cap is "no more than $80K of NVDA exposure," you're effectively already there — adding $8.5K pushes NVDA to ~$88K of live exposure, ~10% over the intended ceiling.</t>
  </si>
  <si>
    <t xml:space="preserve">2. It's still your single most concentrated name. This is the same flag from the fundamentals question: NVDA is the best business on dad's list *and* already the biggest position. Filling the last $8.5K is defensible on conviction, but it's adding to the one bet that's already largest.</t>
  </si>
  <si>
    <t xml:space="preserve">| NVDA BUY | +9 sh @ $211.06 (limit $211.50, filled) → 392 sh total, avg cost now $187.22 incl. fees |</t>
  </si>
  <si>
    <t xml:space="preserve">⚠️ On the cash number — deliberate mismatch you'll notice. Your POEMS "Cash Balance (Live)" screenshot still shows $23,158.59, but I set the dashboard to $21,250.49. That's not an error — POEMS hasn't *settled* the NVDA buy yet (T+2, ~Jul 29), so it hasn't debited the ~$1,908 from live cash. I use trade-date accounting instead: the moment the trade is Done, I move the cash into the position. If I left cash at $23,158 *and* added the shares, the "Net capital invested" card would falsely jump ~$1,900 as if dad wired in new money — he didn't, he used existing cash. The two figures converge once POEMS settles on ~Jul 29.</t>
  </si>
  <si>
    <t xml:space="preserve">วันนี้ KOSPI ปิด −10.84% โดนทั้ง sidecar และ circuit breaker หยุดเทรด 20 นาที ต่ำสุดตั้งแต่เมษายน สาเหตุ: CXMT (ผู้ผลิต DRAM รายใหญ่ของจีนที่รัฐหนุน) เข้า IPO → ตลาดกลัว supply glut ในหน่วยความจำ บวกกับข่าว NVDA ค้ำสัญญาเช่า data center ของ OpenAI ถึง $250B ที่จุดชนวนความกลัวเรื่อง *circular financing* (การที่ผู้ขายชิปเอาเงินไปอุดหนุนลูกค้าให้กลับมาซื้อชิปตัวเอง)</t>
  </si>
  <si>
    <t xml:space="preserve">💡 คำตอบ: ตั้ง limit order NVDA ที่ $190.00 — ไม่ซื้อ market วันนี้ และห้ามแตะ SKHY</t>
  </si>
  <si>
    <t xml:space="preserve">Order นี้สวยตรงที่มัน ใช้ budget NVDA ที่เหลือให้หมดพอดี — ถ้าไม่ fill วันนี้ก็ไม่เสียอะไร</t>
  </si>
  <si>
    <t xml:space="preserve">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</si>
  <si>
    <t xml:space="preserve">ผมแนะนำให้ตั้ง limit ที่ $190.00 จำนวน 34 หุ้น คุณพ่อไม่เอาด้วย ตั้งที่ $196 ได้ฟิลที่ $195.895 × 10 หุ้น เวลา 22:41:11 — และ NVDA ปิดที่ $197.01 โดยไม่เคยลงไปแตะ $190 เลยแม้แต่ครั้งเดียว ถ้าทำตามผม วันนั้นคือ ไม่ได้ของ ผมอ่าน memory selloff ว่าจะลากราคาลงต่อ แต่ NVDA เด้งจาก $193.94 กลับขึ้นทั้งวัน — ผมมองผิด คุณพ่อมองถูก จบ</t>
  </si>
  <si>
    <t xml:space="preserve">NVDA ปรับจาก 392 → 402 หุ้น, cost 73,389.84 → 75,357.35 ส่วนต่าง 1,967.51 = (10 × 195.895) + 8.56 ค่าคอม — และ cost รวมทั้งพอร์ตขยับเท่ากันเป๊ะ 1,967.51 แปลว่า NVDA คือรายการเดียวที่เกิดขึ้น ไม่มีเทรดอื่นแอบอยู่</t>
  </si>
  <si>
    <t xml:space="preserve">เงินสด คงที่ที่ $19,542.79 ตามที่ statement แสดง — ยังเป็นยอดก่อน settlement (T+2) ค่าซื้อ NVDA จะหักออกจริงวันที่ 30 ก.ค.</t>
  </si>
  <si>
    <t xml:space="preserve">Budget NVDA เหลือ headroom $4,642.65 ($80,000 − $75,357.35) — ยิงได้อีกราว 23 หุ้นที่ราคาปัจจุบัน</t>
  </si>
  <si>
    <t xml:space="preserve">First, I own the miss. I recommended a $190.00 limit for 34 shares. Dad ignored me, set his limit at $196, and got filled at $195.895 × 10 shares at 22:41:11. NVDA closed at $197.01 and never traded down to $190 all session. My call would have produced zero fill. I read the memory selloff as having more downside to run; NVDA bounced off the $193.94 intraday low and climbed all day. He was right, I was wrong.</t>
  </si>
  <si>
    <t xml:space="preserve">NVDA moved 392 → 402 shares, cost 73,389.84 → 75,357.35. The delta of 1,967.51 equals (10 × 195.895) + 8.56 commission exactly, and total book cost moved by that same 1,967.51 — which proves the NVDA fill was the *only* position change. No hidden trades.</t>
  </si>
  <si>
    <t xml:space="preserve">Cash stays at $19,542.79 — that's the pre-settlement figure; the NVDA purchase hits on T+2 (Jul 30). NVDA budget headroom is now $4,642.65 ($80,000 − $75,357.35), roughly 23 more shares at current price.</t>
  </si>
  <si>
    <t xml:space="preserve">&gt; This is a valuation gap, not a timing call. I'm not telling you to wait for a dip — I got that wrong on NVDA and dad was right to override me at $196. I'm telling you the vehicle is structurally mispriced by ~20% and no amount of patience on the *price* fixes the *premium*.</t>
  </si>
  <si>
    <t xml:space="preserve">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</si>
  <si>
    <t xml:space="preserve">`chart` works and `quote` doesn't — and NVDA $195.04 for Jul 30 ties exactly to the POEMS screen. Let me map the rest of the entitlement boundary.</t>
  </si>
  <si>
    <t xml:space="preserve">Good question — and a sharper one than "which AI stock is cheap." Let me separate two things people constantly conflate: companies that sell AI (Nvidia, TSMC) versus companies whose own cost structure and decision quality get rebuilt by deploying AI internally. You're asking about the second. Let me screen your universe properly.</t>
  </si>
  <si>
    <t xml:space="preserve">The uncomfortable part: NVDA is *already your largest position* — 402 shares, ~$88,126, 13.0% of your entire equity portfolio. And your own budget line for it ($80,000) is 94% used.</t>
  </si>
  <si>
    <t xml:space="preserve">⚠️ The honest risk: NVDA reports earnings on Aug 26 — company-confirmed, 20 days away. You are buying into the single most-watched earnings report in the market. And the SpaceX news is *already in the price* — the stock rose 3.4% on it Tuesday.</t>
  </si>
  <si>
    <t xml:space="preserve">Buy the full 21 shares of NVDA. That's the $4,643 budget headroom, and you'll still have roughly $10,000 of dry powder left over. No trimming needed.</t>
  </si>
  <si>
    <t xml:space="preserve">Two things unchanged from my earlier answer: use a limit order, not market — NVDA was ~$221.3–221.7 around 10:14 ET and it's a fast tape tonight. And don't go past 21 shares, even with the extra cash sitting there. The $80,000 budget line on NVDA exists precisely so a 13% position doesn't quietly become 16%.</t>
  </si>
  <si>
    <t xml:space="preserve">1. You have NVDA budget left. You bought 9 shares; I'd sized 21. Your $80,000 budget is now 96.7% used with $2,667.60 of headroom — about 12 more shares. No pressure to use it, and there's an argument for holding it back until after the Aug 26 earnings report. But it's there if you want it.</t>
  </si>
  <si>
    <t xml:space="preserve">- Safe Superintelligence partnership (Jul 27) — Ilya Sutskever's lab, plus an NVIDIA investment of undisclosed size. *(A Bloomberg headline said $5B; I couldn't verify it, so I'm not quoting it as fact.)*</t>
  </si>
  <si>
    <t xml:space="preserve">- NVIDIA projects $1 trillion+ of data-center spending by the big cloud companies in 2027, versus ~$650B in 2026.</t>
  </si>
  <si>
    <t xml:space="preserve">- NVIDIA Q2 FY2027 earnings date — NVIDIA Newsroom, Jul 29 2026 (https://nvidianews.nvidia.com/news)</t>
  </si>
  <si>
    <t xml:space="preserve">| NVT $162.24 | nVent Electric | Raised full-year guidance twice over on AI liquid-cooling demand; also buying back its own shares. |</t>
  </si>
  <si>
    <t xml:space="preserve">Yes — ONDS is still in your book: 200 shares, cost $2,031, worth ~$1,374 (−32.3%), sitting in Space/Drone/Defense. It just never got a budget line in your allocation note — flag it if that was an oversight or if it belongs on the exit list.</t>
  </si>
  <si>
    <t xml:space="preserve">Your list is a set of buy-below limits — most are sitting *above* your target, waiting for a pullback. Only two names are actually trading below their limit right now. Here's the whole list against last close (Jul 22, POEMS-verified; ONDS live Jul 23):</t>
  </si>
  <si>
    <t xml:space="preserve">&gt;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</si>
  <si>
    <t xml:space="preserve">Ah — that flips the answer completely, and it's the more disciplined list. Re-scoring against the corrected limits (RKLB &lt; $50, ONDS &lt; $7.50):</t>
  </si>
  <si>
    <t xml:space="preserve">- ONDS $7.50 — closest by a hair, but it's your −25% micro-cap; a $7.50 add is at least more disciplined than $8, though I'd keep it small — averaging down on a speculative drone name is how small losers become big ones.</t>
  </si>
  <si>
    <t xml:space="preserve">Dashboard baseline (Jul 24–25) shows ONDS at $7.93 — just under dad's $8 limit — but that's a few days stale and ONDS is volatile. Let me confirm all six live.</t>
  </si>
  <si>
    <t xml:space="preserve">The only name that mechanically hit its limit is ONDS at $7.80 — but that's an $8 speculative drone micro-cap, the lowest-quality name on the sheet. "It touched the limit" is not a reason to buy junk. If you want a small speculative nibble, fine, but size it like a lottery ticket, not a position.</t>
  </si>
  <si>
    <t xml:space="preserve">Nine of ten verified exactly. ONDS is the one mismatch — flagging and correcting it.</t>
  </si>
  <si>
    <t xml:space="preserve">2. Your portfolio's central risk is the AI capex supercycle — and net income can't see it. Depreciation recognizes capex years after the cash leaves. FCF margin captures it *now*. The cleanest example is ORCL:</t>
  </si>
  <si>
    <t xml:space="preserve">Same company, opposite conclusions. ORCL is borrowing to build data centers faster than it collects cash — the FCF version is the one screaming, and given the stock is −63% off its high, the market clearly agrees with the FCF version. That's the metric earning its seat.</t>
  </si>
  <si>
    <t xml:space="preserve">Worth noting what the move does to your group P&amp;L 📊: ORCL was the Hyperscalers' problem child — without it, that group improves from +6% to roughly +10% unrealized, while SaaS absorbs the −24% ORCL position and swings from −1% to about −17%. Your original notebook instinct (the "?" next to Oracle) was the right question all along — it trades like a leveraged AI-infrastructure bet, not like a mega-cap platform, and now its red ink sits with its true peers instead of hiding among the giants.</t>
  </si>
  <si>
    <t xml:space="preserve">1. ORCL is the only over-budget position: cost $15.6K vs your 5K allocation — 3x over. Combined with your earlier "?" and the −24% P&amp;L, your own allocation is telling you the answer: right-size it. (Note your summary page counts ORCL under Hyperscalers while the dashboard has it in SaaS per your instruction — budget entered either way; tell me if the group should move back.)</t>
  </si>
  <si>
    <t xml:space="preserve">Fixed — Hyperscalers now sits at the top of the table where it belongs: $250K budget, $207,443 invested, $217,706 market value, +$10,263 unrealized (+4.9%), and −$1,962 realized from the ORCL trim. Deploying.</t>
  </si>
  <si>
    <t xml:space="preserve">Both changes render correctly — ORCL now shows Realized −$1,962 and Realized % −26.8% alongside the "%" (unrealized %) column. Deploying both the Budget left ฿ and the Realized % additions.</t>
  </si>
  <si>
    <t xml:space="preserve">Realized % — added to the P&amp;L by stock table right after the Realized column. It's realized gain ÷ the cost basis of the sold lot, so ORCL reads −$1,962 / −26.8%. The existing "%" column stays as unrealized % on held shares — so each stock now shows both its paper return and, where a lot was sold, its realized return side by side. Names with no sale show "—".</t>
  </si>
  <si>
    <t xml:space="preserve">- Group map — ORCL 0 → 10. Hyperscalers drops to 5 names, SaaS rises to 10.</t>
  </si>
  <si>
    <t xml:space="preserve">- Monthly flow attribution — seven months carried ORCL buys/sells inside the Hyperscalers aggregate. I shifted each one out of group 0 and into group 10: Dec '25 $1,938.56, Jan '26 $2,016.16, Mar $3,902.97, Apr $1,874.30, May $1,919.31, Jun $3,978.30, and Jul's $5,354.25 sell with the −$1,961.73 realized. Every month still reconciles byStock → byGroup exactly, no negative residuals.</t>
  </si>
  <si>
    <t xml:space="preserve">4. ORCL is already over its cap. Its budget in the dashboard is $5,000 and you already have $8,314 in it. At $144.50 Oracle is arguably the deepest bargain on the entire list — 58% below its yearly high — but adding more means consciously raising the ceiling. Worth a separate conversation, not a casual add.</t>
  </si>
  <si>
    <t xml:space="preserve">| ORCL | $144.39 | +74% | n/a | ❌ Credit downgraded to BBB−, debt 3× equity, you're 66% over budget already |</t>
  </si>
  <si>
    <t xml:space="preserve">⚠️ One thing to be aware of on ORCL. It wasn't sitting at $5,000 — it was already at $8,313.62, which means it had blown through its old budget by 66% at some point. Raising it to $10,000 doesn't create new room so much as it makes the books honest about where you already are. You've got $1,686 of genuine headroom, not $5,000.</t>
  </si>
  <si>
    <t xml:space="preserve">OUST (Ouster, lidar) and ROK (Rockwell Automation) both fit Robotic cleanly. OUST is a high-beta pre-profit lidar play (−30% net margin, but Strong Buy, +34% to target); ROK is the opposite — a profitable industrial-automation blue chip (27% ROE, +7% revenue) trading right at its $474 target with little upside. Two very different expressions of the automation theme.</t>
  </si>
  <si>
    <t xml:space="preserve">Two names added to existing groups: RBRK (Rubrik) into Cybersecurity at $80.99, and PL (Planet Labs) into Space at $22.83. Both watchlist only, no money in them.</t>
  </si>
  <si>
    <t xml:space="preserve">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</si>
  <si>
    <t xml:space="preserve">| 6 | PLTR | $1.5m revenue/employee, NRR 150% | ★★★★★ Reported | $124.75 | 77.3× | +46% | Low (valuation) |</t>
  </si>
  <si>
    <t xml:space="preserve">PLTR (+24.5%) — this jumped because it reported results last night and commercial sales grew 149%. Wonderful business news, genuinely. But the whole gain happened in one gap before you could act. You would be buying a company priced at over 100 times its earnings, on the single most euphoric morning it has had all year. The results are real; the price you would pay today is not the price the results deserve.</t>
  </si>
  <si>
    <t xml:space="preserve">POET has no analyst coverage at all — zero analysts, so no fair-value ladder for it. Its price-to-sales ratio reads 854 and its gross margin reads 100%. Those numbers are correctly retrieved, but they're an artifact of a company with essentially no revenue yet ($1.4M). Treat both as noise, not signal.</t>
  </si>
  <si>
    <t xml:space="preserve">Two bugs fixed along the way. Building this surfaced a real crash that was already sitting in the code: the bubble chart did some arithmetic that only works when there's at least one stock with earnings to plot. Focus on a pre-revenue name like POET and that arithmetic would have produced garbage and scrambled the whole chart. It now shows "POET — no earnings yet, nothing to plot on a P/E axis" instead. Separately, a leftover "Closed / other (pre-dashboard)" row with a phantom $0 was showing up in the focused group summary; that's gone.</t>
  </si>
  <si>
    <t xml:space="preserve">It has zero analysts covering it. Not "a few" — none. So there are no price targets at all, and I left those fields blank the same way we handled POET.</t>
  </si>
  <si>
    <t xml:space="preserve">| POWL $211.38 | Powell Industries | ⚠️ Missed on both revenue and profit Aug 3. Gapped down almost 13% before recovering to close −3.8%. But new orders +158% and backlog +69%, with a book-to-bill of 3.0× — meaning it's booking three dollars of new work for every dollar it ships. Only four analysts cover it, so the price moves violently on any surprise. |</t>
  </si>
  <si>
    <t xml:space="preserve">| PWR $693.00 | Quanta Services | Beat huge on Jul 30 and raised the year — revenue +41%, backlog $53.4B. Stock jumped 13.65% that day. |</t>
  </si>
  <si>
    <t xml:space="preserve">| Deep value | PYPL | PayPal | 10 | +6% | 15% | Cheapest quality name here, off 28% |</t>
  </si>
  <si>
    <t xml:space="preserve">| RBRK $80.99 | Rubrik | Jumped 8.4% on Aug 4 when Loop Capital started covering it with a Buy and a $100 target. Still loses money and has negative shareholder equity, which is why its ROE and debt ratios show blank. |</t>
  </si>
  <si>
    <t xml:space="preserve">RKLB returned a stale cache — let me get fresh quotes for the whole list via FMP to compare each against your limits.</t>
  </si>
  <si>
    <t xml:space="preserve">If you buy RKLB today: it's a story/momentum name, so treat it as one — GTC limit around $68–69 (don't chase above last close), tranche 1 of a two-part add, keep powder for a dip toward the low $60s. Size it small; it's a call option on Neutron's first launch, not a value position.</t>
  </si>
  <si>
    <t xml:space="preserve">Two housekeeping notes: my real-time feeds are glitchy today (kept returning 2025 cache for RKLB), so confirm the live RKLB quote before you place the order — I'm anchored to the Jul 22 close. And separately, your note asks me to add D/E, Price/FCF, and EV/EBITDA to the dashboard — happy to build those three columns into the metric matrix next; just say go. ผมไม่ใช่ licensed advisor — final call is yours.</t>
  </si>
  <si>
    <t xml:space="preserve">And notably, RKLB — my pick two minutes ago under the wrong $80 number — is now the *furthest* from triggering at −28%. Good thing you caught the correction; that's exactly why the limit gets written down instead of eyeballed.</t>
  </si>
  <si>
    <t xml:space="preserve">- RKLB: 23 × 84.46 = 1,942.58, board value. The portal's printed Open Qty Cost renders ambiguously, but the total settles it — with 1,942.58 the cost column sums to 546,807.07, tying the portal's printed total to the penny.</t>
  </si>
  <si>
    <t xml:space="preserve">RKLB's quote page is serving a stale Jul 10 snapshot. Falling back to history, and seeding the remaining five.</t>
  </si>
  <si>
    <t xml:space="preserve">The numbers, through your value lens 📊: SBUX $104.81 · 80x trailing P/E falling to 38x forward (the turnaround math — EPS rebuilding from a low base) · but the Street's average target is $106 — just +1.4% from here, the *lowest* conviction of all 51 names on your board, with revenue growth of ~1%. The market has already paid the full turnaround price in advance. At 3.9% net margin and 21.9% gross, it's also a business you understand better than any analyst covering it — you run food service margins every day at Subway, so you know exactly how hard wringing profit from beans and labor is.</t>
  </si>
  <si>
    <t xml:space="preserve">Starbucks — first non-AI name on the board (spoken like a true F&amp;B operator 😄). It doesn't fit any existing group, so I'll create a "Consumer / F&amp;B" watchlist group for it. Pulling data:</t>
  </si>
  <si>
    <t xml:space="preserve">| Spec growth | SHOP | Shopify | 59 | +32% | 11% | Great biz, 84× EV/EBITDA — priced for perfection |</t>
  </si>
  <si>
    <t xml:space="preserve">SK Hynix it is — one wrinkle worth knowing upfront: it has no liquid US listing (the ADR has no data), so I'm adding it via its Korean listing (KRX 000660) with prices in Thai-friendly... Korean won ₩. All the percentages — conviction, YTD, devastation, margins — are currency-agnostic, so the analytics work perfectly; just read its price column as KRW, not USD:</t>
  </si>
  <si>
    <t xml:space="preserve">3. fwd PE 4.88x ไม่ได้แปลว่าถูก — SKHY กำไรโต 85% net margin 56.89% นี่คือตัวเลข *ยอดวัฏจักร* หุ้น commodity ที่ PE ต่ำสุดคือตอนที่กำไรสูงสุด ถ้า EPS normalize ลง 60% "4.88 เท่า" กลายเป็น 12 เท่าทันที นี่คือกับดักคลาสสิกที่สุดของ semis กลุ่ม memory</t>
  </si>
  <si>
    <t xml:space="preserve">ถ้าคืนนี้งบออกแล้วพรุ่งนี้ SKHY ยังต่ำกว่า $130 → ค่อยซื้อ ตอนนั้นเราจะรู้แล้วว่าซื้อของถูกหรือซื้อของพัง ราคาที่จ่ายแพงขึ้น 2-3% คือค่าประกันที่คุ้มมาก</t>
  </si>
  <si>
    <t xml:space="preserve">1. SK Hynix ประกาศงบ Q2 คืนนี้ 20:00 EDT (9:00 น. KST พรุ่งนี้) — อีกประมาณ 10 ชั่วโมง การซื้อหุ้นที่ราคาร่วง 14.65% วันเดียวก่อนงบออกไม่กี่ชั่วโมง ไม่ใช่การลงทุน มันคือการโยนหัวก้อย</t>
  </si>
  <si>
    <t xml:space="preserve">ส่วนคำแนะนำ SKHY ที่ผมบอกให้รอผลประกอบการ SK Hynix ก่อน — อันนั้นยังเปิดค้างอยู่ ยังไม่ได้อ่านผล</t>
  </si>
  <si>
    <t xml:space="preserve">My SKHY "wait for the SK Hynix Q2 print" call is still open — I haven't read the results yet.</t>
  </si>
  <si>
    <t xml:space="preserve">SKHY is not SK Hynix at the Seoul price. 1 ADS = 1/10 of a common share. Run the parity:</t>
  </si>
  <si>
    <t xml:space="preserve">SK Hynix (SKHY) — decline again, and the case got stronger, not weaker. The ADR premium has *widened to ~33%*. Seoul fell 9.6% on the 29th; the ADR fell only 1%. Parity value is $96.58 against an ADR price of $128.77. Dad would be paying a third more than the same shares cost in Seoul. Worse, the conversion quota was exhausted on July 23, so the arbitrage channel is now one-way — the only direction that premium can go from here is compressed. On the earnings themselves: Q2 actually *missed* on both revenue and operating profit; the headline net profit number was inflated by a one-off Kioxia gain. Good company, wrong instrument, wrong price.</t>
  </si>
  <si>
    <t xml:space="preserve">So the question isn't "is SK Hynix cheap." At 4.40x headline forward P/E it obviously looks cheap — though that headline is FY2027 and becomes ~6.1x once you strip the Kioxia one-off. The question is whether you want to buy a ₩1,608,000 asset for the equivalent of ₩1,895,000. You don't.</t>
  </si>
  <si>
    <t xml:space="preserve">The supply-side data actually strengthens my caution on the *2027* debate, not the *entry*: SK Hynix just raised 2026 capex to the "high-40 trillion won" range from ₩30.2tn (~+60%), and on Jun 29 Samsung and SK announced ₩800tn ($518bn) for four new fabs with Korea targeting a doubling of DRAM capacity within five years. That capacity lands 2028+, so it doesn't break 2027 — but it tells you management is spending like the cycle runs long, and history says that's when you stop paying premiums.</t>
  </si>
  <si>
    <t xml:space="preserve">| What would change my mind | (1) KSD raises the 2.5% conversion quota — premium collapses, revisit immediately; (2) premium compresses below ~5% organically; (3) HBM4 shipment recovery confirmed at Samsung's Q2 call Jul 30 *and* SK Hynix guiding HBM4 volume, which would make the miss a one-quarter timing issue; (4) Seoul falls enough that even grossed up 20% the ADR clears my multiple |</t>
  </si>
  <si>
    <t xml:space="preserve">Near-term calendar that will move this: Samsung IR call Jul 30, SanDisk FY2026 Aug 5, the post-SK-hynix analyst revision wave, and the Moolenaar/Whitesides Commerce probe into CXMT.</t>
  </si>
  <si>
    <t xml:space="preserve">SKHY is now a held position, not a watchlist name. 15 shares, avg cost $127.55 including fees, order 6239421 filled at $126.9791 against a $127.00 day limit — good execution on the limit itself. Budget set at $10,000 per dad's note, leaving $8,087. Trade logged, THBFX and the July rollup updated.</t>
  </si>
  <si>
    <t xml:space="preserve">I gave you a "don't buy" on SKHY and dad bought it. That's his call and it's a small position — $1,913 against a $580K book. I'll say the useful part instead of the smug part: the remaining $8,087 of that budget is where the real decision sits. The thesis against it was the ~33% ADR premium to Seoul parity, not the company. Don't deploy the rest until that premium compresses below ~10%, and the fundamentals on the board for SKHY are still pre-Q2 (revenue $86.77B, +85%, fwd P/E 4.88) — those are now stale and flattering. I want to refresh them before that budget gets touched.</t>
  </si>
  <si>
    <t xml:space="preserve">Still open from before and not touched: SKHY fundamentals are stale and flattering (pre-Q2 TTM — revB 86.77, eps 9.39, fpe 4.88) and it's now a live position with $8,087 of budget left, so that wants a refresh before you deploy into it. And FI→FISV is still blocked by the gate's vanished-ticker rule; it needs a `--rename` flag, which I'd rather ship as its own change than smuggle into this one.</t>
  </si>
  <si>
    <t xml:space="preserve">| SMCI | Super Micro | $30.10 | 8.9 | 0.30 | +56% | 4% | Fastest growth, cheapest — but the risky one ⚠️ |</t>
  </si>
  <si>
    <t xml:space="preserve">One housekeeping note: NuScale's −3,646% margin makes that one cell in the fundamentals matrix look extreme on dad's public dashboard. Want me to cap or dash-out the absurd-scale margins on pre-revenue names so the table stays readable, while keeping the real number in the workbook?</t>
  </si>
  <si>
    <t xml:space="preserve">SNDK and WDC are on the Memory &amp; Storage watchlist (61 names now, live everywhere). And since I had all five candidates' data in hand, here's the head-to-head for your buy question:</t>
  </si>
  <si>
    <t xml:space="preserve">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</si>
  <si>
    <t xml:space="preserve">The 4-lane version breaks the shared bar scale — SNDK sits +2,633% above its 52-week low, which crushes every other bar to a hairline. Restructuring.</t>
  </si>
  <si>
    <t xml:space="preserve">SNDK at +2,633% would have set the scale and flattened every FV / HI / YTD bar on all 107 rows to a 1.5% hairline. I built it, screenshotted it, saw the damage, and reverted. The rationale is now a permanent code comment so nobody re-adds it in six months.</t>
  </si>
  <si>
    <t xml:space="preserve">| SNOW | $316.84 | −6% (targets are BELOW the price) | 81× | ❌ Analysts already think it's too expensive |</t>
  </si>
  <si>
    <t xml:space="preserve">1. NU and SOFI show blank EV/EBITDA, P/FCF, and negative free cash flow — that's correct, not broken. They're *lenders/banks*. Their "negative FCF" (−$9.5B for Nu, −$6.3B for SoFi) is loan-book *growth*, not cash burn — the money goes out as new loans, which is the business working, not failing. I set their Rule-of-40 to blank for the same reason; the standard FCF-based formula is meaningless for a bank. Judge them on ROE/ROIC and net margin (both strong) instead.</t>
  </si>
  <si>
    <t xml:space="preserve">| SOFI | $18.25 | +9% | ❌ Rated Hold. Six firms *cut* their targets after a beat — that tells you the beat didn't matter |</t>
  </si>
  <si>
    <t xml:space="preserve">Board census: 47 held + 8 watching — ARM, ASTS, SpaceX, SBUX, MCD, UNH, GLW, FN — across 13 groups, everything on the daily/Monday refresh cycle automatically.</t>
  </si>
  <si>
    <t xml:space="preserve">You're absolutely right — SpaceX IPO'd on June 12, 2026 as SPCX on Nasdaq. My dashboard still had it flagged as private with no price. Let me pull its real data and fix the row.</t>
  </si>
  <si>
    <t xml:space="preserve">SpaceX data confirmed. Let me grab the exact analyst target range, then rebuild the SPCX row.</t>
  </si>
  <si>
    <t xml:space="preserve">You were right: SpaceX went public on June 12, 2026 as SPCX on Nasdaq — one of the largest IPOs ever, priced into a ~$1.5T cap. My dashboard still had the old "SpaceX (private) — no listed market data" placeholder. Replaced it with the live ticker and real figures:</t>
  </si>
  <si>
    <t xml:space="preserve">Dashboard note f17af0a</t>
  </si>
  <si>
    <t xml:space="preserve">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Aug 3): revenue ~1.17B +90% YoY, adjusted EPS 5.80 beat ~5.01, signed backlog 4.33B +116%; FY2026 guidance RAISED (revenue 4.00-4.15B, adj EPS 19.70-20.30). NOTE: the Q2 line-item detail (segment split, +90%/+192% growth, the beat, backlog) comes from stocktitan and ts2.tech, which are NOT on the approved source list - treat those specific event figures as context; the stored fundamentals/valuation all come from stockanalysis + GuruFocus. NOT FOUND and left blank: jan2, TTM revG and epsG (Q2 grew +90% but a clean TTM figure was not sourced, so r40 is also blank), and a company-confirmed next earnings date. ath 1005.68 is the 52-week INTRADAY high used as an ATH proxy (highest daily CLOSE was 993.74 on Jun 4 2026; true all-time high NOT verified); 52-wk low 263.45 - a huge range, and short interest is a modest 4.28%. Analyst consensus Strong Buy, stockanalysis 7 analysts avg 918.67 (754-1000); ts2.tech cited 10 analysts / mean 956 - stockanalysis taken. Note the stock trades at 547 vs a 1,005 high, i.e. ~46% below its peak despite the record quarter - after-hours on Aug 3 it fell ~4.7% on margin-mix/outlook concerns before recovering to 547 by Aug 7.</t>
  </si>
  <si>
    <t xml:space="preserve">STX, BE and XE were already on the board — they went live in commit `d083c97` before the pipeline rebuild. STX is in Memory &amp; Storage at $747.30, BE and XE are in Energy at $166.84 and $15.30. Nothing to add; I confirmed all three render on the page. No prices for them in this update because you don't hold them — POEMS only carries the 46 you own.</t>
  </si>
  <si>
    <t xml:space="preserve">Full data set in hand (TEM is down hard YTD — $66→$43). Wiring it into Healthcare.</t>
  </si>
  <si>
    <t xml:space="preserve">Clean build (68 tickers, TEM in Healthcare). Deploying to dad's link — fetching first in case the daily refresh pushed again.</t>
  </si>
  <si>
    <t xml:space="preserve">The cleanest way to fix the five: open each ticker's POEMS contract notes (the buy confirmations) and match the per-lot Price and Commission in `Transaction In` to what POEMS actually charged — the drift will be in the commission cell (col L) or occasionally the price (col G) on one or two lots. TER is the odd one (−$118 is a *price*-level difference on a lot, not commission), so that one's worth eyeballing against the confirmation first.</t>
  </si>
  <si>
    <t xml:space="preserve">&gt; My take: the budget line says you *can* add ~$8.5K / 40 shares. Whether you *should* is the concentration question, not the budget question. If you want to keep firing on the AI thesis without stacking more single-stock risk, that last $8.5K is better spent on TSM (only 0% of its $50K budget context aside — I can pull TSM's remaining room too if you want the same table).</t>
  </si>
  <si>
    <t xml:space="preserve">The risk that breaks this: Taiwan–China geopolitics. That's not a small risk, and it's the reason TSM trades cheaper than it "should." It's a real discount for a real danger, and Salee should size it knowing that.</t>
  </si>
  <si>
    <t xml:space="preserve">But don't buy a 6% gap at market. I'd put a limit order in around $556–$565 (Friday's close was $556.71). If the pop fades over the next few sessions — which gap-ups on news frequently do — it fills and you've bought well. If it doesn't fill, you've lost nothing and TSM is already doing the work. There's $12,810 of budget headroom there.</t>
  </si>
  <si>
    <t xml:space="preserve">| Buy today | TSM ~$405 | 19× forward, +33% to target, no event risk, $14k budget free | High |</t>
  </si>
  <si>
    <t xml:space="preserve">- TSM: the *most pessimistic* of 25 analysts says $500. The stock is $417. Even the biggest bear in the room thinks it's 20% too cheap.</t>
  </si>
  <si>
    <t xml:space="preserve">APP has more upside on average (+56% to the average target vs +43% for TSM), but TSM's downside is defended and APP's isn't. On a five-year hold, that asymmetry matters more than the headline upside.</t>
  </si>
  <si>
    <t xml:space="preserve">TSM also just looks cheap for what it is: forward P/E of 18.8, revenue growing 30.6%, earnings growing 53.4%, a 49.9% net profit margin and a 54.6% return on invested capital. That combination barely exists anywhere else at that multiple.</t>
  </si>
  <si>
    <t xml:space="preserve">If you do want to act tonight anyway, the trade is TSM, 14 shares at roughly $417 = about $5,840 plus the $8.56 commission, which fits inside your confirmed cash and inside your own $50,000 TSM budget (you've used $35,969 of it). It would lift your average cost from $349.21 to about $357.35 — a 2.3% increase, not painful. But understand you'd be paying 19% above the price Dad wrote down.</t>
  </si>
  <si>
    <t xml:space="preserve">I told you to buy nothing today and look at TSM next week. Part of my reasoning was that I could only confirm $5,958 of spendable cash. That reason is now gone — you have the full $18,928 confirmed as your own money, deliberately put there.</t>
  </si>
  <si>
    <t xml:space="preserve">TSM's next event is its July monthly revenue on Aug 10. But TSMC publishes revenue *every month*, and it has come in strong every single month this cycle — June was +67.9% year over year. I'm not going to learn much on Aug 10 that I don't already know, and meanwhile the stock could gap up on the news. Waiting there costs me more than it buys me.</t>
  </si>
  <si>
    <t xml:space="preserve">So: buy TSM now, not next week. Tell Dad his instinct on TSM over APP is right.</t>
  </si>
  <si>
    <t xml:space="preserve">I can't tell whether you bought the 33 TSM shares I recommended yesterday. Your cash balance in the dashboard still reads $18,928 as of Aug 4, and last night's automated refresh only updated prices, not cash. So here are both paths:</t>
  </si>
  <si>
    <t xml:space="preserve">I still don't know whether you bought the 33 TSM shares we discussed. Your cash reads $18,928 as of Aug 4, and the Aug 5 job only refreshed prices, not cash.</t>
  </si>
  <si>
    <t xml:space="preserve">- If you did NOT buy TSM: roughly $18,928 available. A half-size starter of ~$4,500–5,000 is about 20–22 shares at $221.</t>
  </si>
  <si>
    <t xml:space="preserve">- If you DID buy TSM: roughly $5,153 left. That's about 23 shares and would use nearly all your cash — in that case I'd go smaller, around 10 shares, and keep dry powder.</t>
  </si>
  <si>
    <t xml:space="preserve">Sizing depends on something I still don't know — did the 33 TSM shares get bought?</t>
  </si>
  <si>
    <t xml:space="preserve">So it was 4.5 shares, not 33. I had been carrying a worst-case assumption of a ~$13,700 TSM purchase. Actual cost: 4.5 × $416.273 = $1,873.23, plus the $8.56 POEMS commission = $1,881.79.</t>
  </si>
  <si>
    <t xml:space="preserve">One transparency note: the cash figure is my arithmetic, not a fresh POEMS balance screenshot. I took your Aug 5 morning balance of $18,928 and subtracted the confirmed $1,881.79 fill. Your screenshot was the "Today's Orders / All Orders" screen and showed TSM as the only order that session, so I'm confident nothing else moved — but if you send me the live cash balance tonight I'll replace the derived number with the real one.</t>
  </si>
  <si>
    <t xml:space="preserve">Dashboard note 87497bf</t>
  </si>
  <si>
    <t xml:space="preserve">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</si>
  <si>
    <t xml:space="preserve">- Broadly: if two or three more large firms follow Uber and publicly admit they can't trace AI spending to output, the whole "AI as margin lever" thesis needs rethinking, not just these names.</t>
  </si>
  <si>
    <t xml:space="preserve">UNH at a glance through your lens 📊: $426 · P/E 27 falling to 20x forward · PEG 1.47 · 0.85x sales (the cheapest revenue on your entire board — $450B of it) · +29% YTD and still −8% below its 52-week high, but the striking number is the year low of $234 — this stock nearly halved and has since recovered +82%. The Street sits at $471 avg (+10.7%), 27 analysts, Buy. It's the classic fallen-blue-chip recovery pattern: the easy rebound money has been made; what's left is the grind back to trend. A genuinely different animal from everything else you watch — which is exactly what a diversifier should be.</t>
  </si>
  <si>
    <t xml:space="preserve">VST really did drop 8.15%, to $143.23. I want to mention this because one of my data sources insisted it closed at $145.46. POEMS said $143.23 and Google Finance independently confirmed $143.23 with a proper "Closed Aug 4" timestamp. Two sources beat one — the drop is real, and it's the worst day among your holdings.</t>
  </si>
  <si>
    <t xml:space="preserve">The guard immediately caught a live bug of mine — WDC's market cap never got rescaled when I corrected its price. Fixing that first.</t>
  </si>
  <si>
    <t xml:space="preserve">Jan-2 reference ~$155.52 (YUM is down slightly YTD). I have the full data set. Let me wire YUM into the source of truth.</t>
  </si>
  <si>
    <t xml:space="preserve">YUM is in the source of truth. Now let me regenerate the dashboard and workbook, then verify.</t>
  </si>
  <si>
    <t xml:space="preserve">Both regenerated (67 tickers). Let me verify the dashboard renders clean and YUM shows up before deploying.</t>
  </si>
  <si>
    <t xml:space="preserve">Clean — the lone console line is just the sandbox blocking an external font, not a JS error. YUM renders in Consumer/F&amp;B. Let me deploy to dad's link and refresh the desktop copy.</t>
  </si>
  <si>
    <t xml:space="preserve">That was a scheduled daily price-refresh touching only watchlist reference prices + the ASOF label. Tomorrow's refresh will re-pull prices anyway, so the clean move is to rebase my YUM build on top of it. Let me layer my commit onto the remote and push.</t>
  </si>
  <si>
    <t xml:space="preserve">| ZETA | $27.07 | +6% | 27× | ❌ Great business, but you own 111 shares and it just jumped 11.6% |</t>
  </si>
  <si>
    <t xml:space="preserve">You already own ZETA — 111 shares at $18.06 cost, now ~+50%. You've already won on this one. Enjoy it; don't chase it.</t>
  </si>
  <si>
    <t xml:space="preserve">- Zeta Global Q2 2026 results — Zeta Investor Relations (https://investors.zetaglobal.com/)</t>
  </si>
  <si>
    <t xml:space="preserve">ZS (Zscaler) sits in between — 56 Rule-of-40 (the best of the three), essentially at breakeven on net income but $960M FCF-positive, and it's down 58% from its high so the valuation has already been reset harder than NET's. Of the two unprofitable names, ZS is the more reasonable entry.</t>
  </si>
  <si>
    <t xml:space="preserve">Commit</t>
  </si>
  <si>
    <t xml:space="preserve">Note stored in the dashboard</t>
  </si>
  <si>
    <t xml:space="preserve">9cf0e91</t>
  </si>
  <si>
    <t xml:space="preserve">Jul 17, 2026 (US close)</t>
  </si>
  <si>
    <t xml:space="preserve">38633c9</t>
  </si>
  <si>
    <t xml:space="preserve">Jul 20, 2026 (US close)</t>
  </si>
  <si>
    <t xml:space="preserve">724110b</t>
  </si>
  <si>
    <t xml:space="preserve">Jul 21, 2026 (US close)</t>
  </si>
  <si>
    <t xml:space="preserve">3db7062</t>
  </si>
  <si>
    <t xml:space="preserve">Jul 22, 2026 (POEMS statement, intraday)</t>
  </si>
  <si>
    <t xml:space="preserve">ae9cd28</t>
  </si>
  <si>
    <t xml:space="preserve">Jul 22, 2026 (US close · POEMS Jul 23)</t>
  </si>
  <si>
    <t xml:space="preserve">e0e44f5</t>
  </si>
  <si>
    <t xml:space="preserve">Jul 24, 2026 (POEMS live)</t>
  </si>
  <si>
    <t xml:space="preserve">eba49cb</t>
  </si>
  <si>
    <t xml:space="preserve">Jul 24, 2026 (US close)</t>
  </si>
  <si>
    <t xml:space="preserve">57636d3</t>
  </si>
  <si>
    <t xml:space="preserve">Jul 25, 2026 (POEMS live)</t>
  </si>
  <si>
    <t xml:space="preserve">c1539a0</t>
  </si>
  <si>
    <t xml:space="preserve">Jul 27, 2026 (POEMS live)</t>
  </si>
  <si>
    <t xml:space="preserve">9bb615d</t>
  </si>
  <si>
    <t xml:space="preserve">Jul 27, 2026 (US close)</t>
  </si>
  <si>
    <t xml:space="preserve">c7b35f2</t>
  </si>
  <si>
    <t xml:space="preserve">Jul 28, 2026 (POEMS reconciled)</t>
  </si>
  <si>
    <t xml:space="preserve">a6596df</t>
  </si>
  <si>
    <t xml:space="preserve">Jul 28, 2026 · 10:00 EDT (memory selloff, intraday)</t>
  </si>
  <si>
    <t xml:space="preserve">3d4a03c</t>
  </si>
  <si>
    <t xml:space="preserve">Jul 28, 2026 · close (POEMS statement reconciled)</t>
  </si>
  <si>
    <t xml:space="preserve">de9db26</t>
  </si>
  <si>
    <t xml:space="preserve">Jul 28, 2026 (US close)</t>
  </si>
  <si>
    <t xml:space="preserve">5fdc1dd</t>
  </si>
  <si>
    <t xml:space="preserve">Jul 29, 2026 · earnings refresh V/KO/PYPL (POEMS statement reconciled)</t>
  </si>
  <si>
    <t xml:space="preserve">e02e182</t>
  </si>
  <si>
    <t xml:space="preserve">Jul 29, 2026 · intraday (POEMS)</t>
  </si>
  <si>
    <t xml:space="preserve">33bae80</t>
  </si>
  <si>
    <t xml:space="preserve">Jul 30, 2026 · intraday (POEMS holdings)</t>
  </si>
  <si>
    <t xml:space="preserve">c4889e3</t>
  </si>
  <si>
    <t xml:space="preserve">Jul 29, 2026 · close</t>
  </si>
  <si>
    <t xml:space="preserve">255e117</t>
  </si>
  <si>
    <t xml:space="preserve">Jul 29, 2026 · close — fundamentals refreshed Jul 30 (post-earnings: MSFT · META-week reporters)</t>
  </si>
  <si>
    <t xml:space="preserve">680b95b</t>
  </si>
  <si>
    <t xml:space="preserve">97dee22</t>
  </si>
  <si>
    <t xml:space="preserve">45067db</t>
  </si>
  <si>
    <t xml:space="preserve">852fe7d</t>
  </si>
  <si>
    <t xml:space="preserve">Jul 31, 2026 · close — all 107 names verified at the Jul 31 close</t>
  </si>
  <si>
    <t xml:space="preserve">266571f</t>
  </si>
  <si>
    <t xml:space="preserve">2e5ac49</t>
  </si>
  <si>
    <t xml:space="preserve">8662e5a</t>
  </si>
  <si>
    <t xml:space="preserve">Aug 3, 2026 · close — 47 held positions marked to the Aug 3 close from the POEMS position screen; every move &gt;6% independently verified against stockanalysis.com (AVAV, CRWD, IREN, ISRG, LITE, META, ORCL, RKLB, VRT all matched to the cent; ONDS did not — POEMS showed 8.37, the verified close was 8.23, and the verified figure is used). Market caps re-scaled with price. AMZN +7 sh @ $285.3599 logged; cash $13,997.90 (AMZN contract still outstanding). 63 watchlist names remain at the Jul 31 close.</t>
  </si>
  <si>
    <t xml:space="preserve">105fbae</t>
  </si>
  <si>
    <t xml:space="preserve">Aug 3, 2026 · close — daily refresh: all 110 names now at the verified Aug 3 close. 63 watchlist names marked from the stockanalysis.com quote page per the resolution rule (47 held positions were already at the Aug 3 close from the weekly session and were not touched). Every move over 6% confirmed against a second dated source (Google Finance closed stamp, marketscreener Market Closed, fool.com post-close article, or ycharts 16:00 print). Market caps re-scaled with price.</t>
  </si>
  <si>
    <t xml:space="preserve">9111ef9</t>
  </si>
  <si>
    <t xml:space="preserve">Aug 4, 2026 · close — daily refresh: 109 of 112 names at the verified Aug 4 close (49 held names taken from the POEMS Current Price column, which was validated tick-for-tick against independent sources on COHR, PLTR and VST; 60 watchlist names from the stockanalysis.com quote page, every one cross-checked by confirming its implied prior close equals our stored Aug 3 price). VST −8.15% was confirmed on Google Finance after stockanalysis.com's history page disagreed — 143.23 is correct. XE (X-Energy) and YUM could not be refreshed — all free sources served stale or intraday snapshots — so both remain at their Aug 3 close. Six buys settled Aug 4 for $8,039.48: FN 3, LITE 2, META 3.5, COHR 4, AAOI 10. COHR (Coherent) added as a new position and new ticker in Photonic &amp; Optic Fiber. Cost basis and market value tie to the POEMS statement to the cent. Market caps re-scaled with price. Aug 5 additions (watchlist only, no positions): LMND (Lemonade) into Fintech / Digital Platform, HNGE (Hinge Health — the ticker is HNGE, not HGE) into Healthcare, and AIRJ (AirJoule Technologies) into Energy at Salee's request, though its official sector classification is Industrials / Building Products and it is pre-revenue. HNGE and AIRJ closes came from macrotrends because the stockanalysis quote pages served stale intraday snapshots; AIRJ's $5.84 has only that one source. NET (Cloudflare) stays in Cybersecurity — an earlier move to SaaS was reverted at Salee's request. Further Aug 5 additions at Aug 4 closes: RBRK (Rubrik) into Cybersecurity and PL (Planet Labs) into Space, both watchlist only. New group 'Power and Electrification' created with six names: PWR (Quanta Services), ETN (Eaton), POWL (Powell Industries), NVT (nVent Electric), HUBB (Hubbell) and GEV (GE Vernova). ETN and GEV were MOVED out of Energy and keep their existing positions and cost basis unchanged; the other four are new watchlist names with no position. Data caveats: RBRK's Aug 4 close is 80.99 per the stockanalysis statistics/forecast pages and Google Finance, against 79.64 on the same site's history table (2-of-3 plus an exact match to the reported +8.36% move); NVT's is 162.24 per the quote page and WallStreetZen against 163.68 on the history table; POWL's return on invested capital is stored at the conservative 38.38 because the statistics page's 122.60 is an outlier contradicted by both the ratios page and GuruFocus; RBRK has negative shareholder equity so ROE, EV/EBITDA and debt/equity are blank, and POWL's debt/equity is blank at source (it is essentially debt-free). Cash provenance resolved Aug 5: the USD 12,969.58 increase in the POEMS balance (from an expected 5,958.42 after the Aug 4 buys to the reported 18,928.00) was a deposit by Salee of approximately THB 500,000 at a stated rate of about 33.38, i.e. roughly USD 14,979. Only USD 12,969.58 is visible in the USD balance, leaving USD 2,009.45 (13.42% of the transfer) unaccounted for — far too large to be wire or FX fees, so either part of the transfer was still unsettled at the Aug 4 snapshot, the dealt rate differed materially from 33.38, or a portion landed in a non-USD sub-account. Flagged to Salee to confirm with POEMS.</t>
  </si>
  <si>
    <t xml:space="preserve">83f5b7d</t>
  </si>
  <si>
    <t xml:space="preserve">Aug 5, 2026 · close — daily refresh: 117 of 121 names at the verified Aug 5 close. Primary source was the stockanalysis.com quote page under the standard resolution rule (4:00 PM EDT stamp + prev close matching the history table's Aug 4 row); on ~25 names the history table's Aug 5 row was a partial-session capture (low volume, sometimes close outside its own high/low — UNH, JNJ and NOK rows were internally impossible and were discarded) and the quote page was taken, several cent-confirmed by Google Finance or marketscreener. Quote page was itself stale or intraday on GOOGL, RKLB, CDNS, TE, FI, SNOW, XE, AMKR (resolved from the internally-consistent history row), and on AEHR, APH, AIRJ, LUNR, TEM, OUST, CEG, VST, MDB, RBRK, YUM (resolved from Google Finance / marketscreener / financialcontent closed-stamped pages; YUM 152.37 rests on benzinga + gurufocus in exact agreement over a triple-confirmed 147.68 Aug 4 base — both dated post-close but neither is a list-approved source). Moves over 6% were all second-sourced before writing: AMD −7.04%, AEHR −10.11%, ALAB −11.96%, EOSE −12.18% (Q2 earnings), ENPH −6.75%, AMPX +8.42%, SPCX −13.61% (post-Q2 selloff), ZETA +11.58% (post-earnings), XE +9.55% (two sessions, vs its Aug 3 close). UNRESOLVED, left at prior closes with prior price dates: SHOP (quote page showed 144.24, +16.98% on Q2 earnings, and passed all internal checks, but a +17% move requires an independent second source and the session's search budget was exhausted — treat SHOP as stale, likely materially higher); AFRM (only intraday snapshots, and stockanalysis's Aug 4 close 78.12 conflicts with our stored 79.56 — needs re-verification of the Aug 4 base as well); CIFR (candidates conflict: history-row 19.15 partial capture vs Google 18.71, −8.19%, unconfirmable); HUT (single-source Google candidate 92.76, −8.30%, unconfirmable). Note: NET's Aug 4 base reads 301.33 on stockanalysis vs our stored 301.21; its Aug 5 close 292.96 was cent-confirmed by Google. OUST now trades on Nasdaq (Google NYSE forms 404). Big after-hours moves NOT in these closes: WDC −11.8%, APP −15.9% (guidance), MELI −4.5%, CRM −5.1% — tomorrow's refresh will capture them. Market caps re-scaled with price. Stale/broken sources this run: Google Finance per-ticker caches (both forms) frequently a day old or intraday; fool.com quote pages mostly stale; marketscreener stale on several names; ycharts intermittently empty; stockanalysis history tables missing Aug 5 rows on ~10 names at fetch time.</t>
  </si>
  <si>
    <t xml:space="preserve">7e7d133</t>
  </si>
  <si>
    <t xml:space="preserve">3eac88f</t>
  </si>
  <si>
    <t xml:space="preserve">87497bf</t>
  </si>
  <si>
    <t xml:space="preserve">9c0eff7</t>
  </si>
  <si>
    <t xml:space="preserve">a09a721</t>
  </si>
  <si>
    <t xml:space="preserve">effe9e9</t>
  </si>
  <si>
    <t xml:space="preserve">1228826</t>
  </si>
  <si>
    <t xml:space="preserve">ed9555c</t>
  </si>
  <si>
    <t xml:space="preserve">1b482a9</t>
  </si>
  <si>
    <t xml:space="preserve">4fd57a6</t>
  </si>
  <si>
    <t xml:space="preserve">b5fdfc1</t>
  </si>
  <si>
    <t xml:space="preserve">217d94c</t>
  </si>
  <si>
    <t xml:space="preserve">043fb31</t>
  </si>
  <si>
    <t xml:space="preserve">faac89e</t>
  </si>
  <si>
    <t xml:space="preserve">Aug 7, 2026 · close — daily refresh: 126 of 132 names updated — 119 at the verified Aug 7 close; XE, LWLG, LMND, HNGE, VEEV, RBRK and EOSE advanced only to their VERIFIED AUG 6 closes (pxd stamped 2026-08-06) because their Aug 7 prints could not be independently second-sourced before the session's WebSearch budget exhausted. Primary source was the stockanalysis.com quote page under the standard resolution rule (4:00 PM EDT at-close stamp + prev close matching the history table's Aug 6 row); history tables were missing Aug 7 rows on ~20 names at fetch time and quote pages were stale or intraday on GOOGL, CEG, VST, AMPX, MDB, HUT, CORZ, COIN, FLNC, ASTS (each resolved from an internally-consistent history row, most cross-confirmed by Google Finance or marketscreener). UNH and JNJ history rows were internally IMPOSSIBLE again (close above the row's own high on tiny volume) and were discarded in favor of the at-close quote pages. All 34 moves ≥6% vs the stored base were confirmed against an independent dated second source (Google Finance closed-stamped pages, marketscreener Market-Closed pages, or post-close fool.com articles) before writing: TEAM +35.3% (Aug 6 Q4 beat now captured), AXTI +29.1%, SPCX +22.9%, SHOP +22.9% (re-based from its stale Aug 4 price), DDOG −17.4% and APP −17.0% vs stored (their Aug 6 earnings selloffs; both then REBOUNDED on Aug 7 — DDOG +2.0%, APP +3.3%), WDC −16.3%, CIFR −15.7% and HUT −12.4% (both re-based from stale Aug 4 prices), COHR +15.5% (trade-policy news), NBIS −14.2%, SOUN +13.3%, OKLO +14.8% on the day (first-ever quarterly revenue), TEM +12.9% day, IONQ +11.9% day, PLTR +10.3% day (post-earnings/BofA), LUNR +9.9% day, RKLB +9.5% day, UBER +6.5% day, NOW +6.4% day, LITE +6.2% day. Two candidates were REFUTED by second sources and corrected before writing: BE 219.34 (quote page said 219.38; Google + marketscreener agree 219.34) and HUT 88.59 (stockanalysis history row said 85.73; both Google caches + marketscreener agree 88.59). V 362.50 kept from the at-close quote after Google confirmed it and exposed V's history row (close 364.20 vs stated low 363.62) as a partial capture; NEE 84.65 confirmed by marketscreener against a bogus low-volume 83.84 history row; AVAV 186.73 confirmed by Google against a bogus 183.73 history row; GOOGL's history-row 354.30 confirmed by marketscreener (its quote page was frozen intraday). UNRESOLVED, left at prior values with prior pxd: TE (the Aug 6 close itself is disputed — stockanalysis history says 6.00 while Google-implied says 5.55, and the Aug 7 candidate 5.85 is single-source; stored 5.47 is the Aug 5 close and STALE — likely materially higher), ZETA (quote frozen intraday 2:27 PM, history ends Aug 5; Aug 7 traded ~25.0-26.6 intraday, unconfirmable), YUM (quote frozen intraday 3:43 PM ~150.7; history table frozen at Jul 31), AXON (quote frozen intraday 3:07 PM at ~564.5, ~+8% above the stored MarketBeat-confirmed Aug 6 close 522.46; stockanalysis's Aug 6 history row of 565.00/−7.30% on 0.5M volume looks bogus — treat AXON as STALE and likely materially higher), TMDX (still at its verified Aug 6 close 80.21; Aug 7 intraday 81.48 unconfirmable), AFRM (still at the stored Aug 4 value 79.56, which stockanalysis history now CONTRADICTS with an Aug 4 close of 78.12 — the base itself needs re-verification; that table shows Aug 5 78.47 / Aug 6 76.58, and Aug 7 traded ~75.2 intraday). VEEV note: stockanalysis's at-close quote showed Aug 7 = 230.47 (+5.8% day) and passed both internal checks, but a +7.9% move vs our stored base requires an independent second source and none was reachable — written at the verified Aug 6 close 217.80; likely materially higher. RBRK likewise printed 90.07 (+6.5%) at the close, unconfirmable — written at the verified Aug 6 close 84.60. EOSE written at 3.94, the Aug 6 close agreed by two dated Aug-7 pages' prev-close fields (stockanalysis + Google-derived); its Aug 7 candidate 4.15 is Google-only, unconfirmable. Market caps re-scaled with price; hi52/lo52 extended where the close breached the stored range. Stale/broken this run: session WebSearch budget exhausted (200/200) before the last stragglers could be second-sourced; Google Finance per-ticker caches days old on RBRK (Aug 4) and LWLG (Aug 4); stockanalysis history tables missing same-evening Aug 7 rows on ~20 names (job fired ~8:30 PM ET — rows backfill later in the evening); YUM history frozen at Jul 31; fool.com quote pages stale as usual. Notes: FI now lists on stockanalysis as NASDAQ: FISV (/stocks/fi/history/ still serves); SHOP is SHOP:NASDAQ on Google Finance (NYSE form 404s); OUST Aug 7 close 43.35 taken from its at-close quote over a 43.38 history row.</t>
  </si>
  <si>
    <t xml:space="preserve">140a88d</t>
  </si>
  <si>
    <t xml:space="preserve">83323da</t>
  </si>
  <si>
    <t xml:space="preserve">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</si>
  <si>
    <t xml:space="preserve">f17af0a</t>
  </si>
  <si>
    <t xml:space="preserve">0edbb4a</t>
  </si>
  <si>
    <t xml:space="preserve">7d7a250</t>
  </si>
  <si>
    <t xml:space="preserve">Aug 8 batch of 9 additions (all watchlist only, all at the Aug 7 2026 close, all stamped 'At close: Aug 7, 2026, 4:00 PM EDT'; jan2 and all-time highs NOT FOUND for every name - 52-week highs stored as ath proxies; where two analyst sources conflicted, stockanalysis was taken). COMPUTING CHIPS: ON (ON Semiconductor / onsemi) at 81.17 - power &amp; sensing chips for autos/industrial/AI data centres; profitable (rev 6.20B, EPS 1.56 +43.5%, ROIC 15.6%, FCF 1.5B) but trailing P/E 52 (forward 21, PEG 0.62); acquiring Synaptics ~7B announced Jun 25. NEOCLOUD WATCH: KEEL (Keel Infrastructure, NASDAQ) at 3.88 - a former crypto-miner PIVOTED to AI/HPC data centres; deeply unprofitable (net margin -171%, FCF -413M, EPS -0.65) with negative gross margin, beta 4.11, short interest ~17-18%; FY2026 revenue is estimated to FALL ~46% during the transition even though TTM shows +67%; 11 analysts Strong Buy avg 6.55; next earnings Aug 10. SPACE: SIDU (Sidus Space) at 2.24 - micro-cap 3D-printed AI satellite maker; revenue only 3.5M (declining), P/S ~64x (chart-scale outlier), all profitability deeply negative, ~170M raised over prior 6 months so cash-heavy/near debt-free but burning ~29M/yr; only 1 analyst (a Sell, no target - fvMin/fvAvg/fvMax left blank per the POET precedent); on the MDA SHIELD contract vehicle. POWER AND ELECTRIFICATION (user's 'Electricity Energy' -&gt; mapped to the existing Power and Electrification group): POWI (Power Integrations) at 64.59 - high-voltage power-conversion chips for industrial/renewables/AI; profitable but barely (net margin 5.6%), NO debt, dividend ~1.3%, trailing P/E 147 (forward 38.6) and EV/EBITDA 80 (mild chart-scale outlier); Q2 (Aug 5) beat, jumped ~9.5%. HYLN (Hyliion) at 3.87 - KARNO fuel-agnostic linear generator; pre-scale (revenue 5.8M, P/S 121x = chart-scale OUTLIER, net margin -888%, FCF -64M, cash 72M), beta 3.56; won a 41.7M US Navy award (Aug) to scale multi-megawatt modules; Q2 call Aug 12; 3 analysts Buy avg 7. DRONE &amp; DEFENCE (user's 'Drone' and 'defense' -&gt; both the existing Drone &amp; Defense group): RCAT (Red Cat) at 9.21 - military drone maker (Black Widow, won US Army SRR); pre-profit (net margin -136%, FCF ~-158M (conflicts with -97M on financials page), EPS -0.81) but 326M cash cushion; Q2 (Aug 6) was a DOUBLE MISS (rev 20.19M vs 22.79M, loss 0.26 vs 0.22 exp) yet stock closed +6.2% next day; short interest 23.6%; a short-seller (Fuzzy Panda) alleged overstated Army-contract size - flagged as risk. revG left blank (sources gave +459.8% vs +866.9%, irreconcilable; Q2 was +527% YoY). Plus the THREE big defence primes, all profitable dividend payers: LMT (Lockheed Martin) at 587.95 - F-35, THAAD/PAC-3 missiles; rev 77B, EPS 27.14 (+52.5% off 2025's program-loss base), P/E 21.7, ROE 89%, 35B THAAD award Jun 24; 21 analysts HOLD avg 629.53 (Goldman at Sell 503). RTX (RTX Corp / Raytheon) at 223.03 - Collins Aerospace + Pratt &amp; Whitney + Raytheon missiles (Patriot, AIM-9X); rev 93.5B, richest of the three at P/E 39 / EV-EBITDA 22, dividend 1.3%, backlog 289B; sits ~1% below its 52-wk high 225.65; 23 analysts Buy avg 230.68. NOC (Northrop Grumman) at 571.58 - B-21 bomber, Sentinel ICBM, space; rev 42.9B, EPS 31.50, P/E 18.2, ROE 27%, backlog 105B, Golden Dome tailwind; 23 analysts Buy avg 643.28 (biggest implied upside of the three). Group counts after this batch: Computing Chips 8-&gt;9, Space 5-&gt;6, Drone &amp; Defence 4-&gt;8, Neocloud Watch 12-&gt;13, Power and Electrification 7-&gt;9.</t>
  </si>
  <si>
    <t xml:space="preserve">7c56e84</t>
  </si>
  <si>
    <t xml:space="preserve">Aug 8: created new group 'Digital Applications' (g19, colour slot --s20 added to both themes) and MOVED MELI, SHOP, AFRM and UBER into it from Fintech / Digital Platform (all watchlist, no positions; field values untouched, group P&amp;L re-attributed). Rationale: these four are consumer app/marketplace platforms (MercadoLibre e-commerce+fintech, Shopify merchant software, Affirm buy-now-pay-later, Uber mobility/delivery) as distinct from the pure payment networks left in Fintech / Digital Platform. Fintech / Digital Platform 15 -&gt; 11 names (V, MA, PYPL, FI, COIN, HOOD, SOFI, NU, SE, LMND, SOUN); Digital Applications new = 4. Total groups 19 -&gt; 20.</t>
  </si>
  <si>
    <t xml:space="preserve">0afff57</t>
  </si>
  <si>
    <t xml:space="preserve">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</si>
  <si>
    <t xml:space="preserve">c3da38d</t>
  </si>
  <si>
    <t xml:space="preserve">1940032</t>
  </si>
  <si>
    <t xml:space="preserve">881af96</t>
  </si>
  <si>
    <t xml:space="preserve">Who</t>
  </si>
  <si>
    <t xml:space="preserve">Our note / question</t>
  </si>
  <si>
    <t xml:space="preserve">Action agreed</t>
  </si>
  <si>
    <t xml:space="preserve">Done?</t>
  </si>
  <si>
    <t xml:space="preserve">Salee</t>
  </si>
  <si>
    <t xml:space="preserve">EXAMPLE ROW - delete me. Dad wants to add on any dip under 210; check budget headroom first.</t>
  </si>
  <si>
    <t xml:space="preserve">Wait for 210 or lower, then buy up to budget.</t>
  </si>
  <si>
    <t xml:space="preserve">No</t>
  </si>
  <si>
    <t xml:space="preserve">This sheet belongs to Salee and Dad. Claude reads it back and copies it forward every time the workbook is rebuilt, so nothing typed here is ever lost.</t>
  </si>
  <si>
    <t xml:space="preserve">Type</t>
  </si>
  <si>
    <t xml:space="preserve">Open item</t>
  </si>
  <si>
    <t xml:space="preserve">Raised</t>
  </si>
  <si>
    <t xml:space="preserve">Data error</t>
  </si>
  <si>
    <t xml:space="preserve">Stored all-time high 25.95 is BELOW the stored price 27.07 and below the sourced 52-week high 28.50 - impossible. 52-week low should be 14.37 (stored 12.10) and high 28.50 (stored 27.07). Needs a sourced ATH before it can be fixed; Claude will not guess it.</t>
  </si>
  <si>
    <t xml:space="preserve">Data check</t>
  </si>
  <si>
    <t xml:space="preserve">Stored all-time high 29.27 conflicts with a researcher figure of 49.11 (Mar 11 2024, TradingView). TradingView is on the unreliable list, so a second source is needed before changing anything.</t>
  </si>
  <si>
    <t xml:space="preserve">Data gap</t>
  </si>
  <si>
    <t xml:space="preserve">Capital expenditure is stored blank. Fill it if a source turns up.</t>
  </si>
  <si>
    <t xml:space="preserve">Stale data</t>
  </si>
  <si>
    <t xml:space="preserve">Fundamentals are pre-Q2 and therefore flattering. Budget left about $8,087.</t>
  </si>
  <si>
    <t xml:space="preserve">LWLG / AXTI</t>
  </si>
  <si>
    <t xml:space="preserve">Chart scale</t>
  </si>
  <si>
    <t xml:space="preserve">Absurd-scale valuations distort three charts: LWLG price-to-sales 5,040x, AXTI price-to-earnings 957x and EV/EBITDA 1,042x. Claude has offered to cap the display scale so the other bars stay readable - awaiting a yes.</t>
  </si>
  <si>
    <t xml:space="preserve">Risk to watch</t>
  </si>
  <si>
    <t xml:space="preserve">Beijing Tongmei withdrew its Shanghai STAR Market listing on Jul 8 2026, triggering redemption rights on about US$49M held by eleven private-equity funds. Company says it has the cash.</t>
  </si>
  <si>
    <t xml:space="preserve">Earnings</t>
  </si>
  <si>
    <t xml:space="preserve">Reports FY26 Q4 and full year on Aug 12, 2026.</t>
  </si>
  <si>
    <t xml:space="preserve">Reports Q2 on Aug 11, 2026 (company-confirmed).</t>
  </si>
  <si>
    <t xml:space="preserve">Reports Q2 FY2027 on Aug 26, 2026 (company-confirmed). Budget headroom about $2,668, roughly 12 shares.</t>
  </si>
  <si>
    <t xml:space="preserve">Next earnings estimated Aug 21, 2026 - NOT company-confirmed.</t>
  </si>
  <si>
    <t xml:space="preserve">Next earnings date could not be found and is not company-confirmed.</t>
  </si>
  <si>
    <t xml:space="preserve">Idea pending</t>
  </si>
  <si>
    <t xml:space="preserve">On Dad's Aug 4 list at or below $150; would sit in Nuclear Energy. Red flags on record: forward P/E 81 above trailing P/E 65, revenue -4.1%, EPS -55.5%, short interest 25.4%.</t>
  </si>
  <si>
    <t xml:space="preserve">AMP</t>
  </si>
  <si>
    <t xml:space="preserve">Needs clarifying</t>
  </si>
  <si>
    <t xml:space="preserve">Item 6 on Dad's Aug 04 note reads 'AMP &lt;= $350'. Most likely AMD. Awaiting confirmation.</t>
  </si>
  <si>
    <t xml:space="preserve">Proposal pending</t>
  </si>
  <si>
    <t xml:space="preserve">Claude proposed moving TER from Robotic/Automation/EV to Chips Manufacturing and renaming the Photonic group to 'Interconnect &amp; Networking'. Awaiting a decision.</t>
  </si>
  <si>
    <t xml:space="preserve">FISV</t>
  </si>
  <si>
    <t xml:space="preserve">Housekeeping</t>
  </si>
  <si>
    <t xml:space="preserve">FI has been renamed FISV. The rename still needs to be applied to the dashboard.</t>
  </si>
  <si>
    <t xml:space="preserve">XE / YUM</t>
  </si>
  <si>
    <t xml:space="preserve">Price check</t>
  </si>
  <si>
    <t xml:space="preserve">Both were stuck at their Aug 3 close at one point. The Aug 5 refresh may have fixed it - unverified.</t>
  </si>
  <si>
    <t xml:space="preserve">History shows a Jul 29 low of 14.71; stored 52-week low may need updating.</t>
  </si>
  <si>
    <t xml:space="preserve">Portfolio</t>
  </si>
  <si>
    <t xml:space="preserve">Reconciliation</t>
  </si>
  <si>
    <t xml:space="preserve">Monthly-flow and totals figures differ by about $5,636 - a pre-existing inconsistency never chased down.</t>
  </si>
  <si>
    <t xml:space="preserve">Open offer</t>
  </si>
  <si>
    <t xml:space="preserve">Claude has offered but not yet built: a dividends-received tally, a speculative-watch screen, per-name budgets for Fintech/Digital Platform, a manual price-entry box on the dashboard, and a poster version without profit-and-loss for showing Dad.</t>
  </si>
</sst>
</file>

<file path=xl/styles.xml><?xml version="1.0" encoding="utf-8"?>
<styleSheet xmlns="http://schemas.openxmlformats.org/spreadsheetml/2006/main">
  <numFmts count="4">
    <numFmt numFmtId="164" formatCode="General"/>
    <numFmt numFmtId="165" formatCode="#,##0.##"/>
    <numFmt numFmtId="166" formatCode="#,##0.00"/>
    <numFmt numFmtId="167" formatCode="\$#,##0;&quot;($&quot;#,##0\);\-"/>
  </numFmts>
  <fonts count="17">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10"/>
      <name val="Arial"/>
      <family val="0"/>
      <charset val="1"/>
    </font>
    <font>
      <b val="true"/>
      <sz val="10"/>
      <name val="Arial"/>
      <family val="0"/>
      <charset val="1"/>
    </font>
    <font>
      <b val="true"/>
      <sz val="10"/>
      <color rgb="FFFFFFFF"/>
      <name val="Arial"/>
      <family val="0"/>
      <charset val="1"/>
    </font>
    <font>
      <b val="true"/>
      <sz val="10"/>
      <color rgb="FF006100"/>
      <name val="Arial"/>
      <family val="0"/>
      <charset val="1"/>
    </font>
    <font>
      <b val="true"/>
      <sz val="9"/>
      <color rgb="FFC00000"/>
      <name val="Arial"/>
      <family val="0"/>
      <charset val="1"/>
    </font>
    <font>
      <sz val="10"/>
      <color rgb="FFC00000"/>
      <name val="Arial"/>
      <family val="0"/>
      <charset val="1"/>
    </font>
    <font>
      <sz val="10"/>
      <color rgb="FF000000"/>
      <name val="Arial"/>
      <family val="0"/>
      <charset val="1"/>
    </font>
    <font>
      <b val="true"/>
      <sz val="9"/>
      <color rgb="FF595959"/>
      <name val="Arial"/>
      <family val="0"/>
      <charset val="1"/>
    </font>
    <font>
      <sz val="10"/>
      <color rgb="FF1E7B34"/>
      <name val="Arial"/>
      <family val="0"/>
      <charset val="1"/>
    </font>
    <font>
      <b val="true"/>
      <sz val="10"/>
      <color rgb="FFC00000"/>
      <name val="Arial"/>
      <family val="0"/>
      <charset val="1"/>
    </font>
    <font>
      <b val="true"/>
      <sz val="9"/>
      <color rgb="FF1E7B34"/>
      <name val="Arial"/>
      <family val="0"/>
      <charset val="1"/>
    </font>
    <font>
      <i val="true"/>
      <sz val="9"/>
      <color rgb="FF808080"/>
      <name val="Arial"/>
      <family val="0"/>
      <charset val="1"/>
    </font>
  </fonts>
  <fills count="5">
    <fill>
      <patternFill patternType="none"/>
    </fill>
    <fill>
      <patternFill patternType="gray125"/>
    </fill>
    <fill>
      <patternFill patternType="solid">
        <fgColor rgb="FFD9E2F3"/>
        <bgColor rgb="FFCCFFFF"/>
      </patternFill>
    </fill>
    <fill>
      <patternFill patternType="solid">
        <fgColor rgb="FF1F3864"/>
        <bgColor rgb="FF333333"/>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center" vertical="top" textRotation="0" wrapText="false" indent="0" shrinkToFit="false"/>
      <protection locked="true" hidden="false"/>
    </xf>
    <xf numFmtId="165" fontId="5" fillId="0" borderId="1" xfId="0" applyFont="true" applyBorder="true" applyAlignment="true" applyProtection="false">
      <alignment horizontal="general" vertical="top" textRotation="0" wrapText="false" indent="0" shrinkToFit="false"/>
      <protection locked="true" hidden="false"/>
    </xf>
    <xf numFmtId="166" fontId="5" fillId="0" borderId="1" xfId="0" applyFont="true" applyBorder="true" applyAlignment="true" applyProtection="false">
      <alignment horizontal="general" vertical="top" textRotation="0" wrapText="false" indent="0" shrinkToFit="false"/>
      <protection locked="true" hidden="false"/>
    </xf>
    <xf numFmtId="167"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6100"/>
          <bgColor rgb="FF000000"/>
        </patternFill>
      </fill>
    </dxf>
    <dxf>
      <fill>
        <patternFill patternType="solid">
          <fgColor rgb="FF1E7B34"/>
          <bgColor rgb="FF000000"/>
        </patternFill>
      </fill>
    </dxf>
    <dxf>
      <fill>
        <patternFill patternType="solid">
          <fgColor rgb="FF595959"/>
          <bgColor rgb="FF000000"/>
        </patternFill>
      </fill>
    </dxf>
    <dxf>
      <fill>
        <patternFill patternType="solid">
          <fgColor rgb="FFC00000"/>
          <bgColor rgb="FF000000"/>
        </patternFill>
      </fill>
    </dxf>
    <dxf>
      <fill>
        <patternFill patternType="solid">
          <fgColor rgb="FFFFFF00"/>
          <bgColor rgb="FF000000"/>
        </patternFill>
      </fill>
    </dxf>
  </dxfs>
  <colors>
    <indexedColors>
      <rgbColor rgb="FF000000"/>
      <rgbColor rgb="FFFFFFFF"/>
      <rgbColor rgb="FFC00000"/>
      <rgbColor rgb="FF00FF00"/>
      <rgbColor rgb="FF0000FF"/>
      <rgbColor rgb="FFFFFF00"/>
      <rgbColor rgb="FFFF00FF"/>
      <rgbColor rgb="FF00FFFF"/>
      <rgbColor rgb="FF800000"/>
      <rgbColor rgb="FF006100"/>
      <rgbColor rgb="FF000080"/>
      <rgbColor rgb="FF808000"/>
      <rgbColor rgb="FF800080"/>
      <rgbColor rgb="FF1E7B34"/>
      <rgbColor rgb="FFBFBFBF"/>
      <rgbColor rgb="FF808080"/>
      <rgbColor rgb="FF9999FF"/>
      <rgbColor rgb="FF993366"/>
      <rgbColor rgb="FFFFFF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08"/>
  </cols>
  <sheetData>
    <row r="1" customFormat="false" ht="19.7" hidden="false" customHeight="false" outlineLevel="0" collapsed="false">
      <c r="A1" s="1" t="s">
        <v>0</v>
      </c>
    </row>
    <row r="2" customFormat="false" ht="15" hidden="false" customHeight="false" outlineLevel="0" collapsed="false">
      <c r="A2" s="2"/>
      <c r="B2" s="2"/>
    </row>
    <row r="3" customFormat="false" ht="23.85" hidden="false" customHeight="false" outlineLevel="0" collapsed="false">
      <c r="A3" s="2" t="s">
        <v>1</v>
      </c>
      <c r="B3" s="2" t="s">
        <v>2</v>
      </c>
    </row>
    <row r="4" customFormat="false" ht="15" hidden="false" customHeight="false" outlineLevel="0" collapsed="false">
      <c r="A4" s="2" t="s">
        <v>3</v>
      </c>
      <c r="B4" s="2" t="s">
        <v>4</v>
      </c>
    </row>
    <row r="5" customFormat="false" ht="15" hidden="false" customHeight="false" outlineLevel="0" collapsed="false">
      <c r="A5" s="2" t="s">
        <v>5</v>
      </c>
      <c r="B5" s="2" t="s">
        <v>6</v>
      </c>
    </row>
    <row r="6" customFormat="false" ht="15" hidden="false" customHeight="false" outlineLevel="0" collapsed="false">
      <c r="A6" s="2"/>
      <c r="B6" s="2"/>
    </row>
    <row r="7" customFormat="false" ht="15" hidden="false" customHeight="false" outlineLevel="0" collapsed="false">
      <c r="A7" s="3" t="s">
        <v>7</v>
      </c>
      <c r="B7" s="3" t="s">
        <v>8</v>
      </c>
    </row>
    <row r="8" customFormat="false" ht="35.05" hidden="false" customHeight="false" outlineLevel="0" collapsed="false">
      <c r="A8" s="2" t="s">
        <v>9</v>
      </c>
      <c r="B8" s="2" t="s">
        <v>10</v>
      </c>
    </row>
    <row r="9" customFormat="false" ht="23.85" hidden="false" customHeight="false" outlineLevel="0" collapsed="false">
      <c r="A9" s="2" t="s">
        <v>11</v>
      </c>
      <c r="B9" s="2" t="s">
        <v>12</v>
      </c>
    </row>
    <row r="10" customFormat="false" ht="15" hidden="false" customHeight="false" outlineLevel="0" collapsed="false">
      <c r="A10" s="2" t="s">
        <v>13</v>
      </c>
      <c r="B10" s="2" t="s">
        <v>14</v>
      </c>
    </row>
    <row r="11" customFormat="false" ht="23.85" hidden="false" customHeight="false" outlineLevel="0" collapsed="false">
      <c r="A11" s="2" t="s">
        <v>15</v>
      </c>
      <c r="B11" s="2" t="s">
        <v>16</v>
      </c>
    </row>
    <row r="12" customFormat="false" ht="23.85" hidden="false" customHeight="false" outlineLevel="0" collapsed="false">
      <c r="A12" s="2" t="s">
        <v>17</v>
      </c>
      <c r="B12" s="2" t="s">
        <v>18</v>
      </c>
    </row>
    <row r="13" customFormat="false" ht="15" hidden="false" customHeight="false" outlineLevel="0" collapsed="false">
      <c r="A13" s="2" t="s">
        <v>19</v>
      </c>
      <c r="B13" s="2" t="s">
        <v>20</v>
      </c>
    </row>
    <row r="14" customFormat="false" ht="15" hidden="false" customHeight="false" outlineLevel="0" collapsed="false">
      <c r="A14" s="3"/>
      <c r="B14" s="3"/>
    </row>
    <row r="15" customFormat="false" ht="23.85" hidden="false" customHeight="false" outlineLevel="0" collapsed="false">
      <c r="A15" s="2" t="s">
        <v>21</v>
      </c>
      <c r="B15" s="2"/>
    </row>
    <row r="16" customFormat="false" ht="15" hidden="false" customHeight="false" outlineLevel="0" collapsed="false">
      <c r="A16" s="2" t="s">
        <v>22</v>
      </c>
      <c r="B16" s="2" t="s">
        <v>23</v>
      </c>
    </row>
    <row r="17" customFormat="false" ht="15" hidden="false" customHeight="false" outlineLevel="0" collapsed="false">
      <c r="A17" s="2" t="s">
        <v>24</v>
      </c>
      <c r="B17" s="2" t="s">
        <v>25</v>
      </c>
    </row>
    <row r="18" customFormat="false" ht="15" hidden="false" customHeight="false" outlineLevel="0" collapsed="false">
      <c r="A18" s="2" t="s">
        <v>26</v>
      </c>
      <c r="B18" s="2" t="s">
        <v>27</v>
      </c>
    </row>
    <row r="19" customFormat="false" ht="15" hidden="false" customHeight="false" outlineLevel="0" collapsed="false">
      <c r="A19" s="2" t="s">
        <v>28</v>
      </c>
      <c r="B19" s="2" t="s">
        <v>29</v>
      </c>
    </row>
    <row r="20" customFormat="false" ht="15" hidden="false" customHeight="false" outlineLevel="0" collapsed="false">
      <c r="A20" s="2" t="s">
        <v>30</v>
      </c>
      <c r="B20" s="2" t="s">
        <v>31</v>
      </c>
    </row>
    <row r="21" customFormat="false" ht="15" hidden="false" customHeight="false" outlineLevel="0" collapsed="false">
      <c r="A21" s="3"/>
      <c r="B21" s="3"/>
    </row>
    <row r="22" customFormat="false" ht="15" hidden="false" customHeight="false" outlineLevel="0" collapsed="false">
      <c r="A22" s="2" t="s">
        <v>32</v>
      </c>
      <c r="B22" s="2"/>
    </row>
    <row r="23" customFormat="false" ht="15" hidden="false" customHeight="false" outlineLevel="0" collapsed="false">
      <c r="A23" s="2" t="s">
        <v>33</v>
      </c>
      <c r="B23" s="2" t="s">
        <v>34</v>
      </c>
    </row>
    <row r="24" customFormat="false" ht="23.85" hidden="false" customHeight="false" outlineLevel="0" collapsed="false">
      <c r="A24" s="2" t="s">
        <v>35</v>
      </c>
      <c r="B24" s="2" t="s">
        <v>36</v>
      </c>
    </row>
    <row r="25" customFormat="false" ht="15" hidden="false" customHeight="false" outlineLevel="0" collapsed="false">
      <c r="A25" s="2" t="s">
        <v>37</v>
      </c>
      <c r="B25" s="2" t="s">
        <v>38</v>
      </c>
    </row>
    <row r="26" customFormat="false" ht="23.85" hidden="false" customHeight="false" outlineLevel="0" collapsed="false">
      <c r="A26" s="2" t="s">
        <v>39</v>
      </c>
      <c r="B26" s="2" t="s">
        <v>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2"/>
    <col collapsed="false" customWidth="true" hidden="false" outlineLevel="0" max="3" min="3" style="0" width="52"/>
    <col collapsed="false" customWidth="true" hidden="false" outlineLevel="0" max="4" min="4" style="0" width="9"/>
    <col collapsed="false" customWidth="true" hidden="false" outlineLevel="0" max="5" min="5" style="0" width="26"/>
    <col collapsed="false" customWidth="true" hidden="false" outlineLevel="0" max="6" min="6" style="0" width="11"/>
    <col collapsed="false" customWidth="true" hidden="false" outlineLevel="0" max="7" min="7" style="0" width="78"/>
    <col collapsed="false" customWidth="true" hidden="false" outlineLevel="0" max="8" min="8" style="0" width="22"/>
    <col collapsed="false" customWidth="true" hidden="false" outlineLevel="0" max="9" min="9" style="0" width="7"/>
    <col collapsed="false" customWidth="true" hidden="false" outlineLevel="0" max="10" min="10" style="0" width="10"/>
    <col collapsed="false" customWidth="true" hidden="false" outlineLevel="0" max="12" min="11" style="0" width="13"/>
    <col collapsed="false" customWidth="true" hidden="false" outlineLevel="0" max="13" min="13" style="0" width="14"/>
    <col collapsed="false" customWidth="true" hidden="false" outlineLevel="0" max="14" min="14" style="0" width="12"/>
    <col collapsed="false" customWidth="true" hidden="false" outlineLevel="0" max="15" min="15" style="0" width="11"/>
    <col collapsed="false" customWidth="true" hidden="false" outlineLevel="0" max="17" min="16" style="0" width="13"/>
    <col collapsed="false" customWidth="true" hidden="false" outlineLevel="0" max="18" min="18" style="0" width="80"/>
  </cols>
  <sheetData>
    <row r="1" customFormat="false" ht="27.75" hidden="false" customHeight="true" outlineLevel="0" collapsed="false">
      <c r="A1" s="4" t="s">
        <v>41</v>
      </c>
      <c r="B1" s="4" t="s">
        <v>42</v>
      </c>
      <c r="C1" s="4" t="s">
        <v>43</v>
      </c>
      <c r="D1" s="4" t="s">
        <v>44</v>
      </c>
      <c r="E1" s="4" t="s">
        <v>45</v>
      </c>
      <c r="F1" s="4" t="s">
        <v>46</v>
      </c>
      <c r="G1" s="4" t="s">
        <v>47</v>
      </c>
      <c r="H1" s="4" t="s">
        <v>48</v>
      </c>
      <c r="I1" s="4" t="s">
        <v>49</v>
      </c>
      <c r="J1" s="4" t="s">
        <v>50</v>
      </c>
      <c r="K1" s="4" t="s">
        <v>51</v>
      </c>
      <c r="L1" s="4" t="s">
        <v>52</v>
      </c>
      <c r="M1" s="4" t="s">
        <v>53</v>
      </c>
      <c r="N1" s="4" t="s">
        <v>54</v>
      </c>
      <c r="O1" s="4" t="s">
        <v>55</v>
      </c>
      <c r="P1" s="4" t="s">
        <v>56</v>
      </c>
      <c r="Q1" s="4" t="s">
        <v>57</v>
      </c>
      <c r="R1" s="4" t="s">
        <v>58</v>
      </c>
    </row>
    <row r="2" customFormat="false" ht="57.45" hidden="false" customHeight="false" outlineLevel="0" collapsed="false">
      <c r="A2" s="5" t="s">
        <v>59</v>
      </c>
      <c r="B2" s="5" t="s">
        <v>60</v>
      </c>
      <c r="C2" s="6" t="s">
        <v>61</v>
      </c>
      <c r="D2" s="5" t="s">
        <v>62</v>
      </c>
      <c r="E2" s="6" t="s">
        <v>63</v>
      </c>
      <c r="F2" s="5" t="s">
        <v>64</v>
      </c>
      <c r="G2" s="6" t="s">
        <v>65</v>
      </c>
      <c r="H2" s="5" t="s">
        <v>66</v>
      </c>
      <c r="I2" s="7" t="s">
        <v>67</v>
      </c>
      <c r="J2" s="8" t="n">
        <v>46</v>
      </c>
      <c r="K2" s="9" t="n">
        <v>11437.61</v>
      </c>
      <c r="L2" s="10" t="n">
        <v>25000</v>
      </c>
      <c r="M2" s="10" t="n">
        <v>313.33</v>
      </c>
      <c r="N2" s="5" t="s">
        <v>68</v>
      </c>
      <c r="O2" s="5" t="n">
        <f aca="false">COUNTIF('Full Log'!$A:$A,$A2)</f>
        <v>13</v>
      </c>
      <c r="P2" s="5" t="s">
        <v>69</v>
      </c>
      <c r="Q2" s="5" t="s">
        <v>70</v>
      </c>
      <c r="R2" s="6" t="s">
        <v>71</v>
      </c>
    </row>
    <row r="3" customFormat="false" ht="35.05" hidden="false" customHeight="false" outlineLevel="0" collapsed="false">
      <c r="A3" s="5" t="s">
        <v>72</v>
      </c>
      <c r="B3" s="5" t="s">
        <v>73</v>
      </c>
      <c r="C3" s="6" t="s">
        <v>74</v>
      </c>
      <c r="D3" s="5" t="s">
        <v>75</v>
      </c>
      <c r="E3" s="6" t="s">
        <v>76</v>
      </c>
      <c r="F3" s="5" t="s">
        <v>77</v>
      </c>
      <c r="G3" s="6" t="s">
        <v>78</v>
      </c>
      <c r="H3" s="5" t="s">
        <v>66</v>
      </c>
      <c r="I3" s="7" t="s">
        <v>67</v>
      </c>
      <c r="J3" s="8" t="n">
        <v>209</v>
      </c>
      <c r="K3" s="9" t="n">
        <v>48600.75</v>
      </c>
      <c r="L3" s="10" t="n">
        <v>50000</v>
      </c>
      <c r="M3" s="10" t="n">
        <v>274.48</v>
      </c>
      <c r="N3" s="5" t="s">
        <v>68</v>
      </c>
      <c r="O3" s="5" t="n">
        <f aca="false">COUNTIF('Full Log'!$A:$A,$A3)</f>
        <v>24</v>
      </c>
      <c r="P3" s="5" t="s">
        <v>69</v>
      </c>
      <c r="Q3" s="5" t="s">
        <v>70</v>
      </c>
      <c r="R3" s="6" t="s">
        <v>79</v>
      </c>
    </row>
    <row r="4" customFormat="false" ht="68.65" hidden="false" customHeight="false" outlineLevel="0" collapsed="false">
      <c r="A4" s="5" t="s">
        <v>80</v>
      </c>
      <c r="B4" s="5" t="s">
        <v>81</v>
      </c>
      <c r="C4" s="6" t="s">
        <v>82</v>
      </c>
      <c r="D4" s="5" t="s">
        <v>83</v>
      </c>
      <c r="E4" s="6" t="s">
        <v>84</v>
      </c>
      <c r="F4" s="5" t="s">
        <v>85</v>
      </c>
      <c r="G4" s="6" t="s">
        <v>86</v>
      </c>
      <c r="H4" s="5" t="s">
        <v>66</v>
      </c>
      <c r="I4" s="7" t="s">
        <v>67</v>
      </c>
      <c r="J4" s="8" t="n">
        <v>205</v>
      </c>
      <c r="K4" s="9" t="n">
        <v>55324.68</v>
      </c>
      <c r="L4" s="10" t="n">
        <v>60000</v>
      </c>
      <c r="M4" s="10" t="n">
        <v>354.3</v>
      </c>
      <c r="N4" s="5" t="s">
        <v>68</v>
      </c>
      <c r="O4" s="5" t="n">
        <f aca="false">COUNTIF('Full Log'!$A:$A,$A4)</f>
        <v>26</v>
      </c>
      <c r="P4" s="5" t="s">
        <v>69</v>
      </c>
      <c r="Q4" s="5" t="s">
        <v>70</v>
      </c>
      <c r="R4" s="6" t="s">
        <v>87</v>
      </c>
    </row>
    <row r="5" customFormat="false" ht="57.45" hidden="false" customHeight="false" outlineLevel="0" collapsed="false">
      <c r="A5" s="5" t="s">
        <v>88</v>
      </c>
      <c r="B5" s="5" t="s">
        <v>89</v>
      </c>
      <c r="C5" s="6" t="s">
        <v>90</v>
      </c>
      <c r="D5" s="5" t="s">
        <v>91</v>
      </c>
      <c r="E5" s="6" t="s">
        <v>92</v>
      </c>
      <c r="F5" s="5" t="s">
        <v>93</v>
      </c>
      <c r="G5" s="6" t="s">
        <v>94</v>
      </c>
      <c r="H5" s="5" t="s">
        <v>66</v>
      </c>
      <c r="I5" s="7" t="s">
        <v>67</v>
      </c>
      <c r="J5" s="8" t="n">
        <v>59.5</v>
      </c>
      <c r="K5" s="9" t="n">
        <v>39239.51</v>
      </c>
      <c r="L5" s="10" t="n">
        <v>50000</v>
      </c>
      <c r="M5" s="10" t="n">
        <v>592.1</v>
      </c>
      <c r="N5" s="5" t="s">
        <v>68</v>
      </c>
      <c r="O5" s="5" t="n">
        <f aca="false">COUNTIF('Full Log'!$A:$A,$A5)</f>
        <v>78</v>
      </c>
      <c r="P5" s="5" t="s">
        <v>69</v>
      </c>
      <c r="Q5" s="5" t="s">
        <v>95</v>
      </c>
      <c r="R5" s="6" t="s">
        <v>96</v>
      </c>
    </row>
    <row r="6" customFormat="false" ht="35.05" hidden="false" customHeight="false" outlineLevel="0" collapsed="false">
      <c r="A6" s="5" t="s">
        <v>97</v>
      </c>
      <c r="B6" s="5" t="s">
        <v>98</v>
      </c>
      <c r="C6" s="6" t="s">
        <v>99</v>
      </c>
      <c r="D6" s="5" t="s">
        <v>100</v>
      </c>
      <c r="E6" s="6" t="s">
        <v>101</v>
      </c>
      <c r="F6" s="5" t="s">
        <v>102</v>
      </c>
      <c r="G6" s="6" t="s">
        <v>103</v>
      </c>
      <c r="H6" s="5" t="s">
        <v>66</v>
      </c>
      <c r="I6" s="7" t="s">
        <v>67</v>
      </c>
      <c r="J6" s="8" t="n">
        <v>113</v>
      </c>
      <c r="K6" s="9" t="n">
        <v>50818.44</v>
      </c>
      <c r="L6" s="10" t="n">
        <v>60000</v>
      </c>
      <c r="M6" s="10" t="n">
        <v>499.99</v>
      </c>
      <c r="N6" s="5" t="s">
        <v>68</v>
      </c>
      <c r="O6" s="5" t="n">
        <f aca="false">COUNTIF('Full Log'!$A:$A,$A6)</f>
        <v>43</v>
      </c>
      <c r="P6" s="5" t="s">
        <v>69</v>
      </c>
      <c r="Q6" s="5" t="s">
        <v>104</v>
      </c>
      <c r="R6" s="6" t="s">
        <v>105</v>
      </c>
    </row>
    <row r="7" customFormat="false" ht="102.2" hidden="false" customHeight="false" outlineLevel="0" collapsed="false">
      <c r="A7" s="5" t="s">
        <v>106</v>
      </c>
      <c r="B7" s="5" t="s">
        <v>107</v>
      </c>
      <c r="C7" s="6" t="s">
        <v>108</v>
      </c>
      <c r="D7" s="5" t="s">
        <v>109</v>
      </c>
      <c r="E7" s="6" t="s">
        <v>110</v>
      </c>
      <c r="F7" s="5" t="s">
        <v>111</v>
      </c>
      <c r="G7" s="6" t="s">
        <v>112</v>
      </c>
      <c r="H7" s="5" t="s">
        <v>113</v>
      </c>
      <c r="I7" s="7" t="s">
        <v>67</v>
      </c>
      <c r="J7" s="8" t="n">
        <v>55</v>
      </c>
      <c r="K7" s="9" t="n">
        <v>13789.22</v>
      </c>
      <c r="L7" s="10" t="n">
        <v>25000</v>
      </c>
      <c r="M7" s="10" t="n">
        <v>483.36</v>
      </c>
      <c r="N7" s="5" t="s">
        <v>68</v>
      </c>
      <c r="O7" s="5" t="n">
        <f aca="false">COUNTIF('Full Log'!$A:$A,$A7)</f>
        <v>13</v>
      </c>
      <c r="P7" s="5" t="s">
        <v>114</v>
      </c>
      <c r="Q7" s="5" t="s">
        <v>104</v>
      </c>
      <c r="R7" s="6" t="s">
        <v>115</v>
      </c>
    </row>
    <row r="8" customFormat="false" ht="35.05" hidden="false" customHeight="false" outlineLevel="0" collapsed="false">
      <c r="A8" s="5" t="s">
        <v>116</v>
      </c>
      <c r="B8" s="5" t="s">
        <v>117</v>
      </c>
      <c r="C8" s="6" t="s">
        <v>118</v>
      </c>
      <c r="D8" s="5" t="s">
        <v>119</v>
      </c>
      <c r="E8" s="6" t="s">
        <v>120</v>
      </c>
      <c r="F8" s="5" t="s">
        <v>121</v>
      </c>
      <c r="G8" s="6" t="s">
        <v>122</v>
      </c>
      <c r="H8" s="5" t="s">
        <v>113</v>
      </c>
      <c r="I8" s="11"/>
      <c r="J8" s="8"/>
      <c r="K8" s="9"/>
      <c r="L8" s="10"/>
      <c r="M8" s="10" t="n">
        <v>282.57</v>
      </c>
      <c r="N8" s="5" t="s">
        <v>68</v>
      </c>
      <c r="O8" s="5" t="n">
        <f aca="false">COUNTIF('Full Log'!$A:$A,$A8)</f>
        <v>19</v>
      </c>
      <c r="P8" s="5" t="s">
        <v>114</v>
      </c>
      <c r="Q8" s="5" t="s">
        <v>95</v>
      </c>
      <c r="R8" s="6" t="s">
        <v>123</v>
      </c>
    </row>
    <row r="9" customFormat="false" ht="35.05" hidden="false" customHeight="false" outlineLevel="0" collapsed="false">
      <c r="A9" s="5" t="s">
        <v>124</v>
      </c>
      <c r="B9" s="5" t="s">
        <v>125</v>
      </c>
      <c r="C9" s="6" t="s">
        <v>126</v>
      </c>
      <c r="D9" s="5" t="s">
        <v>127</v>
      </c>
      <c r="E9" s="6" t="s">
        <v>128</v>
      </c>
      <c r="F9" s="5" t="s">
        <v>129</v>
      </c>
      <c r="G9" s="6" t="s">
        <v>130</v>
      </c>
      <c r="H9" s="5" t="s">
        <v>113</v>
      </c>
      <c r="I9" s="7" t="s">
        <v>67</v>
      </c>
      <c r="J9" s="8" t="n">
        <v>84</v>
      </c>
      <c r="K9" s="9" t="n">
        <v>28571.53</v>
      </c>
      <c r="L9" s="10" t="n">
        <v>40000</v>
      </c>
      <c r="M9" s="10" t="n">
        <v>427.76</v>
      </c>
      <c r="N9" s="5" t="s">
        <v>68</v>
      </c>
      <c r="O9" s="5" t="n">
        <f aca="false">COUNTIF('Full Log'!$A:$A,$A9)</f>
        <v>5</v>
      </c>
      <c r="P9" s="5" t="s">
        <v>131</v>
      </c>
      <c r="Q9" s="5" t="s">
        <v>95</v>
      </c>
      <c r="R9" s="6" t="s">
        <v>123</v>
      </c>
    </row>
    <row r="10" customFormat="false" ht="35.05" hidden="false" customHeight="false" outlineLevel="0" collapsed="false">
      <c r="A10" s="5" t="s">
        <v>132</v>
      </c>
      <c r="B10" s="5" t="s">
        <v>133</v>
      </c>
      <c r="C10" s="6" t="s">
        <v>134</v>
      </c>
      <c r="D10" s="5" t="s">
        <v>135</v>
      </c>
      <c r="E10" s="6" t="s">
        <v>110</v>
      </c>
      <c r="F10" s="5" t="s">
        <v>136</v>
      </c>
      <c r="G10" s="6" t="s">
        <v>137</v>
      </c>
      <c r="H10" s="5" t="s">
        <v>113</v>
      </c>
      <c r="I10" s="7" t="s">
        <v>67</v>
      </c>
      <c r="J10" s="8" t="n">
        <v>45</v>
      </c>
      <c r="K10" s="9" t="n">
        <v>2029.6</v>
      </c>
      <c r="L10" s="10" t="n">
        <v>5000</v>
      </c>
      <c r="M10" s="10" t="n">
        <v>101.65</v>
      </c>
      <c r="N10" s="5" t="s">
        <v>68</v>
      </c>
      <c r="O10" s="5" t="n">
        <f aca="false">COUNTIF('Full Log'!$A:$A,$A10)</f>
        <v>5</v>
      </c>
      <c r="P10" s="5" t="s">
        <v>114</v>
      </c>
      <c r="Q10" s="5" t="s">
        <v>138</v>
      </c>
      <c r="R10" s="6" t="s">
        <v>139</v>
      </c>
    </row>
    <row r="11" customFormat="false" ht="113.4" hidden="false" customHeight="false" outlineLevel="0" collapsed="false">
      <c r="A11" s="5" t="s">
        <v>140</v>
      </c>
      <c r="B11" s="5" t="s">
        <v>141</v>
      </c>
      <c r="C11" s="6" t="s">
        <v>142</v>
      </c>
      <c r="D11" s="5" t="s">
        <v>143</v>
      </c>
      <c r="E11" s="6" t="s">
        <v>144</v>
      </c>
      <c r="F11" s="5" t="s">
        <v>145</v>
      </c>
      <c r="G11" s="6" t="s">
        <v>146</v>
      </c>
      <c r="H11" s="5" t="s">
        <v>113</v>
      </c>
      <c r="I11" s="11"/>
      <c r="J11" s="8"/>
      <c r="K11" s="9"/>
      <c r="L11" s="10"/>
      <c r="M11" s="10" t="n">
        <v>84.69</v>
      </c>
      <c r="N11" s="5" t="s">
        <v>68</v>
      </c>
      <c r="O11" s="5" t="n">
        <f aca="false">COUNTIF('Full Log'!$A:$A,$A11)</f>
        <v>1</v>
      </c>
      <c r="P11" s="5" t="s">
        <v>147</v>
      </c>
      <c r="Q11" s="5" t="s">
        <v>147</v>
      </c>
      <c r="R11" s="6" t="s">
        <v>148</v>
      </c>
    </row>
    <row r="12" customFormat="false" ht="91" hidden="false" customHeight="false" outlineLevel="0" collapsed="false">
      <c r="A12" s="5" t="s">
        <v>149</v>
      </c>
      <c r="B12" s="5" t="s">
        <v>150</v>
      </c>
      <c r="C12" s="6" t="s">
        <v>151</v>
      </c>
      <c r="D12" s="5" t="s">
        <v>152</v>
      </c>
      <c r="E12" s="6" t="s">
        <v>153</v>
      </c>
      <c r="F12" s="5" t="s">
        <v>154</v>
      </c>
      <c r="G12" s="6" t="s">
        <v>155</v>
      </c>
      <c r="H12" s="5" t="s">
        <v>113</v>
      </c>
      <c r="I12" s="7" t="s">
        <v>67</v>
      </c>
      <c r="J12" s="8" t="n">
        <v>48.5</v>
      </c>
      <c r="K12" s="9" t="n">
        <v>7872.66</v>
      </c>
      <c r="L12" s="10" t="n">
        <v>25000</v>
      </c>
      <c r="M12" s="10" t="n">
        <v>218.72</v>
      </c>
      <c r="N12" s="5" t="s">
        <v>68</v>
      </c>
      <c r="O12" s="5" t="n">
        <f aca="false">COUNTIF('Full Log'!$A:$A,$A12)</f>
        <v>2</v>
      </c>
      <c r="P12" s="5" t="s">
        <v>156</v>
      </c>
      <c r="Q12" s="5" t="s">
        <v>131</v>
      </c>
      <c r="R12" s="6" t="s">
        <v>157</v>
      </c>
    </row>
    <row r="13" customFormat="false" ht="57.45" hidden="false" customHeight="false" outlineLevel="0" collapsed="false">
      <c r="A13" s="5" t="s">
        <v>158</v>
      </c>
      <c r="B13" s="5" t="s">
        <v>159</v>
      </c>
      <c r="C13" s="6" t="s">
        <v>160</v>
      </c>
      <c r="D13" s="5" t="s">
        <v>161</v>
      </c>
      <c r="E13" s="6" t="s">
        <v>110</v>
      </c>
      <c r="F13" s="5" t="s">
        <v>162</v>
      </c>
      <c r="G13" s="6" t="s">
        <v>163</v>
      </c>
      <c r="H13" s="5" t="s">
        <v>113</v>
      </c>
      <c r="I13" s="7" t="s">
        <v>67</v>
      </c>
      <c r="J13" s="8" t="n">
        <v>411</v>
      </c>
      <c r="K13" s="9" t="n">
        <v>77332.4</v>
      </c>
      <c r="L13" s="10" t="n">
        <v>80000</v>
      </c>
      <c r="M13" s="10" t="n">
        <v>223.96</v>
      </c>
      <c r="N13" s="5" t="s">
        <v>68</v>
      </c>
      <c r="O13" s="5" t="n">
        <f aca="false">COUNTIF('Full Log'!$A:$A,$A13)</f>
        <v>82</v>
      </c>
      <c r="P13" s="5" t="s">
        <v>69</v>
      </c>
      <c r="Q13" s="5" t="s">
        <v>104</v>
      </c>
      <c r="R13" s="6" t="s">
        <v>164</v>
      </c>
    </row>
    <row r="14" customFormat="false" ht="35.05" hidden="false" customHeight="false" outlineLevel="0" collapsed="false">
      <c r="A14" s="5" t="s">
        <v>165</v>
      </c>
      <c r="B14" s="5" t="s">
        <v>166</v>
      </c>
      <c r="C14" s="6" t="s">
        <v>167</v>
      </c>
      <c r="D14" s="5" t="s">
        <v>168</v>
      </c>
      <c r="E14" s="6" t="s">
        <v>169</v>
      </c>
      <c r="F14" s="5" t="s">
        <v>170</v>
      </c>
      <c r="G14" s="6" t="s">
        <v>171</v>
      </c>
      <c r="H14" s="5" t="s">
        <v>113</v>
      </c>
      <c r="I14" s="11"/>
      <c r="J14" s="8"/>
      <c r="K14" s="9"/>
      <c r="L14" s="10"/>
      <c r="M14" s="10" t="n">
        <v>81.17</v>
      </c>
      <c r="N14" s="5" t="s">
        <v>68</v>
      </c>
      <c r="O14" s="5" t="n">
        <f aca="false">COUNTIF('Full Log'!$A:$A,$A14)</f>
        <v>0</v>
      </c>
      <c r="P14" s="5"/>
      <c r="Q14" s="5"/>
      <c r="R14" s="6" t="s">
        <v>172</v>
      </c>
    </row>
    <row r="15" customFormat="false" ht="35.05" hidden="false" customHeight="false" outlineLevel="0" collapsed="false">
      <c r="A15" s="5" t="s">
        <v>173</v>
      </c>
      <c r="B15" s="5" t="s">
        <v>174</v>
      </c>
      <c r="C15" s="6" t="s">
        <v>175</v>
      </c>
      <c r="D15" s="5" t="s">
        <v>176</v>
      </c>
      <c r="E15" s="6" t="s">
        <v>177</v>
      </c>
      <c r="F15" s="5" t="s">
        <v>178</v>
      </c>
      <c r="G15" s="6" t="s">
        <v>179</v>
      </c>
      <c r="H15" s="5" t="s">
        <v>113</v>
      </c>
      <c r="I15" s="7" t="s">
        <v>67</v>
      </c>
      <c r="J15" s="8" t="n">
        <v>11</v>
      </c>
      <c r="K15" s="9" t="n">
        <v>1959.96</v>
      </c>
      <c r="L15" s="10" t="n">
        <v>5000</v>
      </c>
      <c r="M15" s="10" t="n">
        <v>167.86</v>
      </c>
      <c r="N15" s="5" t="s">
        <v>68</v>
      </c>
      <c r="O15" s="5" t="n">
        <f aca="false">COUNTIF('Full Log'!$A:$A,$A15)</f>
        <v>0</v>
      </c>
      <c r="P15" s="5"/>
      <c r="Q15" s="5"/>
      <c r="R15" s="6" t="s">
        <v>172</v>
      </c>
    </row>
    <row r="16" customFormat="false" ht="46.25" hidden="false" customHeight="false" outlineLevel="0" collapsed="false">
      <c r="A16" s="5" t="s">
        <v>180</v>
      </c>
      <c r="B16" s="5" t="s">
        <v>181</v>
      </c>
      <c r="C16" s="6" t="s">
        <v>182</v>
      </c>
      <c r="D16" s="5" t="s">
        <v>183</v>
      </c>
      <c r="E16" s="6" t="s">
        <v>184</v>
      </c>
      <c r="F16" s="5" t="s">
        <v>185</v>
      </c>
      <c r="G16" s="6" t="s">
        <v>186</v>
      </c>
      <c r="H16" s="5" t="s">
        <v>113</v>
      </c>
      <c r="I16" s="7" t="s">
        <v>67</v>
      </c>
      <c r="J16" s="8" t="n">
        <v>107.5</v>
      </c>
      <c r="K16" s="9" t="n">
        <v>37850.87</v>
      </c>
      <c r="L16" s="10" t="n">
        <v>50000</v>
      </c>
      <c r="M16" s="10" t="n">
        <v>420.04</v>
      </c>
      <c r="N16" s="5" t="s">
        <v>68</v>
      </c>
      <c r="O16" s="5" t="n">
        <f aca="false">COUNTIF('Full Log'!$A:$A,$A16)</f>
        <v>47</v>
      </c>
      <c r="P16" s="5" t="s">
        <v>114</v>
      </c>
      <c r="Q16" s="5" t="s">
        <v>104</v>
      </c>
      <c r="R16" s="6" t="s">
        <v>187</v>
      </c>
    </row>
    <row r="17" customFormat="false" ht="46.25" hidden="false" customHeight="false" outlineLevel="0" collapsed="false">
      <c r="A17" s="5" t="s">
        <v>188</v>
      </c>
      <c r="B17" s="5" t="s">
        <v>189</v>
      </c>
      <c r="C17" s="6" t="s">
        <v>190</v>
      </c>
      <c r="D17" s="5" t="s">
        <v>62</v>
      </c>
      <c r="E17" s="6" t="s">
        <v>191</v>
      </c>
      <c r="F17" s="5" t="s">
        <v>192</v>
      </c>
      <c r="G17" s="6" t="s">
        <v>193</v>
      </c>
      <c r="H17" s="5" t="s">
        <v>194</v>
      </c>
      <c r="I17" s="11"/>
      <c r="J17" s="8"/>
      <c r="K17" s="9"/>
      <c r="L17" s="10"/>
      <c r="M17" s="10" t="n">
        <v>103.07</v>
      </c>
      <c r="N17" s="5" t="s">
        <v>68</v>
      </c>
      <c r="O17" s="5" t="n">
        <f aca="false">COUNTIF('Full Log'!$A:$A,$A17)</f>
        <v>22</v>
      </c>
      <c r="P17" s="5" t="s">
        <v>114</v>
      </c>
      <c r="Q17" s="5" t="s">
        <v>104</v>
      </c>
      <c r="R17" s="6" t="s">
        <v>195</v>
      </c>
    </row>
    <row r="18" customFormat="false" ht="57.45" hidden="false" customHeight="false" outlineLevel="0" collapsed="false">
      <c r="A18" s="5" t="s">
        <v>196</v>
      </c>
      <c r="B18" s="5" t="s">
        <v>197</v>
      </c>
      <c r="C18" s="6" t="s">
        <v>198</v>
      </c>
      <c r="D18" s="5" t="s">
        <v>199</v>
      </c>
      <c r="E18" s="6" t="s">
        <v>110</v>
      </c>
      <c r="F18" s="5" t="s">
        <v>200</v>
      </c>
      <c r="G18" s="6" t="s">
        <v>201</v>
      </c>
      <c r="H18" s="5" t="s">
        <v>194</v>
      </c>
      <c r="I18" s="7" t="s">
        <v>67</v>
      </c>
      <c r="J18" s="8" t="n">
        <v>34</v>
      </c>
      <c r="K18" s="9" t="n">
        <v>8162.07</v>
      </c>
      <c r="L18" s="10" t="n">
        <v>20000</v>
      </c>
      <c r="M18" s="10" t="n">
        <v>539.14</v>
      </c>
      <c r="N18" s="5" t="s">
        <v>68</v>
      </c>
      <c r="O18" s="5" t="n">
        <f aca="false">COUNTIF('Full Log'!$A:$A,$A18)</f>
        <v>16</v>
      </c>
      <c r="P18" s="5" t="s">
        <v>69</v>
      </c>
      <c r="Q18" s="5" t="s">
        <v>104</v>
      </c>
      <c r="R18" s="6" t="s">
        <v>202</v>
      </c>
    </row>
    <row r="19" customFormat="false" ht="35.05" hidden="false" customHeight="false" outlineLevel="0" collapsed="false">
      <c r="A19" s="5" t="s">
        <v>203</v>
      </c>
      <c r="B19" s="5" t="s">
        <v>204</v>
      </c>
      <c r="C19" s="6" t="s">
        <v>205</v>
      </c>
      <c r="D19" s="5" t="s">
        <v>135</v>
      </c>
      <c r="E19" s="6" t="s">
        <v>206</v>
      </c>
      <c r="F19" s="5" t="s">
        <v>207</v>
      </c>
      <c r="G19" s="6" t="s">
        <v>208</v>
      </c>
      <c r="H19" s="5" t="s">
        <v>194</v>
      </c>
      <c r="I19" s="7" t="s">
        <v>67</v>
      </c>
      <c r="J19" s="8" t="n">
        <v>55</v>
      </c>
      <c r="K19" s="9" t="n">
        <v>3454.62</v>
      </c>
      <c r="L19" s="10" t="n">
        <v>5000</v>
      </c>
      <c r="M19" s="10" t="n">
        <v>55.27</v>
      </c>
      <c r="N19" s="5" t="s">
        <v>68</v>
      </c>
      <c r="O19" s="5" t="n">
        <f aca="false">COUNTIF('Full Log'!$A:$A,$A19)</f>
        <v>4</v>
      </c>
      <c r="P19" s="5" t="s">
        <v>114</v>
      </c>
      <c r="Q19" s="5" t="s">
        <v>138</v>
      </c>
      <c r="R19" s="6" t="s">
        <v>209</v>
      </c>
    </row>
    <row r="20" customFormat="false" ht="68.65" hidden="false" customHeight="false" outlineLevel="0" collapsed="false">
      <c r="A20" s="5" t="s">
        <v>210</v>
      </c>
      <c r="B20" s="5" t="s">
        <v>211</v>
      </c>
      <c r="C20" s="6" t="s">
        <v>212</v>
      </c>
      <c r="D20" s="5" t="s">
        <v>213</v>
      </c>
      <c r="E20" s="6" t="s">
        <v>214</v>
      </c>
      <c r="F20" s="5" t="s">
        <v>215</v>
      </c>
      <c r="G20" s="6" t="s">
        <v>216</v>
      </c>
      <c r="H20" s="5" t="s">
        <v>194</v>
      </c>
      <c r="I20" s="7" t="s">
        <v>67</v>
      </c>
      <c r="J20" s="8" t="n">
        <v>13</v>
      </c>
      <c r="K20" s="9" t="n">
        <v>16394.06</v>
      </c>
      <c r="L20" s="10" t="n">
        <v>30000</v>
      </c>
      <c r="M20" s="10" t="n">
        <v>1740.99</v>
      </c>
      <c r="N20" s="5" t="s">
        <v>68</v>
      </c>
      <c r="O20" s="5" t="n">
        <f aca="false">COUNTIF('Full Log'!$A:$A,$A20)</f>
        <v>29</v>
      </c>
      <c r="P20" s="5" t="s">
        <v>156</v>
      </c>
      <c r="Q20" s="5" t="s">
        <v>70</v>
      </c>
      <c r="R20" s="6" t="s">
        <v>217</v>
      </c>
    </row>
    <row r="21" customFormat="false" ht="46.25" hidden="false" customHeight="false" outlineLevel="0" collapsed="false">
      <c r="A21" s="5" t="s">
        <v>218</v>
      </c>
      <c r="B21" s="5" t="s">
        <v>219</v>
      </c>
      <c r="C21" s="6" t="s">
        <v>220</v>
      </c>
      <c r="D21" s="5" t="s">
        <v>100</v>
      </c>
      <c r="E21" s="6" t="s">
        <v>221</v>
      </c>
      <c r="F21" s="5" t="s">
        <v>222</v>
      </c>
      <c r="G21" s="6" t="s">
        <v>223</v>
      </c>
      <c r="H21" s="5" t="s">
        <v>194</v>
      </c>
      <c r="I21" s="7" t="s">
        <v>67</v>
      </c>
      <c r="J21" s="8" t="n">
        <v>18</v>
      </c>
      <c r="K21" s="9" t="n">
        <v>3510.69</v>
      </c>
      <c r="L21" s="10" t="n">
        <v>10000</v>
      </c>
      <c r="M21" s="10" t="n">
        <v>198.11</v>
      </c>
      <c r="N21" s="5" t="s">
        <v>68</v>
      </c>
      <c r="O21" s="5" t="n">
        <f aca="false">COUNTIF('Full Log'!$A:$A,$A21)</f>
        <v>5</v>
      </c>
      <c r="P21" s="5" t="s">
        <v>156</v>
      </c>
      <c r="Q21" s="5" t="s">
        <v>224</v>
      </c>
      <c r="R21" s="6" t="s">
        <v>225</v>
      </c>
    </row>
    <row r="22" customFormat="false" ht="68.65" hidden="false" customHeight="false" outlineLevel="0" collapsed="false">
      <c r="A22" s="5" t="s">
        <v>226</v>
      </c>
      <c r="B22" s="5" t="s">
        <v>227</v>
      </c>
      <c r="C22" s="6" t="s">
        <v>228</v>
      </c>
      <c r="D22" s="5" t="s">
        <v>229</v>
      </c>
      <c r="E22" s="6" t="s">
        <v>230</v>
      </c>
      <c r="F22" s="5" t="s">
        <v>231</v>
      </c>
      <c r="G22" s="6" t="s">
        <v>232</v>
      </c>
      <c r="H22" s="5" t="s">
        <v>194</v>
      </c>
      <c r="I22" s="7" t="s">
        <v>67</v>
      </c>
      <c r="J22" s="8" t="n">
        <v>22</v>
      </c>
      <c r="K22" s="9" t="n">
        <v>4100.12</v>
      </c>
      <c r="L22" s="10" t="n">
        <v>15000</v>
      </c>
      <c r="M22" s="10" t="n">
        <v>311.35</v>
      </c>
      <c r="N22" s="5" t="s">
        <v>68</v>
      </c>
      <c r="O22" s="5" t="n">
        <f aca="false">COUNTIF('Full Log'!$A:$A,$A22)</f>
        <v>25</v>
      </c>
      <c r="P22" s="5" t="s">
        <v>69</v>
      </c>
      <c r="Q22" s="5" t="s">
        <v>104</v>
      </c>
      <c r="R22" s="6" t="s">
        <v>233</v>
      </c>
    </row>
    <row r="23" customFormat="false" ht="46.25" hidden="false" customHeight="false" outlineLevel="0" collapsed="false">
      <c r="A23" s="5" t="s">
        <v>234</v>
      </c>
      <c r="B23" s="5" t="s">
        <v>235</v>
      </c>
      <c r="C23" s="6" t="s">
        <v>236</v>
      </c>
      <c r="D23" s="5" t="s">
        <v>237</v>
      </c>
      <c r="E23" s="6" t="s">
        <v>238</v>
      </c>
      <c r="F23" s="5" t="s">
        <v>239</v>
      </c>
      <c r="G23" s="6" t="s">
        <v>240</v>
      </c>
      <c r="H23" s="5" t="s">
        <v>241</v>
      </c>
      <c r="I23" s="7" t="s">
        <v>67</v>
      </c>
      <c r="J23" s="8" t="n">
        <v>33.45</v>
      </c>
      <c r="K23" s="9" t="n">
        <v>20655.29</v>
      </c>
      <c r="L23" s="10" t="n">
        <v>30000</v>
      </c>
      <c r="M23" s="10" t="n">
        <v>877.57</v>
      </c>
      <c r="N23" s="5" t="s">
        <v>68</v>
      </c>
      <c r="O23" s="5" t="n">
        <f aca="false">COUNTIF('Full Log'!$A:$A,$A23)</f>
        <v>93</v>
      </c>
      <c r="P23" s="5" t="s">
        <v>69</v>
      </c>
      <c r="Q23" s="5" t="s">
        <v>70</v>
      </c>
      <c r="R23" s="6" t="s">
        <v>242</v>
      </c>
    </row>
    <row r="24" customFormat="false" ht="57.45" hidden="false" customHeight="false" outlineLevel="0" collapsed="false">
      <c r="A24" s="5" t="s">
        <v>243</v>
      </c>
      <c r="B24" s="5" t="s">
        <v>244</v>
      </c>
      <c r="C24" s="6" t="s">
        <v>245</v>
      </c>
      <c r="D24" s="5" t="s">
        <v>246</v>
      </c>
      <c r="E24" s="6" t="s">
        <v>247</v>
      </c>
      <c r="F24" s="5" t="s">
        <v>248</v>
      </c>
      <c r="G24" s="6" t="s">
        <v>249</v>
      </c>
      <c r="H24" s="5" t="s">
        <v>241</v>
      </c>
      <c r="I24" s="7" t="s">
        <v>67</v>
      </c>
      <c r="J24" s="8" t="n">
        <v>15</v>
      </c>
      <c r="K24" s="9" t="n">
        <v>1913.26</v>
      </c>
      <c r="L24" s="10" t="n">
        <v>10000</v>
      </c>
      <c r="M24" s="10" t="n">
        <v>137.91</v>
      </c>
      <c r="N24" s="5" t="s">
        <v>68</v>
      </c>
      <c r="O24" s="5" t="n">
        <f aca="false">COUNTIF('Full Log'!$A:$A,$A24)</f>
        <v>34</v>
      </c>
      <c r="P24" s="5" t="s">
        <v>114</v>
      </c>
      <c r="Q24" s="5" t="s">
        <v>224</v>
      </c>
      <c r="R24" s="6" t="s">
        <v>250</v>
      </c>
    </row>
    <row r="25" customFormat="false" ht="46.25" hidden="false" customHeight="false" outlineLevel="0" collapsed="false">
      <c r="A25" s="5" t="s">
        <v>251</v>
      </c>
      <c r="B25" s="5" t="s">
        <v>252</v>
      </c>
      <c r="C25" s="6" t="s">
        <v>253</v>
      </c>
      <c r="D25" s="5" t="s">
        <v>254</v>
      </c>
      <c r="E25" s="6" t="s">
        <v>221</v>
      </c>
      <c r="F25" s="5" t="s">
        <v>255</v>
      </c>
      <c r="G25" s="6" t="s">
        <v>256</v>
      </c>
      <c r="H25" s="5" t="s">
        <v>241</v>
      </c>
      <c r="I25" s="11"/>
      <c r="J25" s="8"/>
      <c r="K25" s="9"/>
      <c r="L25" s="10"/>
      <c r="M25" s="10" t="n">
        <v>1212.21</v>
      </c>
      <c r="N25" s="5" t="s">
        <v>68</v>
      </c>
      <c r="O25" s="5" t="n">
        <f aca="false">COUNTIF('Full Log'!$A:$A,$A25)</f>
        <v>16</v>
      </c>
      <c r="P25" s="5" t="s">
        <v>156</v>
      </c>
      <c r="Q25" s="5" t="s">
        <v>70</v>
      </c>
      <c r="R25" s="6" t="s">
        <v>257</v>
      </c>
    </row>
    <row r="26" customFormat="false" ht="35.05" hidden="false" customHeight="false" outlineLevel="0" collapsed="false">
      <c r="A26" s="5" t="s">
        <v>258</v>
      </c>
      <c r="B26" s="5" t="s">
        <v>259</v>
      </c>
      <c r="C26" s="6" t="s">
        <v>260</v>
      </c>
      <c r="D26" s="5" t="s">
        <v>237</v>
      </c>
      <c r="E26" s="6" t="s">
        <v>261</v>
      </c>
      <c r="F26" s="5" t="s">
        <v>262</v>
      </c>
      <c r="G26" s="6" t="s">
        <v>263</v>
      </c>
      <c r="H26" s="5" t="s">
        <v>241</v>
      </c>
      <c r="I26" s="11"/>
      <c r="J26" s="8"/>
      <c r="K26" s="9"/>
      <c r="L26" s="10"/>
      <c r="M26" s="10" t="n">
        <v>812.76</v>
      </c>
      <c r="N26" s="5" t="s">
        <v>68</v>
      </c>
      <c r="O26" s="5" t="n">
        <f aca="false">COUNTIF('Full Log'!$A:$A,$A26)</f>
        <v>3</v>
      </c>
      <c r="P26" s="5" t="s">
        <v>264</v>
      </c>
      <c r="Q26" s="5" t="s">
        <v>265</v>
      </c>
      <c r="R26" s="6" t="s">
        <v>266</v>
      </c>
    </row>
    <row r="27" customFormat="false" ht="35.05" hidden="false" customHeight="false" outlineLevel="0" collapsed="false">
      <c r="A27" s="5" t="s">
        <v>267</v>
      </c>
      <c r="B27" s="5" t="s">
        <v>268</v>
      </c>
      <c r="C27" s="6" t="s">
        <v>269</v>
      </c>
      <c r="D27" s="5" t="s">
        <v>270</v>
      </c>
      <c r="E27" s="6" t="s">
        <v>271</v>
      </c>
      <c r="F27" s="5" t="s">
        <v>272</v>
      </c>
      <c r="G27" s="6" t="s">
        <v>273</v>
      </c>
      <c r="H27" s="5" t="s">
        <v>241</v>
      </c>
      <c r="I27" s="11"/>
      <c r="J27" s="8"/>
      <c r="K27" s="9"/>
      <c r="L27" s="10"/>
      <c r="M27" s="10" t="n">
        <v>434.3</v>
      </c>
      <c r="N27" s="5" t="s">
        <v>68</v>
      </c>
      <c r="O27" s="5" t="n">
        <f aca="false">COUNTIF('Full Log'!$A:$A,$A27)</f>
        <v>8</v>
      </c>
      <c r="P27" s="5" t="s">
        <v>156</v>
      </c>
      <c r="Q27" s="5" t="s">
        <v>138</v>
      </c>
      <c r="R27" s="6" t="s">
        <v>274</v>
      </c>
    </row>
    <row r="28" customFormat="false" ht="57.45" hidden="false" customHeight="false" outlineLevel="0" collapsed="false">
      <c r="A28" s="5" t="s">
        <v>275</v>
      </c>
      <c r="B28" s="5" t="s">
        <v>276</v>
      </c>
      <c r="C28" s="6" t="s">
        <v>277</v>
      </c>
      <c r="D28" s="5" t="s">
        <v>278</v>
      </c>
      <c r="E28" s="6" t="s">
        <v>279</v>
      </c>
      <c r="F28" s="5" t="s">
        <v>280</v>
      </c>
      <c r="G28" s="6" t="s">
        <v>281</v>
      </c>
      <c r="H28" s="5" t="s">
        <v>282</v>
      </c>
      <c r="I28" s="7" t="s">
        <v>67</v>
      </c>
      <c r="J28" s="8" t="n">
        <v>10</v>
      </c>
      <c r="K28" s="9" t="n">
        <v>1338.56</v>
      </c>
      <c r="L28" s="10"/>
      <c r="M28" s="10" t="n">
        <v>135.63</v>
      </c>
      <c r="N28" s="5" t="s">
        <v>68</v>
      </c>
      <c r="O28" s="5" t="n">
        <f aca="false">COUNTIF('Full Log'!$A:$A,$A28)</f>
        <v>17</v>
      </c>
      <c r="P28" s="5" t="s">
        <v>156</v>
      </c>
      <c r="Q28" s="5" t="s">
        <v>104</v>
      </c>
      <c r="R28" s="6" t="s">
        <v>202</v>
      </c>
    </row>
    <row r="29" customFormat="false" ht="35.05" hidden="false" customHeight="false" outlineLevel="0" collapsed="false">
      <c r="A29" s="5" t="s">
        <v>283</v>
      </c>
      <c r="B29" s="5" t="s">
        <v>284</v>
      </c>
      <c r="C29" s="6" t="s">
        <v>285</v>
      </c>
      <c r="D29" s="5" t="s">
        <v>286</v>
      </c>
      <c r="E29" s="6" t="s">
        <v>271</v>
      </c>
      <c r="F29" s="5" t="s">
        <v>287</v>
      </c>
      <c r="G29" s="6" t="s">
        <v>288</v>
      </c>
      <c r="H29" s="5" t="s">
        <v>282</v>
      </c>
      <c r="I29" s="7" t="s">
        <v>67</v>
      </c>
      <c r="J29" s="8" t="n">
        <v>15</v>
      </c>
      <c r="K29" s="9" t="n">
        <v>3805.47</v>
      </c>
      <c r="L29" s="10" t="n">
        <v>15000</v>
      </c>
      <c r="M29" s="10" t="n">
        <v>334.17</v>
      </c>
      <c r="N29" s="5" t="s">
        <v>68</v>
      </c>
      <c r="O29" s="5" t="n">
        <f aca="false">COUNTIF('Full Log'!$A:$A,$A29)</f>
        <v>4</v>
      </c>
      <c r="P29" s="5" t="s">
        <v>114</v>
      </c>
      <c r="Q29" s="5" t="s">
        <v>264</v>
      </c>
      <c r="R29" s="6" t="s">
        <v>289</v>
      </c>
    </row>
    <row r="30" customFormat="false" ht="35.05" hidden="false" customHeight="false" outlineLevel="0" collapsed="false">
      <c r="A30" s="5" t="s">
        <v>290</v>
      </c>
      <c r="B30" s="5" t="s">
        <v>291</v>
      </c>
      <c r="C30" s="6" t="s">
        <v>292</v>
      </c>
      <c r="D30" s="5" t="s">
        <v>91</v>
      </c>
      <c r="E30" s="6" t="s">
        <v>293</v>
      </c>
      <c r="F30" s="5" t="s">
        <v>294</v>
      </c>
      <c r="G30" s="6" t="s">
        <v>295</v>
      </c>
      <c r="H30" s="5" t="s">
        <v>282</v>
      </c>
      <c r="I30" s="7" t="s">
        <v>67</v>
      </c>
      <c r="J30" s="8" t="n">
        <v>88</v>
      </c>
      <c r="K30" s="9" t="n">
        <v>13650.01</v>
      </c>
      <c r="L30" s="10" t="n">
        <v>20000</v>
      </c>
      <c r="M30" s="10" t="n">
        <v>188.67</v>
      </c>
      <c r="N30" s="5" t="s">
        <v>68</v>
      </c>
      <c r="O30" s="5" t="n">
        <f aca="false">COUNTIF('Full Log'!$A:$A,$A30)</f>
        <v>6</v>
      </c>
      <c r="P30" s="5" t="s">
        <v>296</v>
      </c>
      <c r="Q30" s="5" t="s">
        <v>264</v>
      </c>
      <c r="R30" s="6" t="s">
        <v>289</v>
      </c>
    </row>
    <row r="31" customFormat="false" ht="35.05" hidden="false" customHeight="false" outlineLevel="0" collapsed="false">
      <c r="A31" s="5" t="s">
        <v>297</v>
      </c>
      <c r="B31" s="5" t="s">
        <v>298</v>
      </c>
      <c r="C31" s="6" t="s">
        <v>299</v>
      </c>
      <c r="D31" s="5" t="s">
        <v>300</v>
      </c>
      <c r="E31" s="6" t="s">
        <v>301</v>
      </c>
      <c r="F31" s="5" t="s">
        <v>302</v>
      </c>
      <c r="G31" s="6" t="s">
        <v>303</v>
      </c>
      <c r="H31" s="5" t="s">
        <v>282</v>
      </c>
      <c r="I31" s="7" t="s">
        <v>67</v>
      </c>
      <c r="J31" s="8" t="n">
        <v>16</v>
      </c>
      <c r="K31" s="9" t="n">
        <v>2004.4</v>
      </c>
      <c r="L31" s="10" t="n">
        <v>10000</v>
      </c>
      <c r="M31" s="10" t="n">
        <v>169.18</v>
      </c>
      <c r="N31" s="5" t="s">
        <v>68</v>
      </c>
      <c r="O31" s="5" t="n">
        <f aca="false">COUNTIF('Full Log'!$A:$A,$A31)</f>
        <v>10</v>
      </c>
      <c r="P31" s="5" t="s">
        <v>156</v>
      </c>
      <c r="Q31" s="5" t="s">
        <v>304</v>
      </c>
      <c r="R31" s="6" t="s">
        <v>305</v>
      </c>
    </row>
    <row r="32" customFormat="false" ht="68.65" hidden="false" customHeight="false" outlineLevel="0" collapsed="false">
      <c r="A32" s="5" t="s">
        <v>306</v>
      </c>
      <c r="B32" s="5" t="s">
        <v>307</v>
      </c>
      <c r="C32" s="6" t="s">
        <v>308</v>
      </c>
      <c r="D32" s="5" t="s">
        <v>309</v>
      </c>
      <c r="E32" s="6" t="s">
        <v>230</v>
      </c>
      <c r="F32" s="5" t="s">
        <v>310</v>
      </c>
      <c r="G32" s="6" t="s">
        <v>311</v>
      </c>
      <c r="H32" s="5" t="s">
        <v>282</v>
      </c>
      <c r="I32" s="11"/>
      <c r="J32" s="8"/>
      <c r="K32" s="9"/>
      <c r="L32" s="10"/>
      <c r="M32" s="10" t="n">
        <v>88.58</v>
      </c>
      <c r="N32" s="5" t="s">
        <v>68</v>
      </c>
      <c r="O32" s="5" t="n">
        <f aca="false">COUNTIF('Full Log'!$A:$A,$A32)</f>
        <v>6</v>
      </c>
      <c r="P32" s="5" t="s">
        <v>104</v>
      </c>
      <c r="Q32" s="5" t="s">
        <v>68</v>
      </c>
      <c r="R32" s="6" t="s">
        <v>312</v>
      </c>
    </row>
    <row r="33" customFormat="false" ht="68.65" hidden="false" customHeight="false" outlineLevel="0" collapsed="false">
      <c r="A33" s="5" t="s">
        <v>313</v>
      </c>
      <c r="B33" s="5" t="s">
        <v>314</v>
      </c>
      <c r="C33" s="6" t="s">
        <v>315</v>
      </c>
      <c r="D33" s="5" t="s">
        <v>316</v>
      </c>
      <c r="E33" s="6" t="s">
        <v>317</v>
      </c>
      <c r="F33" s="5" t="s">
        <v>318</v>
      </c>
      <c r="G33" s="6" t="s">
        <v>319</v>
      </c>
      <c r="H33" s="5" t="s">
        <v>282</v>
      </c>
      <c r="I33" s="7" t="s">
        <v>67</v>
      </c>
      <c r="J33" s="8" t="n">
        <v>4</v>
      </c>
      <c r="K33" s="9" t="n">
        <v>1328.56</v>
      </c>
      <c r="L33" s="10"/>
      <c r="M33" s="10" t="n">
        <v>379.13</v>
      </c>
      <c r="N33" s="5" t="s">
        <v>68</v>
      </c>
      <c r="O33" s="5" t="n">
        <f aca="false">COUNTIF('Full Log'!$A:$A,$A33)</f>
        <v>8</v>
      </c>
      <c r="P33" s="5" t="s">
        <v>95</v>
      </c>
      <c r="Q33" s="5" t="s">
        <v>104</v>
      </c>
      <c r="R33" s="6" t="s">
        <v>320</v>
      </c>
    </row>
    <row r="34" customFormat="false" ht="35.05" hidden="false" customHeight="false" outlineLevel="0" collapsed="false">
      <c r="A34" s="5" t="s">
        <v>321</v>
      </c>
      <c r="B34" s="5" t="s">
        <v>322</v>
      </c>
      <c r="C34" s="6" t="s">
        <v>323</v>
      </c>
      <c r="D34" s="5" t="s">
        <v>324</v>
      </c>
      <c r="E34" s="6" t="s">
        <v>325</v>
      </c>
      <c r="F34" s="5" t="s">
        <v>326</v>
      </c>
      <c r="G34" s="6" t="s">
        <v>327</v>
      </c>
      <c r="H34" s="5" t="s">
        <v>282</v>
      </c>
      <c r="I34" s="7" t="s">
        <v>67</v>
      </c>
      <c r="J34" s="8" t="n">
        <v>54</v>
      </c>
      <c r="K34" s="9" t="n">
        <v>7700.99</v>
      </c>
      <c r="L34" s="10" t="n">
        <v>15000</v>
      </c>
      <c r="M34" s="10" t="n">
        <v>249.89</v>
      </c>
      <c r="N34" s="5" t="s">
        <v>68</v>
      </c>
      <c r="O34" s="5" t="n">
        <f aca="false">COUNTIF('Full Log'!$A:$A,$A34)</f>
        <v>10</v>
      </c>
      <c r="P34" s="5" t="s">
        <v>114</v>
      </c>
      <c r="Q34" s="5" t="s">
        <v>224</v>
      </c>
      <c r="R34" s="6" t="s">
        <v>289</v>
      </c>
    </row>
    <row r="35" customFormat="false" ht="35.05" hidden="false" customHeight="false" outlineLevel="0" collapsed="false">
      <c r="A35" s="5" t="s">
        <v>328</v>
      </c>
      <c r="B35" s="5" t="s">
        <v>329</v>
      </c>
      <c r="C35" s="6" t="s">
        <v>330</v>
      </c>
      <c r="D35" s="5" t="s">
        <v>331</v>
      </c>
      <c r="E35" s="6" t="s">
        <v>332</v>
      </c>
      <c r="F35" s="5" t="s">
        <v>333</v>
      </c>
      <c r="G35" s="6" t="s">
        <v>334</v>
      </c>
      <c r="H35" s="5" t="s">
        <v>282</v>
      </c>
      <c r="I35" s="7" t="s">
        <v>67</v>
      </c>
      <c r="J35" s="8" t="n">
        <v>3</v>
      </c>
      <c r="K35" s="9" t="n">
        <v>1604.56</v>
      </c>
      <c r="L35" s="10"/>
      <c r="M35" s="10" t="n">
        <v>562.38</v>
      </c>
      <c r="N35" s="5" t="s">
        <v>68</v>
      </c>
      <c r="O35" s="5" t="n">
        <f aca="false">COUNTIF('Full Log'!$A:$A,$A35)</f>
        <v>7</v>
      </c>
      <c r="P35" s="5" t="s">
        <v>114</v>
      </c>
      <c r="Q35" s="5" t="s">
        <v>95</v>
      </c>
      <c r="R35" s="6" t="s">
        <v>123</v>
      </c>
    </row>
    <row r="36" customFormat="false" ht="79.85" hidden="false" customHeight="false" outlineLevel="0" collapsed="false">
      <c r="A36" s="5" t="s">
        <v>335</v>
      </c>
      <c r="B36" s="5" t="s">
        <v>336</v>
      </c>
      <c r="C36" s="6" t="s">
        <v>337</v>
      </c>
      <c r="D36" s="5" t="s">
        <v>338</v>
      </c>
      <c r="E36" s="6" t="s">
        <v>339</v>
      </c>
      <c r="F36" s="5" t="s">
        <v>340</v>
      </c>
      <c r="G36" s="6" t="s">
        <v>341</v>
      </c>
      <c r="H36" s="5" t="s">
        <v>282</v>
      </c>
      <c r="I36" s="11"/>
      <c r="J36" s="8"/>
      <c r="K36" s="9"/>
      <c r="L36" s="10"/>
      <c r="M36" s="10" t="n">
        <v>165.68</v>
      </c>
      <c r="N36" s="5" t="s">
        <v>68</v>
      </c>
      <c r="O36" s="5" t="n">
        <f aca="false">COUNTIF('Full Log'!$A:$A,$A36)</f>
        <v>4</v>
      </c>
      <c r="P36" s="5" t="s">
        <v>114</v>
      </c>
      <c r="Q36" s="5" t="s">
        <v>265</v>
      </c>
      <c r="R36" s="6" t="s">
        <v>342</v>
      </c>
    </row>
    <row r="37" customFormat="false" ht="68.65" hidden="false" customHeight="false" outlineLevel="0" collapsed="false">
      <c r="A37" s="5" t="s">
        <v>343</v>
      </c>
      <c r="B37" s="5" t="s">
        <v>344</v>
      </c>
      <c r="C37" s="6" t="s">
        <v>345</v>
      </c>
      <c r="D37" s="5" t="s">
        <v>346</v>
      </c>
      <c r="E37" s="6" t="s">
        <v>271</v>
      </c>
      <c r="F37" s="5" t="s">
        <v>347</v>
      </c>
      <c r="G37" s="6" t="s">
        <v>348</v>
      </c>
      <c r="H37" s="5" t="s">
        <v>282</v>
      </c>
      <c r="I37" s="7" t="s">
        <v>67</v>
      </c>
      <c r="J37" s="8" t="n">
        <v>9.5</v>
      </c>
      <c r="K37" s="9" t="n">
        <v>7610.18</v>
      </c>
      <c r="L37" s="10" t="n">
        <v>20000</v>
      </c>
      <c r="M37" s="10" t="n">
        <v>890.17</v>
      </c>
      <c r="N37" s="5" t="s">
        <v>68</v>
      </c>
      <c r="O37" s="5" t="n">
        <f aca="false">COUNTIF('Full Log'!$A:$A,$A37)</f>
        <v>20</v>
      </c>
      <c r="P37" s="5" t="s">
        <v>156</v>
      </c>
      <c r="Q37" s="5" t="s">
        <v>104</v>
      </c>
      <c r="R37" s="6" t="s">
        <v>320</v>
      </c>
    </row>
    <row r="38" customFormat="false" ht="46.25" hidden="false" customHeight="false" outlineLevel="0" collapsed="false">
      <c r="A38" s="5" t="s">
        <v>349</v>
      </c>
      <c r="B38" s="5" t="s">
        <v>350</v>
      </c>
      <c r="C38" s="6" t="s">
        <v>351</v>
      </c>
      <c r="D38" s="5" t="s">
        <v>352</v>
      </c>
      <c r="E38" s="6" t="s">
        <v>353</v>
      </c>
      <c r="F38" s="5" t="s">
        <v>354</v>
      </c>
      <c r="G38" s="6" t="s">
        <v>355</v>
      </c>
      <c r="H38" s="5" t="s">
        <v>282</v>
      </c>
      <c r="I38" s="11"/>
      <c r="J38" s="8"/>
      <c r="K38" s="9"/>
      <c r="L38" s="10"/>
      <c r="M38" s="10" t="n">
        <v>7.59</v>
      </c>
      <c r="N38" s="5" t="s">
        <v>104</v>
      </c>
      <c r="O38" s="5" t="n">
        <f aca="false">COUNTIF('Full Log'!$A:$A,$A38)</f>
        <v>6</v>
      </c>
      <c r="P38" s="5" t="s">
        <v>104</v>
      </c>
      <c r="Q38" s="5" t="s">
        <v>68</v>
      </c>
      <c r="R38" s="6" t="s">
        <v>356</v>
      </c>
    </row>
    <row r="39" customFormat="false" ht="35.05" hidden="false" customHeight="false" outlineLevel="0" collapsed="false">
      <c r="A39" s="5" t="s">
        <v>357</v>
      </c>
      <c r="B39" s="5" t="s">
        <v>358</v>
      </c>
      <c r="C39" s="6" t="s">
        <v>359</v>
      </c>
      <c r="D39" s="5" t="s">
        <v>360</v>
      </c>
      <c r="E39" s="6" t="s">
        <v>361</v>
      </c>
      <c r="F39" s="5" t="s">
        <v>362</v>
      </c>
      <c r="G39" s="6" t="s">
        <v>363</v>
      </c>
      <c r="H39" s="5" t="s">
        <v>282</v>
      </c>
      <c r="I39" s="11"/>
      <c r="J39" s="8"/>
      <c r="K39" s="9"/>
      <c r="L39" s="10"/>
      <c r="M39" s="10" t="n">
        <v>8.91</v>
      </c>
      <c r="N39" s="5" t="s">
        <v>68</v>
      </c>
      <c r="O39" s="5" t="n">
        <f aca="false">COUNTIF('Full Log'!$A:$A,$A39)</f>
        <v>12</v>
      </c>
      <c r="P39" s="5" t="s">
        <v>224</v>
      </c>
      <c r="Q39" s="5" t="s">
        <v>104</v>
      </c>
      <c r="R39" s="6" t="s">
        <v>364</v>
      </c>
    </row>
    <row r="40" customFormat="false" ht="57.45" hidden="false" customHeight="false" outlineLevel="0" collapsed="false">
      <c r="A40" s="5" t="s">
        <v>365</v>
      </c>
      <c r="B40" s="5" t="s">
        <v>366</v>
      </c>
      <c r="C40" s="6" t="s">
        <v>367</v>
      </c>
      <c r="D40" s="5" t="s">
        <v>324</v>
      </c>
      <c r="E40" s="6" t="s">
        <v>230</v>
      </c>
      <c r="F40" s="5" t="s">
        <v>368</v>
      </c>
      <c r="G40" s="6" t="s">
        <v>369</v>
      </c>
      <c r="H40" s="5" t="s">
        <v>370</v>
      </c>
      <c r="I40" s="11"/>
      <c r="J40" s="8"/>
      <c r="K40" s="9"/>
      <c r="L40" s="10"/>
      <c r="M40" s="10" t="n">
        <v>11.85</v>
      </c>
      <c r="N40" s="5" t="s">
        <v>68</v>
      </c>
      <c r="O40" s="5" t="n">
        <f aca="false">COUNTIF('Full Log'!$A:$A,$A40)</f>
        <v>5</v>
      </c>
      <c r="P40" s="5" t="s">
        <v>224</v>
      </c>
      <c r="Q40" s="5" t="s">
        <v>138</v>
      </c>
      <c r="R40" s="6" t="s">
        <v>371</v>
      </c>
    </row>
    <row r="41" customFormat="false" ht="102.2" hidden="false" customHeight="false" outlineLevel="0" collapsed="false">
      <c r="A41" s="5" t="s">
        <v>372</v>
      </c>
      <c r="B41" s="5" t="s">
        <v>373</v>
      </c>
      <c r="C41" s="6" t="s">
        <v>374</v>
      </c>
      <c r="D41" s="5" t="s">
        <v>375</v>
      </c>
      <c r="E41" s="6" t="s">
        <v>230</v>
      </c>
      <c r="F41" s="5" t="s">
        <v>376</v>
      </c>
      <c r="G41" s="6" t="s">
        <v>377</v>
      </c>
      <c r="H41" s="5" t="s">
        <v>370</v>
      </c>
      <c r="I41" s="11"/>
      <c r="J41" s="8"/>
      <c r="K41" s="9"/>
      <c r="L41" s="10"/>
      <c r="M41" s="10" t="n">
        <v>41.87</v>
      </c>
      <c r="N41" s="5" t="s">
        <v>68</v>
      </c>
      <c r="O41" s="5" t="n">
        <f aca="false">COUNTIF('Full Log'!$A:$A,$A41)</f>
        <v>1</v>
      </c>
      <c r="P41" s="5" t="s">
        <v>378</v>
      </c>
      <c r="Q41" s="5" t="s">
        <v>378</v>
      </c>
      <c r="R41" s="6" t="s">
        <v>379</v>
      </c>
    </row>
    <row r="42" customFormat="false" ht="35.05" hidden="false" customHeight="false" outlineLevel="0" collapsed="false">
      <c r="A42" s="5" t="s">
        <v>380</v>
      </c>
      <c r="B42" s="5" t="s">
        <v>381</v>
      </c>
      <c r="C42" s="6" t="s">
        <v>382</v>
      </c>
      <c r="D42" s="5" t="s">
        <v>324</v>
      </c>
      <c r="E42" s="6" t="s">
        <v>383</v>
      </c>
      <c r="F42" s="5" t="s">
        <v>384</v>
      </c>
      <c r="G42" s="6" t="s">
        <v>385</v>
      </c>
      <c r="H42" s="5" t="s">
        <v>370</v>
      </c>
      <c r="I42" s="11"/>
      <c r="J42" s="8"/>
      <c r="K42" s="9"/>
      <c r="L42" s="10"/>
      <c r="M42" s="10" t="n">
        <v>3.94</v>
      </c>
      <c r="N42" s="5" t="s">
        <v>104</v>
      </c>
      <c r="O42" s="5" t="n">
        <f aca="false">COUNTIF('Full Log'!$A:$A,$A42)</f>
        <v>7</v>
      </c>
      <c r="P42" s="5" t="s">
        <v>114</v>
      </c>
      <c r="Q42" s="5" t="s">
        <v>138</v>
      </c>
      <c r="R42" s="6" t="s">
        <v>386</v>
      </c>
    </row>
    <row r="43" customFormat="false" ht="113.4" hidden="false" customHeight="false" outlineLevel="0" collapsed="false">
      <c r="A43" s="5" t="s">
        <v>387</v>
      </c>
      <c r="B43" s="5" t="s">
        <v>388</v>
      </c>
      <c r="C43" s="6" t="s">
        <v>389</v>
      </c>
      <c r="D43" s="5" t="s">
        <v>331</v>
      </c>
      <c r="E43" s="6" t="s">
        <v>390</v>
      </c>
      <c r="F43" s="5" t="s">
        <v>391</v>
      </c>
      <c r="G43" s="6" t="s">
        <v>392</v>
      </c>
      <c r="H43" s="5" t="s">
        <v>370</v>
      </c>
      <c r="I43" s="11"/>
      <c r="J43" s="8"/>
      <c r="K43" s="9"/>
      <c r="L43" s="10"/>
      <c r="M43" s="10" t="n">
        <v>250.05</v>
      </c>
      <c r="N43" s="5" t="s">
        <v>68</v>
      </c>
      <c r="O43" s="5" t="n">
        <f aca="false">COUNTIF('Full Log'!$A:$A,$A43)</f>
        <v>1</v>
      </c>
      <c r="P43" s="5" t="s">
        <v>393</v>
      </c>
      <c r="Q43" s="5" t="s">
        <v>393</v>
      </c>
      <c r="R43" s="6" t="s">
        <v>394</v>
      </c>
    </row>
    <row r="44" customFormat="false" ht="35.05" hidden="false" customHeight="false" outlineLevel="0" collapsed="false">
      <c r="A44" s="5" t="s">
        <v>395</v>
      </c>
      <c r="B44" s="5" t="s">
        <v>396</v>
      </c>
      <c r="C44" s="6" t="s">
        <v>397</v>
      </c>
      <c r="D44" s="5"/>
      <c r="E44" s="6" t="s">
        <v>398</v>
      </c>
      <c r="F44" s="5" t="s">
        <v>399</v>
      </c>
      <c r="G44" s="6" t="s">
        <v>400</v>
      </c>
      <c r="H44" s="5" t="s">
        <v>370</v>
      </c>
      <c r="I44" s="11"/>
      <c r="J44" s="8"/>
      <c r="K44" s="9"/>
      <c r="L44" s="10"/>
      <c r="M44" s="10" t="n">
        <v>5.47</v>
      </c>
      <c r="N44" s="5" t="s">
        <v>95</v>
      </c>
      <c r="O44" s="5" t="n">
        <f aca="false">COUNTIF('Full Log'!$A:$A,$A44)</f>
        <v>0</v>
      </c>
      <c r="P44" s="5"/>
      <c r="Q44" s="5"/>
      <c r="R44" s="6" t="s">
        <v>172</v>
      </c>
    </row>
    <row r="45" customFormat="false" ht="79.85" hidden="false" customHeight="false" outlineLevel="0" collapsed="false">
      <c r="A45" s="5" t="s">
        <v>401</v>
      </c>
      <c r="B45" s="5" t="s">
        <v>402</v>
      </c>
      <c r="C45" s="6" t="s">
        <v>403</v>
      </c>
      <c r="D45" s="5" t="s">
        <v>404</v>
      </c>
      <c r="E45" s="6" t="s">
        <v>398</v>
      </c>
      <c r="F45" s="5" t="s">
        <v>405</v>
      </c>
      <c r="G45" s="6" t="s">
        <v>406</v>
      </c>
      <c r="H45" s="5" t="s">
        <v>370</v>
      </c>
      <c r="I45" s="7" t="s">
        <v>67</v>
      </c>
      <c r="J45" s="8" t="n">
        <v>10</v>
      </c>
      <c r="K45" s="9" t="n">
        <v>4304.62</v>
      </c>
      <c r="L45" s="10" t="n">
        <v>10000</v>
      </c>
      <c r="M45" s="10" t="n">
        <v>328.58</v>
      </c>
      <c r="N45" s="5" t="s">
        <v>68</v>
      </c>
      <c r="O45" s="5" t="n">
        <f aca="false">COUNTIF('Full Log'!$A:$A,$A45)</f>
        <v>7</v>
      </c>
      <c r="P45" s="5" t="s">
        <v>156</v>
      </c>
      <c r="Q45" s="5" t="s">
        <v>393</v>
      </c>
      <c r="R45" s="6" t="s">
        <v>407</v>
      </c>
    </row>
    <row r="46" customFormat="false" ht="35.05" hidden="false" customHeight="false" outlineLevel="0" collapsed="false">
      <c r="A46" s="5" t="s">
        <v>408</v>
      </c>
      <c r="B46" s="5" t="s">
        <v>409</v>
      </c>
      <c r="C46" s="6" t="s">
        <v>410</v>
      </c>
      <c r="D46" s="5" t="s">
        <v>411</v>
      </c>
      <c r="E46" s="6" t="s">
        <v>412</v>
      </c>
      <c r="F46" s="5" t="s">
        <v>413</v>
      </c>
      <c r="G46" s="6" t="s">
        <v>414</v>
      </c>
      <c r="H46" s="5" t="s">
        <v>415</v>
      </c>
      <c r="I46" s="7" t="s">
        <v>67</v>
      </c>
      <c r="J46" s="8" t="n">
        <v>62</v>
      </c>
      <c r="K46" s="9" t="n">
        <v>4067.62</v>
      </c>
      <c r="L46" s="10" t="n">
        <v>10000</v>
      </c>
      <c r="M46" s="10" t="n">
        <v>66.89</v>
      </c>
      <c r="N46" s="5" t="s">
        <v>68</v>
      </c>
      <c r="O46" s="5" t="n">
        <f aca="false">COUNTIF('Full Log'!$A:$A,$A46)</f>
        <v>1</v>
      </c>
      <c r="P46" s="5" t="s">
        <v>114</v>
      </c>
      <c r="Q46" s="5" t="s">
        <v>114</v>
      </c>
      <c r="R46" s="6" t="s">
        <v>416</v>
      </c>
    </row>
    <row r="47" customFormat="false" ht="46.25" hidden="false" customHeight="false" outlineLevel="0" collapsed="false">
      <c r="A47" s="5" t="s">
        <v>417</v>
      </c>
      <c r="B47" s="5" t="s">
        <v>418</v>
      </c>
      <c r="C47" s="6" t="s">
        <v>419</v>
      </c>
      <c r="D47" s="5" t="s">
        <v>152</v>
      </c>
      <c r="E47" s="6" t="s">
        <v>420</v>
      </c>
      <c r="F47" s="5" t="s">
        <v>421</v>
      </c>
      <c r="G47" s="6" t="s">
        <v>422</v>
      </c>
      <c r="H47" s="5" t="s">
        <v>415</v>
      </c>
      <c r="I47" s="7" t="s">
        <v>67</v>
      </c>
      <c r="J47" s="8" t="n">
        <v>38</v>
      </c>
      <c r="K47" s="9" t="n">
        <v>16381.68</v>
      </c>
      <c r="L47" s="10" t="n">
        <v>20000</v>
      </c>
      <c r="M47" s="10" t="n">
        <v>378.81</v>
      </c>
      <c r="N47" s="5" t="s">
        <v>68</v>
      </c>
      <c r="O47" s="5" t="n">
        <f aca="false">COUNTIF('Full Log'!$A:$A,$A47)</f>
        <v>33</v>
      </c>
      <c r="P47" s="5" t="s">
        <v>69</v>
      </c>
      <c r="Q47" s="5" t="s">
        <v>393</v>
      </c>
      <c r="R47" s="6" t="s">
        <v>423</v>
      </c>
    </row>
    <row r="48" customFormat="false" ht="68.65" hidden="false" customHeight="false" outlineLevel="0" collapsed="false">
      <c r="A48" s="5" t="s">
        <v>424</v>
      </c>
      <c r="B48" s="5" t="s">
        <v>425</v>
      </c>
      <c r="C48" s="6" t="s">
        <v>426</v>
      </c>
      <c r="D48" s="5" t="s">
        <v>346</v>
      </c>
      <c r="E48" s="6" t="s">
        <v>427</v>
      </c>
      <c r="F48" s="5" t="s">
        <v>428</v>
      </c>
      <c r="G48" s="6" t="s">
        <v>429</v>
      </c>
      <c r="H48" s="5" t="s">
        <v>415</v>
      </c>
      <c r="I48" s="11"/>
      <c r="J48" s="8"/>
      <c r="K48" s="9"/>
      <c r="L48" s="10"/>
      <c r="M48" s="10" t="n">
        <v>43.35</v>
      </c>
      <c r="N48" s="5" t="s">
        <v>68</v>
      </c>
      <c r="O48" s="5" t="n">
        <f aca="false">COUNTIF('Full Log'!$A:$A,$A48)</f>
        <v>3</v>
      </c>
      <c r="P48" s="5" t="s">
        <v>131</v>
      </c>
      <c r="Q48" s="5" t="s">
        <v>296</v>
      </c>
      <c r="R48" s="6" t="s">
        <v>430</v>
      </c>
    </row>
    <row r="49" customFormat="false" ht="57.45" hidden="false" customHeight="false" outlineLevel="0" collapsed="false">
      <c r="A49" s="5" t="s">
        <v>431</v>
      </c>
      <c r="B49" s="5" t="s">
        <v>432</v>
      </c>
      <c r="C49" s="6" t="s">
        <v>433</v>
      </c>
      <c r="D49" s="5" t="s">
        <v>434</v>
      </c>
      <c r="E49" s="6" t="s">
        <v>435</v>
      </c>
      <c r="F49" s="5" t="s">
        <v>436</v>
      </c>
      <c r="G49" s="6" t="s">
        <v>437</v>
      </c>
      <c r="H49" s="5" t="s">
        <v>415</v>
      </c>
      <c r="I49" s="11"/>
      <c r="J49" s="8"/>
      <c r="K49" s="9"/>
      <c r="L49" s="10"/>
      <c r="M49" s="10" t="n">
        <v>441.04</v>
      </c>
      <c r="N49" s="5" t="s">
        <v>68</v>
      </c>
      <c r="O49" s="5" t="n">
        <f aca="false">COUNTIF('Full Log'!$A:$A,$A49)</f>
        <v>4</v>
      </c>
      <c r="P49" s="5" t="s">
        <v>131</v>
      </c>
      <c r="Q49" s="5" t="s">
        <v>265</v>
      </c>
      <c r="R49" s="6" t="s">
        <v>438</v>
      </c>
    </row>
    <row r="50" customFormat="false" ht="79.85" hidden="false" customHeight="false" outlineLevel="0" collapsed="false">
      <c r="A50" s="5" t="s">
        <v>439</v>
      </c>
      <c r="B50" s="5" t="s">
        <v>440</v>
      </c>
      <c r="C50" s="6" t="s">
        <v>441</v>
      </c>
      <c r="D50" s="5" t="s">
        <v>442</v>
      </c>
      <c r="E50" s="6" t="s">
        <v>443</v>
      </c>
      <c r="F50" s="5" t="s">
        <v>444</v>
      </c>
      <c r="G50" s="6" t="s">
        <v>445</v>
      </c>
      <c r="H50" s="5" t="s">
        <v>415</v>
      </c>
      <c r="I50" s="7" t="s">
        <v>67</v>
      </c>
      <c r="J50" s="8" t="n">
        <v>10</v>
      </c>
      <c r="K50" s="9" t="n">
        <v>3567.37</v>
      </c>
      <c r="L50" s="10" t="n">
        <v>10000</v>
      </c>
      <c r="M50" s="10" t="n">
        <v>379.31</v>
      </c>
      <c r="N50" s="5" t="s">
        <v>68</v>
      </c>
      <c r="O50" s="5" t="n">
        <f aca="false">COUNTIF('Full Log'!$A:$A,$A50)</f>
        <v>9</v>
      </c>
      <c r="P50" s="5" t="s">
        <v>156</v>
      </c>
      <c r="Q50" s="5" t="s">
        <v>264</v>
      </c>
      <c r="R50" s="6" t="s">
        <v>446</v>
      </c>
    </row>
    <row r="51" customFormat="false" ht="35.05" hidden="false" customHeight="false" outlineLevel="0" collapsed="false">
      <c r="A51" s="5" t="s">
        <v>447</v>
      </c>
      <c r="B51" s="5" t="s">
        <v>448</v>
      </c>
      <c r="C51" s="6" t="s">
        <v>449</v>
      </c>
      <c r="D51" s="5" t="s">
        <v>450</v>
      </c>
      <c r="E51" s="6" t="s">
        <v>451</v>
      </c>
      <c r="F51" s="5" t="s">
        <v>452</v>
      </c>
      <c r="G51" s="6" t="s">
        <v>453</v>
      </c>
      <c r="H51" s="5" t="s">
        <v>454</v>
      </c>
      <c r="I51" s="11"/>
      <c r="J51" s="8"/>
      <c r="K51" s="9"/>
      <c r="L51" s="10"/>
      <c r="M51" s="10" t="n">
        <v>71.94</v>
      </c>
      <c r="N51" s="5" t="s">
        <v>68</v>
      </c>
      <c r="O51" s="5" t="n">
        <f aca="false">COUNTIF('Full Log'!$A:$A,$A51)</f>
        <v>12</v>
      </c>
      <c r="P51" s="5" t="s">
        <v>114</v>
      </c>
      <c r="Q51" s="5" t="s">
        <v>265</v>
      </c>
      <c r="R51" s="6" t="s">
        <v>455</v>
      </c>
    </row>
    <row r="52" customFormat="false" ht="46.25" hidden="false" customHeight="false" outlineLevel="0" collapsed="false">
      <c r="A52" s="5" t="s">
        <v>456</v>
      </c>
      <c r="B52" s="5" t="s">
        <v>457</v>
      </c>
      <c r="C52" s="6" t="s">
        <v>458</v>
      </c>
      <c r="D52" s="5" t="s">
        <v>459</v>
      </c>
      <c r="E52" s="6" t="s">
        <v>460</v>
      </c>
      <c r="F52" s="5" t="s">
        <v>461</v>
      </c>
      <c r="G52" s="6" t="s">
        <v>462</v>
      </c>
      <c r="H52" s="5" t="s">
        <v>454</v>
      </c>
      <c r="I52" s="11"/>
      <c r="J52" s="8"/>
      <c r="K52" s="9"/>
      <c r="L52" s="10"/>
      <c r="M52" s="10" t="n">
        <v>16.4</v>
      </c>
      <c r="N52" s="5" t="s">
        <v>68</v>
      </c>
      <c r="O52" s="5" t="n">
        <f aca="false">COUNTIF('Full Log'!$A:$A,$A52)</f>
        <v>7</v>
      </c>
      <c r="P52" s="5" t="s">
        <v>296</v>
      </c>
      <c r="Q52" s="5" t="s">
        <v>378</v>
      </c>
      <c r="R52" s="6" t="s">
        <v>463</v>
      </c>
    </row>
    <row r="53" customFormat="false" ht="35.05" hidden="false" customHeight="false" outlineLevel="0" collapsed="false">
      <c r="A53" s="5" t="s">
        <v>464</v>
      </c>
      <c r="B53" s="5" t="s">
        <v>465</v>
      </c>
      <c r="C53" s="6" t="s">
        <v>466</v>
      </c>
      <c r="D53" s="5" t="s">
        <v>467</v>
      </c>
      <c r="E53" s="6" t="s">
        <v>427</v>
      </c>
      <c r="F53" s="5" t="s">
        <v>468</v>
      </c>
      <c r="G53" s="6" t="s">
        <v>469</v>
      </c>
      <c r="H53" s="5" t="s">
        <v>454</v>
      </c>
      <c r="I53" s="11"/>
      <c r="J53" s="8"/>
      <c r="K53" s="9"/>
      <c r="L53" s="10"/>
      <c r="M53" s="10" t="n">
        <v>23.93</v>
      </c>
      <c r="N53" s="5" t="s">
        <v>68</v>
      </c>
      <c r="O53" s="5" t="n">
        <f aca="false">COUNTIF('Full Log'!$A:$A,$A53)</f>
        <v>2</v>
      </c>
      <c r="P53" s="5" t="s">
        <v>95</v>
      </c>
      <c r="Q53" s="5" t="s">
        <v>95</v>
      </c>
      <c r="R53" s="6" t="s">
        <v>470</v>
      </c>
    </row>
    <row r="54" customFormat="false" ht="46.25" hidden="false" customHeight="false" outlineLevel="0" collapsed="false">
      <c r="A54" s="5" t="s">
        <v>471</v>
      </c>
      <c r="B54" s="5" t="s">
        <v>472</v>
      </c>
      <c r="C54" s="6" t="s">
        <v>473</v>
      </c>
      <c r="D54" s="5" t="s">
        <v>375</v>
      </c>
      <c r="E54" s="6" t="s">
        <v>474</v>
      </c>
      <c r="F54" s="5" t="s">
        <v>475</v>
      </c>
      <c r="G54" s="6" t="s">
        <v>476</v>
      </c>
      <c r="H54" s="5" t="s">
        <v>454</v>
      </c>
      <c r="I54" s="7" t="s">
        <v>67</v>
      </c>
      <c r="J54" s="8" t="n">
        <v>23</v>
      </c>
      <c r="K54" s="9" t="n">
        <v>1942.58</v>
      </c>
      <c r="L54" s="10" t="n">
        <v>10000</v>
      </c>
      <c r="M54" s="10" t="n">
        <v>82.83</v>
      </c>
      <c r="N54" s="5" t="s">
        <v>68</v>
      </c>
      <c r="O54" s="5" t="n">
        <f aca="false">COUNTIF('Full Log'!$A:$A,$A54)</f>
        <v>16</v>
      </c>
      <c r="P54" s="5" t="s">
        <v>131</v>
      </c>
      <c r="Q54" s="5" t="s">
        <v>70</v>
      </c>
      <c r="R54" s="6" t="s">
        <v>477</v>
      </c>
    </row>
    <row r="55" customFormat="false" ht="35.05" hidden="false" customHeight="false" outlineLevel="0" collapsed="false">
      <c r="A55" s="5" t="s">
        <v>478</v>
      </c>
      <c r="B55" s="5" t="s">
        <v>479</v>
      </c>
      <c r="C55" s="6" t="s">
        <v>480</v>
      </c>
      <c r="D55" s="5" t="s">
        <v>481</v>
      </c>
      <c r="E55" s="6" t="s">
        <v>482</v>
      </c>
      <c r="F55" s="5" t="s">
        <v>483</v>
      </c>
      <c r="G55" s="6" t="s">
        <v>484</v>
      </c>
      <c r="H55" s="5" t="s">
        <v>454</v>
      </c>
      <c r="I55" s="11"/>
      <c r="J55" s="8"/>
      <c r="K55" s="9"/>
      <c r="L55" s="10"/>
      <c r="M55" s="10" t="n">
        <v>2.24</v>
      </c>
      <c r="N55" s="5" t="s">
        <v>68</v>
      </c>
      <c r="O55" s="5" t="n">
        <f aca="false">COUNTIF('Full Log'!$A:$A,$A55)</f>
        <v>0</v>
      </c>
      <c r="P55" s="5"/>
      <c r="Q55" s="5"/>
      <c r="R55" s="6" t="s">
        <v>172</v>
      </c>
    </row>
    <row r="56" customFormat="false" ht="102.2" hidden="false" customHeight="false" outlineLevel="0" collapsed="false">
      <c r="A56" s="5" t="s">
        <v>485</v>
      </c>
      <c r="B56" s="5" t="s">
        <v>486</v>
      </c>
      <c r="C56" s="6" t="s">
        <v>487</v>
      </c>
      <c r="D56" s="5" t="s">
        <v>488</v>
      </c>
      <c r="E56" s="6" t="s">
        <v>489</v>
      </c>
      <c r="F56" s="5" t="s">
        <v>490</v>
      </c>
      <c r="G56" s="6" t="s">
        <v>491</v>
      </c>
      <c r="H56" s="5" t="s">
        <v>454</v>
      </c>
      <c r="I56" s="11"/>
      <c r="J56" s="8"/>
      <c r="K56" s="9"/>
      <c r="L56" s="10"/>
      <c r="M56" s="10" t="n">
        <v>133.11</v>
      </c>
      <c r="N56" s="5" t="s">
        <v>68</v>
      </c>
      <c r="O56" s="5" t="n">
        <f aca="false">COUNTIF('Full Log'!$A:$A,$A56)</f>
        <v>17</v>
      </c>
      <c r="P56" s="5" t="s">
        <v>114</v>
      </c>
      <c r="Q56" s="5" t="s">
        <v>104</v>
      </c>
      <c r="R56" s="6" t="s">
        <v>115</v>
      </c>
    </row>
    <row r="57" customFormat="false" ht="35.05" hidden="false" customHeight="false" outlineLevel="0" collapsed="false">
      <c r="A57" s="5" t="s">
        <v>492</v>
      </c>
      <c r="B57" s="5" t="s">
        <v>493</v>
      </c>
      <c r="C57" s="6" t="s">
        <v>494</v>
      </c>
      <c r="D57" s="5" t="s">
        <v>316</v>
      </c>
      <c r="E57" s="6" t="s">
        <v>495</v>
      </c>
      <c r="F57" s="5" t="s">
        <v>496</v>
      </c>
      <c r="G57" s="6" t="s">
        <v>497</v>
      </c>
      <c r="H57" s="5" t="s">
        <v>498</v>
      </c>
      <c r="I57" s="7" t="s">
        <v>67</v>
      </c>
      <c r="J57" s="8" t="n">
        <v>18</v>
      </c>
      <c r="K57" s="9" t="n">
        <v>3758.3</v>
      </c>
      <c r="L57" s="10" t="n">
        <v>5000</v>
      </c>
      <c r="M57" s="10" t="n">
        <v>186.73</v>
      </c>
      <c r="N57" s="5" t="s">
        <v>68</v>
      </c>
      <c r="O57" s="5" t="n">
        <f aca="false">COUNTIF('Full Log'!$A:$A,$A57)</f>
        <v>4</v>
      </c>
      <c r="P57" s="5" t="s">
        <v>69</v>
      </c>
      <c r="Q57" s="5" t="s">
        <v>131</v>
      </c>
      <c r="R57" s="6" t="s">
        <v>499</v>
      </c>
    </row>
    <row r="58" customFormat="false" ht="113.4" hidden="false" customHeight="false" outlineLevel="0" collapsed="false">
      <c r="A58" s="5" t="s">
        <v>500</v>
      </c>
      <c r="B58" s="5" t="s">
        <v>501</v>
      </c>
      <c r="C58" s="6" t="s">
        <v>502</v>
      </c>
      <c r="D58" s="5" t="s">
        <v>161</v>
      </c>
      <c r="E58" s="6" t="s">
        <v>503</v>
      </c>
      <c r="F58" s="5" t="s">
        <v>504</v>
      </c>
      <c r="G58" s="6" t="s">
        <v>505</v>
      </c>
      <c r="H58" s="5" t="s">
        <v>498</v>
      </c>
      <c r="I58" s="11"/>
      <c r="J58" s="8"/>
      <c r="K58" s="9"/>
      <c r="L58" s="10"/>
      <c r="M58" s="10" t="n">
        <v>522.46</v>
      </c>
      <c r="N58" s="5" t="s">
        <v>104</v>
      </c>
      <c r="O58" s="5" t="n">
        <f aca="false">COUNTIF('Full Log'!$A:$A,$A58)</f>
        <v>2</v>
      </c>
      <c r="P58" s="5" t="s">
        <v>68</v>
      </c>
      <c r="Q58" s="5" t="s">
        <v>68</v>
      </c>
      <c r="R58" s="6" t="s">
        <v>506</v>
      </c>
    </row>
    <row r="59" customFormat="false" ht="35.05" hidden="false" customHeight="false" outlineLevel="0" collapsed="false">
      <c r="A59" s="5" t="s">
        <v>507</v>
      </c>
      <c r="B59" s="5" t="s">
        <v>508</v>
      </c>
      <c r="C59" s="6" t="s">
        <v>509</v>
      </c>
      <c r="D59" s="5" t="s">
        <v>510</v>
      </c>
      <c r="E59" s="6" t="s">
        <v>511</v>
      </c>
      <c r="F59" s="5" t="s">
        <v>512</v>
      </c>
      <c r="G59" s="6" t="s">
        <v>513</v>
      </c>
      <c r="H59" s="5" t="s">
        <v>498</v>
      </c>
      <c r="I59" s="11"/>
      <c r="J59" s="8"/>
      <c r="K59" s="9"/>
      <c r="L59" s="10"/>
      <c r="M59" s="10" t="n">
        <v>587.95</v>
      </c>
      <c r="N59" s="5" t="s">
        <v>68</v>
      </c>
      <c r="O59" s="5" t="n">
        <f aca="false">COUNTIF('Full Log'!$A:$A,$A59)</f>
        <v>0</v>
      </c>
      <c r="P59" s="5"/>
      <c r="Q59" s="5"/>
      <c r="R59" s="6" t="s">
        <v>172</v>
      </c>
    </row>
    <row r="60" customFormat="false" ht="35.05" hidden="false" customHeight="false" outlineLevel="0" collapsed="false">
      <c r="A60" s="5" t="s">
        <v>514</v>
      </c>
      <c r="B60" s="5" t="s">
        <v>515</v>
      </c>
      <c r="C60" s="6" t="s">
        <v>516</v>
      </c>
      <c r="D60" s="5" t="s">
        <v>517</v>
      </c>
      <c r="E60" s="6" t="s">
        <v>518</v>
      </c>
      <c r="F60" s="5" t="s">
        <v>519</v>
      </c>
      <c r="G60" s="6" t="s">
        <v>520</v>
      </c>
      <c r="H60" s="5" t="s">
        <v>498</v>
      </c>
      <c r="I60" s="11"/>
      <c r="J60" s="8"/>
      <c r="K60" s="9"/>
      <c r="L60" s="10"/>
      <c r="M60" s="10" t="n">
        <v>571.58</v>
      </c>
      <c r="N60" s="5" t="s">
        <v>68</v>
      </c>
      <c r="O60" s="5" t="n">
        <f aca="false">COUNTIF('Full Log'!$A:$A,$A60)</f>
        <v>0</v>
      </c>
      <c r="P60" s="5"/>
      <c r="Q60" s="5"/>
      <c r="R60" s="6" t="s">
        <v>172</v>
      </c>
    </row>
    <row r="61" customFormat="false" ht="68.65" hidden="false" customHeight="false" outlineLevel="0" collapsed="false">
      <c r="A61" s="5" t="s">
        <v>521</v>
      </c>
      <c r="B61" s="5" t="s">
        <v>522</v>
      </c>
      <c r="C61" s="6" t="s">
        <v>523</v>
      </c>
      <c r="D61" s="5" t="s">
        <v>524</v>
      </c>
      <c r="E61" s="6" t="s">
        <v>525</v>
      </c>
      <c r="F61" s="5" t="s">
        <v>526</v>
      </c>
      <c r="G61" s="6" t="s">
        <v>527</v>
      </c>
      <c r="H61" s="5" t="s">
        <v>498</v>
      </c>
      <c r="I61" s="7" t="s">
        <v>67</v>
      </c>
      <c r="J61" s="8" t="n">
        <v>200</v>
      </c>
      <c r="K61" s="9" t="n">
        <v>2030.54</v>
      </c>
      <c r="L61" s="10"/>
      <c r="M61" s="10" t="n">
        <v>9.11</v>
      </c>
      <c r="N61" s="5" t="s">
        <v>68</v>
      </c>
      <c r="O61" s="5" t="n">
        <f aca="false">COUNTIF('Full Log'!$A:$A,$A61)</f>
        <v>20</v>
      </c>
      <c r="P61" s="5" t="s">
        <v>69</v>
      </c>
      <c r="Q61" s="5" t="s">
        <v>70</v>
      </c>
      <c r="R61" s="6" t="s">
        <v>528</v>
      </c>
    </row>
    <row r="62" customFormat="false" ht="46.25" hidden="false" customHeight="false" outlineLevel="0" collapsed="false">
      <c r="A62" s="5" t="s">
        <v>529</v>
      </c>
      <c r="B62" s="5" t="s">
        <v>530</v>
      </c>
      <c r="C62" s="6" t="s">
        <v>531</v>
      </c>
      <c r="D62" s="5" t="s">
        <v>404</v>
      </c>
      <c r="E62" s="6" t="s">
        <v>532</v>
      </c>
      <c r="F62" s="5" t="s">
        <v>533</v>
      </c>
      <c r="G62" s="6" t="s">
        <v>534</v>
      </c>
      <c r="H62" s="5" t="s">
        <v>498</v>
      </c>
      <c r="I62" s="7" t="s">
        <v>67</v>
      </c>
      <c r="J62" s="8" t="n">
        <v>40</v>
      </c>
      <c r="K62" s="9" t="n">
        <v>5533.09</v>
      </c>
      <c r="L62" s="10" t="n">
        <v>10000</v>
      </c>
      <c r="M62" s="10" t="n">
        <v>172.01</v>
      </c>
      <c r="N62" s="5" t="s">
        <v>68</v>
      </c>
      <c r="O62" s="5" t="n">
        <f aca="false">COUNTIF('Full Log'!$A:$A,$A62)</f>
        <v>10</v>
      </c>
      <c r="P62" s="5" t="s">
        <v>69</v>
      </c>
      <c r="Q62" s="5" t="s">
        <v>95</v>
      </c>
      <c r="R62" s="6" t="s">
        <v>123</v>
      </c>
    </row>
    <row r="63" customFormat="false" ht="35.05" hidden="false" customHeight="false" outlineLevel="0" collapsed="false">
      <c r="A63" s="5" t="s">
        <v>535</v>
      </c>
      <c r="B63" s="5" t="s">
        <v>536</v>
      </c>
      <c r="C63" s="6" t="s">
        <v>537</v>
      </c>
      <c r="D63" s="5" t="s">
        <v>488</v>
      </c>
      <c r="E63" s="6" t="s">
        <v>538</v>
      </c>
      <c r="F63" s="5" t="s">
        <v>539</v>
      </c>
      <c r="G63" s="6" t="s">
        <v>540</v>
      </c>
      <c r="H63" s="5" t="s">
        <v>498</v>
      </c>
      <c r="I63" s="11"/>
      <c r="J63" s="8"/>
      <c r="K63" s="9"/>
      <c r="L63" s="10"/>
      <c r="M63" s="10" t="n">
        <v>9.21</v>
      </c>
      <c r="N63" s="5" t="s">
        <v>68</v>
      </c>
      <c r="O63" s="5" t="n">
        <f aca="false">COUNTIF('Full Log'!$A:$A,$A63)</f>
        <v>0</v>
      </c>
      <c r="P63" s="5"/>
      <c r="Q63" s="5"/>
      <c r="R63" s="6" t="s">
        <v>172</v>
      </c>
    </row>
    <row r="64" customFormat="false" ht="35.05" hidden="false" customHeight="false" outlineLevel="0" collapsed="false">
      <c r="A64" s="5" t="s">
        <v>541</v>
      </c>
      <c r="B64" s="5" t="s">
        <v>542</v>
      </c>
      <c r="C64" s="6" t="s">
        <v>543</v>
      </c>
      <c r="D64" s="5" t="s">
        <v>544</v>
      </c>
      <c r="E64" s="6" t="s">
        <v>495</v>
      </c>
      <c r="F64" s="5" t="s">
        <v>545</v>
      </c>
      <c r="G64" s="6" t="s">
        <v>546</v>
      </c>
      <c r="H64" s="5" t="s">
        <v>498</v>
      </c>
      <c r="I64" s="11"/>
      <c r="J64" s="8"/>
      <c r="K64" s="9"/>
      <c r="L64" s="10"/>
      <c r="M64" s="10" t="n">
        <v>223.03</v>
      </c>
      <c r="N64" s="5" t="s">
        <v>68</v>
      </c>
      <c r="O64" s="5" t="n">
        <f aca="false">COUNTIF('Full Log'!$A:$A,$A64)</f>
        <v>0</v>
      </c>
      <c r="P64" s="5"/>
      <c r="Q64" s="5"/>
      <c r="R64" s="6" t="s">
        <v>172</v>
      </c>
    </row>
    <row r="65" customFormat="false" ht="46.25" hidden="false" customHeight="false" outlineLevel="0" collapsed="false">
      <c r="A65" s="5" t="s">
        <v>547</v>
      </c>
      <c r="B65" s="5" t="s">
        <v>547</v>
      </c>
      <c r="C65" s="6" t="s">
        <v>548</v>
      </c>
      <c r="D65" s="5" t="s">
        <v>549</v>
      </c>
      <c r="E65" s="6" t="s">
        <v>550</v>
      </c>
      <c r="F65" s="5" t="s">
        <v>551</v>
      </c>
      <c r="G65" s="6" t="s">
        <v>552</v>
      </c>
      <c r="H65" s="5" t="s">
        <v>553</v>
      </c>
      <c r="I65" s="7" t="s">
        <v>67</v>
      </c>
      <c r="J65" s="8" t="n">
        <v>6</v>
      </c>
      <c r="K65" s="9" t="n">
        <v>1713.07</v>
      </c>
      <c r="L65" s="10"/>
      <c r="M65" s="10" t="n">
        <v>237.28</v>
      </c>
      <c r="N65" s="5" t="s">
        <v>68</v>
      </c>
      <c r="O65" s="5" t="n">
        <f aca="false">COUNTIF('Full Log'!$A:$A,$A65)</f>
        <v>8</v>
      </c>
      <c r="P65" s="5" t="s">
        <v>114</v>
      </c>
      <c r="Q65" s="5" t="s">
        <v>70</v>
      </c>
      <c r="R65" s="6" t="s">
        <v>554</v>
      </c>
    </row>
    <row r="66" customFormat="false" ht="46.25" hidden="false" customHeight="false" outlineLevel="0" collapsed="false">
      <c r="A66" s="5" t="s">
        <v>555</v>
      </c>
      <c r="B66" s="5" t="s">
        <v>556</v>
      </c>
      <c r="C66" s="6" t="s">
        <v>557</v>
      </c>
      <c r="D66" s="5" t="s">
        <v>346</v>
      </c>
      <c r="E66" s="6" t="s">
        <v>558</v>
      </c>
      <c r="F66" s="5" t="s">
        <v>559</v>
      </c>
      <c r="G66" s="6" t="s">
        <v>560</v>
      </c>
      <c r="H66" s="5" t="s">
        <v>553</v>
      </c>
      <c r="I66" s="11"/>
      <c r="J66" s="8"/>
      <c r="K66" s="9"/>
      <c r="L66" s="10"/>
      <c r="M66" s="10" t="n">
        <v>44.43</v>
      </c>
      <c r="N66" s="5" t="s">
        <v>68</v>
      </c>
      <c r="O66" s="5" t="n">
        <f aca="false">COUNTIF('Full Log'!$A:$A,$A66)</f>
        <v>16</v>
      </c>
      <c r="P66" s="5" t="s">
        <v>69</v>
      </c>
      <c r="Q66" s="5" t="s">
        <v>70</v>
      </c>
      <c r="R66" s="6" t="s">
        <v>554</v>
      </c>
    </row>
    <row r="67" customFormat="false" ht="46.25" hidden="false" customHeight="false" outlineLevel="0" collapsed="false">
      <c r="A67" s="5" t="s">
        <v>561</v>
      </c>
      <c r="B67" s="5" t="s">
        <v>562</v>
      </c>
      <c r="C67" s="6" t="s">
        <v>563</v>
      </c>
      <c r="D67" s="5" t="s">
        <v>564</v>
      </c>
      <c r="E67" s="6" t="s">
        <v>271</v>
      </c>
      <c r="F67" s="5" t="s">
        <v>565</v>
      </c>
      <c r="G67" s="6" t="s">
        <v>566</v>
      </c>
      <c r="H67" s="5" t="s">
        <v>567</v>
      </c>
      <c r="I67" s="11"/>
      <c r="J67" s="8"/>
      <c r="K67" s="9"/>
      <c r="L67" s="10"/>
      <c r="M67" s="10" t="n">
        <v>265.21</v>
      </c>
      <c r="N67" s="5" t="s">
        <v>68</v>
      </c>
      <c r="O67" s="5" t="n">
        <f aca="false">COUNTIF('Full Log'!$A:$A,$A67)</f>
        <v>9</v>
      </c>
      <c r="P67" s="5" t="s">
        <v>568</v>
      </c>
      <c r="Q67" s="5" t="s">
        <v>104</v>
      </c>
      <c r="R67" s="6" t="s">
        <v>569</v>
      </c>
    </row>
    <row r="68" customFormat="false" ht="79.85" hidden="false" customHeight="false" outlineLevel="0" collapsed="false">
      <c r="A68" s="5" t="s">
        <v>570</v>
      </c>
      <c r="B68" s="5" t="s">
        <v>571</v>
      </c>
      <c r="C68" s="6" t="s">
        <v>572</v>
      </c>
      <c r="D68" s="5" t="s">
        <v>481</v>
      </c>
      <c r="E68" s="6" t="s">
        <v>573</v>
      </c>
      <c r="F68" s="5" t="s">
        <v>574</v>
      </c>
      <c r="G68" s="6" t="s">
        <v>575</v>
      </c>
      <c r="H68" s="5" t="s">
        <v>567</v>
      </c>
      <c r="I68" s="11"/>
      <c r="J68" s="8"/>
      <c r="K68" s="9"/>
      <c r="L68" s="10"/>
      <c r="M68" s="10" t="n">
        <v>346.8</v>
      </c>
      <c r="N68" s="5" t="s">
        <v>68</v>
      </c>
      <c r="O68" s="5" t="n">
        <f aca="false">COUNTIF('Full Log'!$A:$A,$A68)</f>
        <v>10</v>
      </c>
      <c r="P68" s="5" t="s">
        <v>138</v>
      </c>
      <c r="Q68" s="5" t="s">
        <v>104</v>
      </c>
      <c r="R68" s="6" t="s">
        <v>576</v>
      </c>
    </row>
    <row r="69" customFormat="false" ht="46.25" hidden="false" customHeight="false" outlineLevel="0" collapsed="false">
      <c r="A69" s="5" t="s">
        <v>577</v>
      </c>
      <c r="B69" s="5" t="s">
        <v>578</v>
      </c>
      <c r="C69" s="6" t="s">
        <v>579</v>
      </c>
      <c r="D69" s="5" t="s">
        <v>580</v>
      </c>
      <c r="E69" s="6" t="s">
        <v>271</v>
      </c>
      <c r="F69" s="5" t="s">
        <v>581</v>
      </c>
      <c r="G69" s="6" t="s">
        <v>582</v>
      </c>
      <c r="H69" s="5" t="s">
        <v>567</v>
      </c>
      <c r="I69" s="7" t="s">
        <v>67</v>
      </c>
      <c r="J69" s="8" t="n">
        <v>6</v>
      </c>
      <c r="K69" s="9" t="n">
        <v>2007.28</v>
      </c>
      <c r="L69" s="10" t="n">
        <v>5000</v>
      </c>
      <c r="M69" s="10" t="n">
        <v>339.24</v>
      </c>
      <c r="N69" s="5" t="s">
        <v>68</v>
      </c>
      <c r="O69" s="5" t="n">
        <f aca="false">COUNTIF('Full Log'!$A:$A,$A69)</f>
        <v>13</v>
      </c>
      <c r="P69" s="5" t="s">
        <v>114</v>
      </c>
      <c r="Q69" s="5" t="s">
        <v>104</v>
      </c>
      <c r="R69" s="6" t="s">
        <v>583</v>
      </c>
    </row>
    <row r="70" customFormat="false" ht="35.05" hidden="false" customHeight="false" outlineLevel="0" collapsed="false">
      <c r="A70" s="5" t="s">
        <v>584</v>
      </c>
      <c r="B70" s="5" t="s">
        <v>585</v>
      </c>
      <c r="C70" s="6" t="s">
        <v>586</v>
      </c>
      <c r="D70" s="5" t="s">
        <v>331</v>
      </c>
      <c r="E70" s="6" t="s">
        <v>427</v>
      </c>
      <c r="F70" s="5" t="s">
        <v>587</v>
      </c>
      <c r="G70" s="6" t="s">
        <v>588</v>
      </c>
      <c r="H70" s="5" t="s">
        <v>567</v>
      </c>
      <c r="I70" s="7" t="s">
        <v>67</v>
      </c>
      <c r="J70" s="8" t="n">
        <v>21</v>
      </c>
      <c r="K70" s="9" t="n">
        <v>3741.35</v>
      </c>
      <c r="L70" s="10" t="n">
        <v>5000</v>
      </c>
      <c r="M70" s="10" t="n">
        <v>192.74</v>
      </c>
      <c r="N70" s="5" t="s">
        <v>68</v>
      </c>
      <c r="O70" s="5" t="n">
        <f aca="false">COUNTIF('Full Log'!$A:$A,$A70)</f>
        <v>20</v>
      </c>
      <c r="P70" s="5" t="s">
        <v>114</v>
      </c>
      <c r="Q70" s="5" t="s">
        <v>104</v>
      </c>
      <c r="R70" s="6" t="s">
        <v>589</v>
      </c>
    </row>
    <row r="71" customFormat="false" ht="57.45" hidden="false" customHeight="false" outlineLevel="0" collapsed="false">
      <c r="A71" s="5" t="s">
        <v>590</v>
      </c>
      <c r="B71" s="5" t="s">
        <v>591</v>
      </c>
      <c r="C71" s="6" t="s">
        <v>592</v>
      </c>
      <c r="D71" s="5" t="s">
        <v>467</v>
      </c>
      <c r="E71" s="6" t="s">
        <v>593</v>
      </c>
      <c r="F71" s="5" t="s">
        <v>594</v>
      </c>
      <c r="G71" s="6" t="s">
        <v>595</v>
      </c>
      <c r="H71" s="5" t="s">
        <v>567</v>
      </c>
      <c r="I71" s="11"/>
      <c r="J71" s="8"/>
      <c r="K71" s="9"/>
      <c r="L71" s="10"/>
      <c r="M71" s="10" t="n">
        <v>233.93</v>
      </c>
      <c r="N71" s="5" t="s">
        <v>68</v>
      </c>
      <c r="O71" s="5" t="n">
        <f aca="false">COUNTIF('Full Log'!$A:$A,$A71)</f>
        <v>11</v>
      </c>
      <c r="P71" s="5" t="s">
        <v>568</v>
      </c>
      <c r="Q71" s="5" t="s">
        <v>104</v>
      </c>
      <c r="R71" s="6" t="s">
        <v>596</v>
      </c>
    </row>
    <row r="72" customFormat="false" ht="35.05" hidden="false" customHeight="false" outlineLevel="0" collapsed="false">
      <c r="A72" s="5" t="s">
        <v>597</v>
      </c>
      <c r="B72" s="5" t="s">
        <v>598</v>
      </c>
      <c r="C72" s="6" t="s">
        <v>599</v>
      </c>
      <c r="D72" s="5" t="s">
        <v>600</v>
      </c>
      <c r="E72" s="6" t="s">
        <v>593</v>
      </c>
      <c r="F72" s="5" t="s">
        <v>601</v>
      </c>
      <c r="G72" s="6" t="s">
        <v>602</v>
      </c>
      <c r="H72" s="5" t="s">
        <v>567</v>
      </c>
      <c r="I72" s="11"/>
      <c r="J72" s="8"/>
      <c r="K72" s="9"/>
      <c r="L72" s="10"/>
      <c r="M72" s="10" t="n">
        <v>396.71</v>
      </c>
      <c r="N72" s="5" t="s">
        <v>68</v>
      </c>
      <c r="O72" s="5" t="n">
        <f aca="false">COUNTIF('Full Log'!$A:$A,$A72)</f>
        <v>6</v>
      </c>
      <c r="P72" s="5" t="s">
        <v>131</v>
      </c>
      <c r="Q72" s="5" t="s">
        <v>568</v>
      </c>
      <c r="R72" s="6" t="s">
        <v>603</v>
      </c>
    </row>
    <row r="73" customFormat="false" ht="79.85" hidden="false" customHeight="false" outlineLevel="0" collapsed="false">
      <c r="A73" s="5" t="s">
        <v>604</v>
      </c>
      <c r="B73" s="5" t="s">
        <v>605</v>
      </c>
      <c r="C73" s="6" t="s">
        <v>606</v>
      </c>
      <c r="D73" s="5" t="s">
        <v>91</v>
      </c>
      <c r="E73" s="6" t="s">
        <v>293</v>
      </c>
      <c r="F73" s="5" t="s">
        <v>607</v>
      </c>
      <c r="G73" s="6" t="s">
        <v>608</v>
      </c>
      <c r="H73" s="5" t="s">
        <v>567</v>
      </c>
      <c r="I73" s="11"/>
      <c r="J73" s="8"/>
      <c r="K73" s="9"/>
      <c r="L73" s="10"/>
      <c r="M73" s="10" t="n">
        <v>124.88</v>
      </c>
      <c r="N73" s="5" t="s">
        <v>68</v>
      </c>
      <c r="O73" s="5" t="n">
        <f aca="false">COUNTIF('Full Log'!$A:$A,$A73)</f>
        <v>2</v>
      </c>
      <c r="P73" s="5" t="s">
        <v>304</v>
      </c>
      <c r="Q73" s="5" t="s">
        <v>104</v>
      </c>
      <c r="R73" s="6" t="s">
        <v>576</v>
      </c>
    </row>
    <row r="74" customFormat="false" ht="46.25" hidden="false" customHeight="false" outlineLevel="0" collapsed="false">
      <c r="A74" s="5" t="s">
        <v>609</v>
      </c>
      <c r="B74" s="5" t="s">
        <v>610</v>
      </c>
      <c r="C74" s="6" t="s">
        <v>611</v>
      </c>
      <c r="D74" s="5" t="s">
        <v>62</v>
      </c>
      <c r="E74" s="6" t="s">
        <v>398</v>
      </c>
      <c r="F74" s="5" t="s">
        <v>612</v>
      </c>
      <c r="G74" s="6" t="s">
        <v>613</v>
      </c>
      <c r="H74" s="5" t="s">
        <v>567</v>
      </c>
      <c r="I74" s="7" t="s">
        <v>67</v>
      </c>
      <c r="J74" s="8" t="n">
        <v>50</v>
      </c>
      <c r="K74" s="9" t="n">
        <v>8313.62</v>
      </c>
      <c r="L74" s="10" t="n">
        <v>10000</v>
      </c>
      <c r="M74" s="10" t="n">
        <v>147.02</v>
      </c>
      <c r="N74" s="5" t="s">
        <v>68</v>
      </c>
      <c r="O74" s="5" t="n">
        <f aca="false">COUNTIF('Full Log'!$A:$A,$A74)</f>
        <v>40</v>
      </c>
      <c r="P74" s="5" t="s">
        <v>69</v>
      </c>
      <c r="Q74" s="5" t="s">
        <v>104</v>
      </c>
      <c r="R74" s="6" t="s">
        <v>614</v>
      </c>
    </row>
    <row r="75" customFormat="false" ht="46.25" hidden="false" customHeight="false" outlineLevel="0" collapsed="false">
      <c r="A75" s="5" t="s">
        <v>615</v>
      </c>
      <c r="B75" s="5" t="s">
        <v>616</v>
      </c>
      <c r="C75" s="6" t="s">
        <v>617</v>
      </c>
      <c r="D75" s="5" t="s">
        <v>481</v>
      </c>
      <c r="E75" s="6" t="s">
        <v>618</v>
      </c>
      <c r="F75" s="5" t="s">
        <v>619</v>
      </c>
      <c r="G75" s="6" t="s">
        <v>620</v>
      </c>
      <c r="H75" s="5" t="s">
        <v>567</v>
      </c>
      <c r="I75" s="11"/>
      <c r="J75" s="8"/>
      <c r="K75" s="9"/>
      <c r="L75" s="10"/>
      <c r="M75" s="10" t="n">
        <v>330.37</v>
      </c>
      <c r="N75" s="5" t="s">
        <v>68</v>
      </c>
      <c r="O75" s="5" t="n">
        <f aca="false">COUNTIF('Full Log'!$A:$A,$A75)</f>
        <v>3</v>
      </c>
      <c r="P75" s="5" t="s">
        <v>568</v>
      </c>
      <c r="Q75" s="5" t="s">
        <v>104</v>
      </c>
      <c r="R75" s="6" t="s">
        <v>621</v>
      </c>
    </row>
    <row r="76" customFormat="false" ht="113.4" hidden="false" customHeight="false" outlineLevel="0" collapsed="false">
      <c r="A76" s="5" t="s">
        <v>622</v>
      </c>
      <c r="B76" s="5" t="s">
        <v>623</v>
      </c>
      <c r="C76" s="6" t="s">
        <v>624</v>
      </c>
      <c r="D76" s="5" t="s">
        <v>488</v>
      </c>
      <c r="E76" s="6" t="s">
        <v>625</v>
      </c>
      <c r="F76" s="5" t="s">
        <v>626</v>
      </c>
      <c r="G76" s="6" t="s">
        <v>627</v>
      </c>
      <c r="H76" s="5" t="s">
        <v>567</v>
      </c>
      <c r="I76" s="11"/>
      <c r="J76" s="8"/>
      <c r="K76" s="9"/>
      <c r="L76" s="10"/>
      <c r="M76" s="10" t="n">
        <v>149.07</v>
      </c>
      <c r="N76" s="5" t="s">
        <v>68</v>
      </c>
      <c r="O76" s="5" t="n">
        <f aca="false">COUNTIF('Full Log'!$A:$A,$A76)</f>
        <v>1</v>
      </c>
      <c r="P76" s="5" t="s">
        <v>68</v>
      </c>
      <c r="Q76" s="5" t="s">
        <v>68</v>
      </c>
      <c r="R76" s="6" t="s">
        <v>506</v>
      </c>
    </row>
    <row r="77" customFormat="false" ht="46.25" hidden="false" customHeight="false" outlineLevel="0" collapsed="false">
      <c r="A77" s="5" t="s">
        <v>628</v>
      </c>
      <c r="B77" s="5" t="s">
        <v>629</v>
      </c>
      <c r="C77" s="6" t="s">
        <v>630</v>
      </c>
      <c r="D77" s="5" t="s">
        <v>600</v>
      </c>
      <c r="E77" s="6" t="s">
        <v>631</v>
      </c>
      <c r="F77" s="5" t="s">
        <v>632</v>
      </c>
      <c r="G77" s="6" t="s">
        <v>633</v>
      </c>
      <c r="H77" s="5" t="s">
        <v>567</v>
      </c>
      <c r="I77" s="11"/>
      <c r="J77" s="8"/>
      <c r="K77" s="9"/>
      <c r="L77" s="10"/>
      <c r="M77" s="10" t="n">
        <v>217.8</v>
      </c>
      <c r="N77" s="5" t="s">
        <v>104</v>
      </c>
      <c r="O77" s="5" t="n">
        <f aca="false">COUNTIF('Full Log'!$A:$A,$A77)</f>
        <v>3</v>
      </c>
      <c r="P77" s="5" t="s">
        <v>104</v>
      </c>
      <c r="Q77" s="5" t="s">
        <v>104</v>
      </c>
      <c r="R77" s="6" t="s">
        <v>105</v>
      </c>
    </row>
    <row r="78" customFormat="false" ht="46.25" hidden="false" customHeight="false" outlineLevel="0" collapsed="false">
      <c r="A78" s="5" t="s">
        <v>634</v>
      </c>
      <c r="B78" s="5" t="s">
        <v>635</v>
      </c>
      <c r="C78" s="6" t="s">
        <v>636</v>
      </c>
      <c r="D78" s="5" t="s">
        <v>600</v>
      </c>
      <c r="E78" s="6" t="s">
        <v>593</v>
      </c>
      <c r="F78" s="5" t="s">
        <v>637</v>
      </c>
      <c r="G78" s="6" t="s">
        <v>638</v>
      </c>
      <c r="H78" s="5" t="s">
        <v>567</v>
      </c>
      <c r="I78" s="7" t="s">
        <v>67</v>
      </c>
      <c r="J78" s="8" t="n">
        <v>111</v>
      </c>
      <c r="K78" s="9" t="n">
        <v>2004.33</v>
      </c>
      <c r="L78" s="10" t="n">
        <v>5000</v>
      </c>
      <c r="M78" s="10" t="n">
        <v>27.07</v>
      </c>
      <c r="N78" s="5" t="s">
        <v>95</v>
      </c>
      <c r="O78" s="5" t="n">
        <f aca="false">COUNTIF('Full Log'!$A:$A,$A78)</f>
        <v>17</v>
      </c>
      <c r="P78" s="5" t="s">
        <v>114</v>
      </c>
      <c r="Q78" s="5" t="s">
        <v>104</v>
      </c>
      <c r="R78" s="6" t="s">
        <v>639</v>
      </c>
    </row>
    <row r="79" customFormat="false" ht="46.25" hidden="false" customHeight="false" outlineLevel="0" collapsed="false">
      <c r="A79" s="5" t="s">
        <v>640</v>
      </c>
      <c r="B79" s="5" t="s">
        <v>641</v>
      </c>
      <c r="C79" s="6" t="s">
        <v>642</v>
      </c>
      <c r="D79" s="5" t="s">
        <v>643</v>
      </c>
      <c r="E79" s="6" t="s">
        <v>644</v>
      </c>
      <c r="F79" s="5" t="s">
        <v>645</v>
      </c>
      <c r="G79" s="6" t="s">
        <v>646</v>
      </c>
      <c r="H79" s="5" t="s">
        <v>647</v>
      </c>
      <c r="I79" s="11"/>
      <c r="J79" s="8"/>
      <c r="K79" s="9"/>
      <c r="L79" s="10"/>
      <c r="M79" s="10" t="n">
        <v>87.05</v>
      </c>
      <c r="N79" s="5" t="s">
        <v>68</v>
      </c>
      <c r="O79" s="5" t="n">
        <f aca="false">COUNTIF('Full Log'!$A:$A,$A79)</f>
        <v>12</v>
      </c>
      <c r="P79" s="5" t="s">
        <v>296</v>
      </c>
      <c r="Q79" s="5" t="s">
        <v>224</v>
      </c>
      <c r="R79" s="6" t="s">
        <v>648</v>
      </c>
    </row>
    <row r="80" customFormat="false" ht="68.65" hidden="false" customHeight="false" outlineLevel="0" collapsed="false">
      <c r="A80" s="5" t="s">
        <v>649</v>
      </c>
      <c r="B80" s="5" t="s">
        <v>650</v>
      </c>
      <c r="C80" s="6" t="s">
        <v>651</v>
      </c>
      <c r="D80" s="5" t="s">
        <v>652</v>
      </c>
      <c r="E80" s="6" t="s">
        <v>653</v>
      </c>
      <c r="F80" s="5" t="s">
        <v>654</v>
      </c>
      <c r="G80" s="6" t="s">
        <v>655</v>
      </c>
      <c r="H80" s="5" t="s">
        <v>647</v>
      </c>
      <c r="I80" s="11"/>
      <c r="J80" s="8"/>
      <c r="K80" s="9"/>
      <c r="L80" s="10"/>
      <c r="M80" s="10" t="n">
        <v>274.48</v>
      </c>
      <c r="N80" s="5" t="s">
        <v>68</v>
      </c>
      <c r="O80" s="5" t="n">
        <f aca="false">COUNTIF('Full Log'!$A:$A,$A80)</f>
        <v>4</v>
      </c>
      <c r="P80" s="5" t="s">
        <v>114</v>
      </c>
      <c r="Q80" s="5" t="s">
        <v>378</v>
      </c>
      <c r="R80" s="6" t="s">
        <v>656</v>
      </c>
    </row>
    <row r="81" customFormat="false" ht="68.65" hidden="false" customHeight="false" outlineLevel="0" collapsed="false">
      <c r="A81" s="5" t="s">
        <v>657</v>
      </c>
      <c r="B81" s="5" t="s">
        <v>658</v>
      </c>
      <c r="C81" s="6" t="s">
        <v>659</v>
      </c>
      <c r="D81" s="5" t="s">
        <v>316</v>
      </c>
      <c r="E81" s="6" t="s">
        <v>660</v>
      </c>
      <c r="F81" s="5" t="s">
        <v>661</v>
      </c>
      <c r="G81" s="6" t="s">
        <v>662</v>
      </c>
      <c r="H81" s="5" t="s">
        <v>647</v>
      </c>
      <c r="I81" s="11"/>
      <c r="J81" s="8"/>
      <c r="K81" s="9"/>
      <c r="L81" s="10"/>
      <c r="M81" s="10" t="n">
        <v>105.58</v>
      </c>
      <c r="N81" s="5" t="s">
        <v>68</v>
      </c>
      <c r="O81" s="5" t="n">
        <f aca="false">COUNTIF('Full Log'!$A:$A,$A81)</f>
        <v>9</v>
      </c>
      <c r="P81" s="5" t="s">
        <v>114</v>
      </c>
      <c r="Q81" s="5" t="s">
        <v>378</v>
      </c>
      <c r="R81" s="6" t="s">
        <v>656</v>
      </c>
    </row>
    <row r="82" customFormat="false" ht="46.25" hidden="false" customHeight="false" outlineLevel="0" collapsed="false">
      <c r="A82" s="5" t="s">
        <v>663</v>
      </c>
      <c r="B82" s="5" t="s">
        <v>664</v>
      </c>
      <c r="C82" s="6" t="s">
        <v>665</v>
      </c>
      <c r="D82" s="5" t="s">
        <v>278</v>
      </c>
      <c r="E82" s="6" t="s">
        <v>666</v>
      </c>
      <c r="F82" s="5" t="s">
        <v>667</v>
      </c>
      <c r="G82" s="6" t="s">
        <v>668</v>
      </c>
      <c r="H82" s="5" t="s">
        <v>647</v>
      </c>
      <c r="I82" s="11"/>
      <c r="J82" s="8"/>
      <c r="K82" s="9"/>
      <c r="L82" s="10"/>
      <c r="M82" s="10" t="n">
        <v>152.37</v>
      </c>
      <c r="N82" s="5" t="s">
        <v>95</v>
      </c>
      <c r="O82" s="5" t="n">
        <f aca="false">COUNTIF('Full Log'!$A:$A,$A82)</f>
        <v>12</v>
      </c>
      <c r="P82" s="5" t="s">
        <v>378</v>
      </c>
      <c r="Q82" s="5" t="s">
        <v>95</v>
      </c>
      <c r="R82" s="6" t="s">
        <v>669</v>
      </c>
    </row>
    <row r="83" customFormat="false" ht="113.4" hidden="false" customHeight="false" outlineLevel="0" collapsed="false">
      <c r="A83" s="5" t="s">
        <v>670</v>
      </c>
      <c r="B83" s="5" t="s">
        <v>671</v>
      </c>
      <c r="C83" s="6" t="s">
        <v>672</v>
      </c>
      <c r="D83" s="5" t="s">
        <v>459</v>
      </c>
      <c r="E83" s="6" t="s">
        <v>673</v>
      </c>
      <c r="F83" s="5" t="s">
        <v>674</v>
      </c>
      <c r="G83" s="6" t="s">
        <v>675</v>
      </c>
      <c r="H83" s="5" t="s">
        <v>676</v>
      </c>
      <c r="I83" s="11"/>
      <c r="J83" s="8"/>
      <c r="K83" s="9"/>
      <c r="L83" s="10"/>
      <c r="M83" s="10" t="n">
        <v>53.52</v>
      </c>
      <c r="N83" s="5" t="s">
        <v>68</v>
      </c>
      <c r="O83" s="5" t="n">
        <f aca="false">COUNTIF('Full Log'!$A:$A,$A83)</f>
        <v>1</v>
      </c>
      <c r="P83" s="5" t="s">
        <v>68</v>
      </c>
      <c r="Q83" s="5" t="s">
        <v>68</v>
      </c>
      <c r="R83" s="6" t="s">
        <v>677</v>
      </c>
    </row>
    <row r="84" customFormat="false" ht="57.45" hidden="false" customHeight="false" outlineLevel="0" collapsed="false">
      <c r="A84" s="5" t="s">
        <v>678</v>
      </c>
      <c r="B84" s="5" t="s">
        <v>679</v>
      </c>
      <c r="C84" s="6" t="s">
        <v>680</v>
      </c>
      <c r="D84" s="5" t="s">
        <v>481</v>
      </c>
      <c r="E84" s="6" t="s">
        <v>427</v>
      </c>
      <c r="F84" s="5" t="s">
        <v>681</v>
      </c>
      <c r="G84" s="6" t="s">
        <v>682</v>
      </c>
      <c r="H84" s="5" t="s">
        <v>676</v>
      </c>
      <c r="I84" s="11"/>
      <c r="J84" s="8"/>
      <c r="K84" s="9"/>
      <c r="L84" s="10"/>
      <c r="M84" s="10" t="n">
        <v>80.08</v>
      </c>
      <c r="N84" s="5" t="s">
        <v>104</v>
      </c>
      <c r="O84" s="5" t="n">
        <f aca="false">COUNTIF('Full Log'!$A:$A,$A84)</f>
        <v>5</v>
      </c>
      <c r="P84" s="5" t="s">
        <v>138</v>
      </c>
      <c r="Q84" s="5" t="s">
        <v>95</v>
      </c>
      <c r="R84" s="6" t="s">
        <v>683</v>
      </c>
    </row>
    <row r="85" customFormat="false" ht="68.65" hidden="false" customHeight="false" outlineLevel="0" collapsed="false">
      <c r="A85" s="5" t="s">
        <v>684</v>
      </c>
      <c r="B85" s="5" t="s">
        <v>685</v>
      </c>
      <c r="C85" s="6" t="s">
        <v>686</v>
      </c>
      <c r="D85" s="5" t="s">
        <v>643</v>
      </c>
      <c r="E85" s="6" t="s">
        <v>687</v>
      </c>
      <c r="F85" s="5" t="s">
        <v>688</v>
      </c>
      <c r="G85" s="6" t="s">
        <v>689</v>
      </c>
      <c r="H85" s="5" t="s">
        <v>676</v>
      </c>
      <c r="I85" s="11"/>
      <c r="J85" s="8"/>
      <c r="K85" s="9"/>
      <c r="L85" s="10"/>
      <c r="M85" s="10" t="n">
        <v>259.24</v>
      </c>
      <c r="N85" s="5" t="s">
        <v>68</v>
      </c>
      <c r="O85" s="5" t="n">
        <f aca="false">COUNTIF('Full Log'!$A:$A,$A85)</f>
        <v>10</v>
      </c>
      <c r="P85" s="5" t="s">
        <v>296</v>
      </c>
      <c r="Q85" s="5" t="s">
        <v>378</v>
      </c>
      <c r="R85" s="6" t="s">
        <v>690</v>
      </c>
    </row>
    <row r="86" customFormat="false" ht="46.25" hidden="false" customHeight="false" outlineLevel="0" collapsed="false">
      <c r="A86" s="5" t="s">
        <v>691</v>
      </c>
      <c r="B86" s="5" t="s">
        <v>692</v>
      </c>
      <c r="C86" s="6" t="s">
        <v>693</v>
      </c>
      <c r="D86" s="5" t="s">
        <v>346</v>
      </c>
      <c r="E86" s="6" t="s">
        <v>653</v>
      </c>
      <c r="F86" s="5" t="s">
        <v>694</v>
      </c>
      <c r="G86" s="6" t="s">
        <v>695</v>
      </c>
      <c r="H86" s="5" t="s">
        <v>676</v>
      </c>
      <c r="I86" s="11"/>
      <c r="J86" s="8"/>
      <c r="K86" s="9"/>
      <c r="L86" s="10"/>
      <c r="M86" s="10" t="n">
        <v>52.05</v>
      </c>
      <c r="N86" s="5" t="s">
        <v>68</v>
      </c>
      <c r="O86" s="5" t="n">
        <f aca="false">COUNTIF('Full Log'!$A:$A,$A86)</f>
        <v>6</v>
      </c>
      <c r="P86" s="5" t="s">
        <v>378</v>
      </c>
      <c r="Q86" s="5" t="s">
        <v>265</v>
      </c>
      <c r="R86" s="6" t="s">
        <v>648</v>
      </c>
    </row>
    <row r="87" customFormat="false" ht="113.4" hidden="false" customHeight="false" outlineLevel="0" collapsed="false">
      <c r="A87" s="5" t="s">
        <v>696</v>
      </c>
      <c r="B87" s="5" t="s">
        <v>697</v>
      </c>
      <c r="C87" s="6" t="s">
        <v>698</v>
      </c>
      <c r="D87" s="5" t="s">
        <v>83</v>
      </c>
      <c r="E87" s="6" t="s">
        <v>699</v>
      </c>
      <c r="F87" s="5" t="s">
        <v>574</v>
      </c>
      <c r="G87" s="6" t="s">
        <v>700</v>
      </c>
      <c r="H87" s="5" t="s">
        <v>676</v>
      </c>
      <c r="I87" s="11"/>
      <c r="J87" s="8"/>
      <c r="K87" s="9"/>
      <c r="L87" s="10"/>
      <c r="M87" s="10" t="n">
        <v>80.21</v>
      </c>
      <c r="N87" s="5" t="s">
        <v>104</v>
      </c>
      <c r="O87" s="5" t="n">
        <f aca="false">COUNTIF('Full Log'!$A:$A,$A87)</f>
        <v>1</v>
      </c>
      <c r="P87" s="5" t="s">
        <v>68</v>
      </c>
      <c r="Q87" s="5" t="s">
        <v>68</v>
      </c>
      <c r="R87" s="6" t="s">
        <v>677</v>
      </c>
    </row>
    <row r="88" customFormat="false" ht="79.85" hidden="false" customHeight="false" outlineLevel="0" collapsed="false">
      <c r="A88" s="5" t="s">
        <v>701</v>
      </c>
      <c r="B88" s="5" t="s">
        <v>702</v>
      </c>
      <c r="C88" s="6" t="s">
        <v>703</v>
      </c>
      <c r="D88" s="5" t="s">
        <v>62</v>
      </c>
      <c r="E88" s="6" t="s">
        <v>704</v>
      </c>
      <c r="F88" s="5" t="s">
        <v>705</v>
      </c>
      <c r="G88" s="6" t="s">
        <v>706</v>
      </c>
      <c r="H88" s="5" t="s">
        <v>676</v>
      </c>
      <c r="I88" s="11"/>
      <c r="J88" s="8"/>
      <c r="K88" s="9"/>
      <c r="L88" s="10"/>
      <c r="M88" s="10" t="n">
        <v>407.08</v>
      </c>
      <c r="N88" s="5" t="s">
        <v>68</v>
      </c>
      <c r="O88" s="5" t="n">
        <f aca="false">COUNTIF('Full Log'!$A:$A,$A88)</f>
        <v>5</v>
      </c>
      <c r="P88" s="5" t="s">
        <v>114</v>
      </c>
      <c r="Q88" s="5" t="s">
        <v>378</v>
      </c>
      <c r="R88" s="6" t="s">
        <v>707</v>
      </c>
    </row>
    <row r="89" customFormat="false" ht="57.45" hidden="false" customHeight="false" outlineLevel="0" collapsed="false">
      <c r="A89" s="5" t="s">
        <v>708</v>
      </c>
      <c r="B89" s="5" t="s">
        <v>709</v>
      </c>
      <c r="C89" s="6" t="s">
        <v>710</v>
      </c>
      <c r="D89" s="5" t="s">
        <v>711</v>
      </c>
      <c r="E89" s="6" t="s">
        <v>712</v>
      </c>
      <c r="F89" s="5" t="s">
        <v>713</v>
      </c>
      <c r="G89" s="6" t="s">
        <v>714</v>
      </c>
      <c r="H89" s="5" t="s">
        <v>715</v>
      </c>
      <c r="I89" s="11"/>
      <c r="J89" s="8"/>
      <c r="K89" s="9"/>
      <c r="L89" s="10"/>
      <c r="M89" s="10" t="n">
        <v>29.22</v>
      </c>
      <c r="N89" s="5" t="s">
        <v>68</v>
      </c>
      <c r="O89" s="5" t="n">
        <f aca="false">COUNTIF('Full Log'!$A:$A,$A89)</f>
        <v>14</v>
      </c>
      <c r="P89" s="5" t="s">
        <v>156</v>
      </c>
      <c r="Q89" s="5" t="s">
        <v>68</v>
      </c>
      <c r="R89" s="6" t="s">
        <v>202</v>
      </c>
    </row>
    <row r="90" customFormat="false" ht="57.45" hidden="false" customHeight="false" outlineLevel="0" collapsed="false">
      <c r="A90" s="5" t="s">
        <v>716</v>
      </c>
      <c r="B90" s="5" t="s">
        <v>717</v>
      </c>
      <c r="C90" s="6" t="s">
        <v>718</v>
      </c>
      <c r="D90" s="5" t="s">
        <v>719</v>
      </c>
      <c r="E90" s="6" t="s">
        <v>593</v>
      </c>
      <c r="F90" s="5" t="s">
        <v>720</v>
      </c>
      <c r="G90" s="6" t="s">
        <v>721</v>
      </c>
      <c r="H90" s="5" t="s">
        <v>715</v>
      </c>
      <c r="I90" s="11"/>
      <c r="J90" s="8"/>
      <c r="K90" s="9"/>
      <c r="L90" s="10"/>
      <c r="M90" s="10" t="n">
        <v>17.18</v>
      </c>
      <c r="N90" s="5" t="s">
        <v>68</v>
      </c>
      <c r="O90" s="5" t="n">
        <f aca="false">COUNTIF('Full Log'!$A:$A,$A90)</f>
        <v>6</v>
      </c>
      <c r="P90" s="5" t="s">
        <v>378</v>
      </c>
      <c r="Q90" s="5" t="s">
        <v>104</v>
      </c>
      <c r="R90" s="6" t="s">
        <v>722</v>
      </c>
    </row>
    <row r="91" customFormat="false" ht="57.45" hidden="false" customHeight="false" outlineLevel="0" collapsed="false">
      <c r="A91" s="5" t="s">
        <v>723</v>
      </c>
      <c r="B91" s="5" t="s">
        <v>724</v>
      </c>
      <c r="C91" s="6" t="s">
        <v>725</v>
      </c>
      <c r="D91" s="5" t="s">
        <v>286</v>
      </c>
      <c r="E91" s="6" t="s">
        <v>726</v>
      </c>
      <c r="F91" s="5" t="s">
        <v>727</v>
      </c>
      <c r="G91" s="6" t="s">
        <v>728</v>
      </c>
      <c r="H91" s="5" t="s">
        <v>715</v>
      </c>
      <c r="I91" s="11"/>
      <c r="J91" s="8"/>
      <c r="K91" s="9"/>
      <c r="L91" s="10"/>
      <c r="M91" s="10" t="n">
        <v>21.16</v>
      </c>
      <c r="N91" s="5" t="s">
        <v>68</v>
      </c>
      <c r="O91" s="5" t="n">
        <f aca="false">COUNTIF('Full Log'!$A:$A,$A91)</f>
        <v>13</v>
      </c>
      <c r="P91" s="5" t="s">
        <v>304</v>
      </c>
      <c r="Q91" s="5" t="s">
        <v>68</v>
      </c>
      <c r="R91" s="6" t="s">
        <v>722</v>
      </c>
    </row>
    <row r="92" customFormat="false" ht="57.45" hidden="false" customHeight="false" outlineLevel="0" collapsed="false">
      <c r="A92" s="5" t="s">
        <v>729</v>
      </c>
      <c r="B92" s="5" t="s">
        <v>730</v>
      </c>
      <c r="C92" s="6" t="s">
        <v>731</v>
      </c>
      <c r="D92" s="5" t="s">
        <v>286</v>
      </c>
      <c r="E92" s="6" t="s">
        <v>732</v>
      </c>
      <c r="F92" s="5" t="s">
        <v>733</v>
      </c>
      <c r="G92" s="6" t="s">
        <v>734</v>
      </c>
      <c r="H92" s="5" t="s">
        <v>715</v>
      </c>
      <c r="I92" s="11"/>
      <c r="J92" s="8"/>
      <c r="K92" s="9"/>
      <c r="L92" s="10"/>
      <c r="M92" s="10" t="n">
        <v>90.67</v>
      </c>
      <c r="N92" s="5" t="s">
        <v>68</v>
      </c>
      <c r="O92" s="5" t="n">
        <f aca="false">COUNTIF('Full Log'!$A:$A,$A92)</f>
        <v>10</v>
      </c>
      <c r="P92" s="5" t="s">
        <v>69</v>
      </c>
      <c r="Q92" s="5" t="s">
        <v>68</v>
      </c>
      <c r="R92" s="6" t="s">
        <v>722</v>
      </c>
    </row>
    <row r="93" customFormat="false" ht="46.25" hidden="false" customHeight="false" outlineLevel="0" collapsed="false">
      <c r="A93" s="5" t="s">
        <v>735</v>
      </c>
      <c r="B93" s="5" t="s">
        <v>736</v>
      </c>
      <c r="C93" s="6" t="s">
        <v>737</v>
      </c>
      <c r="D93" s="5" t="s">
        <v>213</v>
      </c>
      <c r="E93" s="6" t="s">
        <v>738</v>
      </c>
      <c r="F93" s="5" t="s">
        <v>739</v>
      </c>
      <c r="G93" s="6" t="s">
        <v>740</v>
      </c>
      <c r="H93" s="5" t="s">
        <v>715</v>
      </c>
      <c r="I93" s="11"/>
      <c r="J93" s="8"/>
      <c r="K93" s="9"/>
      <c r="L93" s="10"/>
      <c r="M93" s="10" t="n">
        <v>453.77</v>
      </c>
      <c r="N93" s="5" t="s">
        <v>68</v>
      </c>
      <c r="O93" s="5" t="n">
        <f aca="false">COUNTIF('Full Log'!$A:$A,$A93)</f>
        <v>13</v>
      </c>
      <c r="P93" s="5" t="s">
        <v>114</v>
      </c>
      <c r="Q93" s="5" t="s">
        <v>104</v>
      </c>
      <c r="R93" s="6" t="s">
        <v>195</v>
      </c>
    </row>
    <row r="94" customFormat="false" ht="46.25" hidden="false" customHeight="false" outlineLevel="0" collapsed="false">
      <c r="A94" s="5" t="s">
        <v>741</v>
      </c>
      <c r="B94" s="5" t="s">
        <v>742</v>
      </c>
      <c r="C94" s="6" t="s">
        <v>743</v>
      </c>
      <c r="D94" s="5" t="s">
        <v>517</v>
      </c>
      <c r="E94" s="6" t="s">
        <v>744</v>
      </c>
      <c r="F94" s="5" t="s">
        <v>745</v>
      </c>
      <c r="G94" s="6" t="s">
        <v>746</v>
      </c>
      <c r="H94" s="5" t="s">
        <v>715</v>
      </c>
      <c r="I94" s="11"/>
      <c r="J94" s="8"/>
      <c r="K94" s="9"/>
      <c r="L94" s="10"/>
      <c r="M94" s="10" t="n">
        <v>53.22</v>
      </c>
      <c r="N94" s="5" t="s">
        <v>68</v>
      </c>
      <c r="O94" s="5" t="n">
        <f aca="false">COUNTIF('Full Log'!$A:$A,$A94)</f>
        <v>9</v>
      </c>
      <c r="P94" s="5" t="s">
        <v>378</v>
      </c>
      <c r="Q94" s="5" t="s">
        <v>138</v>
      </c>
      <c r="R94" s="6" t="s">
        <v>747</v>
      </c>
    </row>
    <row r="95" customFormat="false" ht="57.45" hidden="false" customHeight="false" outlineLevel="0" collapsed="false">
      <c r="A95" s="5" t="s">
        <v>748</v>
      </c>
      <c r="B95" s="5" t="s">
        <v>749</v>
      </c>
      <c r="C95" s="6" t="s">
        <v>750</v>
      </c>
      <c r="D95" s="5" t="s">
        <v>751</v>
      </c>
      <c r="E95" s="6" t="s">
        <v>752</v>
      </c>
      <c r="F95" s="5" t="s">
        <v>753</v>
      </c>
      <c r="G95" s="6" t="s">
        <v>754</v>
      </c>
      <c r="H95" s="5" t="s">
        <v>715</v>
      </c>
      <c r="I95" s="11"/>
      <c r="J95" s="8"/>
      <c r="K95" s="9"/>
      <c r="L95" s="10"/>
      <c r="M95" s="10" t="n">
        <v>88.59</v>
      </c>
      <c r="N95" s="5" t="s">
        <v>68</v>
      </c>
      <c r="O95" s="5" t="n">
        <f aca="false">COUNTIF('Full Log'!$A:$A,$A95)</f>
        <v>6</v>
      </c>
      <c r="P95" s="5" t="s">
        <v>378</v>
      </c>
      <c r="Q95" s="5" t="s">
        <v>104</v>
      </c>
      <c r="R95" s="6" t="s">
        <v>722</v>
      </c>
    </row>
    <row r="96" customFormat="false" ht="46.25" hidden="false" customHeight="false" outlineLevel="0" collapsed="false">
      <c r="A96" s="5" t="s">
        <v>755</v>
      </c>
      <c r="B96" s="5" t="s">
        <v>756</v>
      </c>
      <c r="C96" s="6" t="s">
        <v>757</v>
      </c>
      <c r="D96" s="5" t="s">
        <v>758</v>
      </c>
      <c r="E96" s="6" t="s">
        <v>759</v>
      </c>
      <c r="F96" s="5" t="s">
        <v>760</v>
      </c>
      <c r="G96" s="6" t="s">
        <v>761</v>
      </c>
      <c r="H96" s="5" t="s">
        <v>715</v>
      </c>
      <c r="I96" s="7" t="s">
        <v>67</v>
      </c>
      <c r="J96" s="8" t="n">
        <v>45</v>
      </c>
      <c r="K96" s="9" t="n">
        <v>1735.16</v>
      </c>
      <c r="L96" s="10"/>
      <c r="M96" s="10" t="n">
        <v>41.23</v>
      </c>
      <c r="N96" s="5" t="s">
        <v>68</v>
      </c>
      <c r="O96" s="5" t="n">
        <f aca="false">COUNTIF('Full Log'!$A:$A,$A96)</f>
        <v>61</v>
      </c>
      <c r="P96" s="5" t="s">
        <v>114</v>
      </c>
      <c r="Q96" s="5" t="s">
        <v>68</v>
      </c>
      <c r="R96" s="6" t="s">
        <v>195</v>
      </c>
    </row>
    <row r="97" customFormat="false" ht="35.05" hidden="false" customHeight="false" outlineLevel="0" collapsed="false">
      <c r="A97" s="5" t="s">
        <v>762</v>
      </c>
      <c r="B97" s="5" t="s">
        <v>763</v>
      </c>
      <c r="C97" s="6" t="s">
        <v>764</v>
      </c>
      <c r="D97" s="5" t="s">
        <v>286</v>
      </c>
      <c r="E97" s="6" t="s">
        <v>593</v>
      </c>
      <c r="F97" s="5" t="s">
        <v>765</v>
      </c>
      <c r="G97" s="6" t="s">
        <v>766</v>
      </c>
      <c r="H97" s="5" t="s">
        <v>715</v>
      </c>
      <c r="I97" s="11"/>
      <c r="J97" s="8"/>
      <c r="K97" s="9"/>
      <c r="L97" s="10"/>
      <c r="M97" s="10" t="n">
        <v>3.88</v>
      </c>
      <c r="N97" s="5" t="s">
        <v>68</v>
      </c>
      <c r="O97" s="5" t="n">
        <f aca="false">COUNTIF('Full Log'!$A:$A,$A97)</f>
        <v>0</v>
      </c>
      <c r="P97" s="5"/>
      <c r="Q97" s="5"/>
      <c r="R97" s="6" t="s">
        <v>172</v>
      </c>
    </row>
    <row r="98" customFormat="false" ht="57.45" hidden="false" customHeight="false" outlineLevel="0" collapsed="false">
      <c r="A98" s="5" t="s">
        <v>767</v>
      </c>
      <c r="B98" s="5" t="s">
        <v>768</v>
      </c>
      <c r="C98" s="6" t="s">
        <v>769</v>
      </c>
      <c r="D98" s="5" t="s">
        <v>770</v>
      </c>
      <c r="E98" s="6" t="s">
        <v>771</v>
      </c>
      <c r="F98" s="5" t="s">
        <v>772</v>
      </c>
      <c r="G98" s="6" t="s">
        <v>773</v>
      </c>
      <c r="H98" s="5" t="s">
        <v>715</v>
      </c>
      <c r="I98" s="11"/>
      <c r="J98" s="8"/>
      <c r="K98" s="9"/>
      <c r="L98" s="10"/>
      <c r="M98" s="10" t="n">
        <v>187.97</v>
      </c>
      <c r="N98" s="5" t="s">
        <v>68</v>
      </c>
      <c r="O98" s="5" t="n">
        <f aca="false">COUNTIF('Full Log'!$A:$A,$A98)</f>
        <v>37</v>
      </c>
      <c r="P98" s="5" t="s">
        <v>114</v>
      </c>
      <c r="Q98" s="5" t="s">
        <v>68</v>
      </c>
      <c r="R98" s="6" t="s">
        <v>250</v>
      </c>
    </row>
    <row r="99" customFormat="false" ht="46.25" hidden="false" customHeight="false" outlineLevel="0" collapsed="false">
      <c r="A99" s="5" t="s">
        <v>774</v>
      </c>
      <c r="B99" s="5" t="s">
        <v>775</v>
      </c>
      <c r="C99" s="6" t="s">
        <v>776</v>
      </c>
      <c r="D99" s="5" t="s">
        <v>777</v>
      </c>
      <c r="E99" s="6" t="s">
        <v>778</v>
      </c>
      <c r="F99" s="5" t="s">
        <v>779</v>
      </c>
      <c r="G99" s="6" t="s">
        <v>780</v>
      </c>
      <c r="H99" s="5" t="s">
        <v>715</v>
      </c>
      <c r="I99" s="11"/>
      <c r="J99" s="8"/>
      <c r="K99" s="9"/>
      <c r="L99" s="10"/>
      <c r="M99" s="10" t="n">
        <v>9.36</v>
      </c>
      <c r="N99" s="5" t="s">
        <v>68</v>
      </c>
      <c r="O99" s="5" t="n">
        <f aca="false">COUNTIF('Full Log'!$A:$A,$A99)</f>
        <v>3</v>
      </c>
      <c r="P99" s="5" t="s">
        <v>138</v>
      </c>
      <c r="Q99" s="5" t="s">
        <v>138</v>
      </c>
      <c r="R99" s="6" t="s">
        <v>781</v>
      </c>
    </row>
    <row r="100" customFormat="false" ht="57.45" hidden="false" customHeight="false" outlineLevel="0" collapsed="false">
      <c r="A100" s="5" t="s">
        <v>782</v>
      </c>
      <c r="B100" s="5" t="s">
        <v>783</v>
      </c>
      <c r="C100" s="6" t="s">
        <v>784</v>
      </c>
      <c r="D100" s="5" t="s">
        <v>161</v>
      </c>
      <c r="E100" s="6" t="s">
        <v>271</v>
      </c>
      <c r="F100" s="5" t="s">
        <v>785</v>
      </c>
      <c r="G100" s="6" t="s">
        <v>786</v>
      </c>
      <c r="H100" s="5" t="s">
        <v>715</v>
      </c>
      <c r="I100" s="11"/>
      <c r="J100" s="8"/>
      <c r="K100" s="9"/>
      <c r="L100" s="10"/>
      <c r="M100" s="10" t="n">
        <v>31.13</v>
      </c>
      <c r="N100" s="5" t="s">
        <v>68</v>
      </c>
      <c r="O100" s="5" t="n">
        <f aca="false">COUNTIF('Full Log'!$A:$A,$A100)</f>
        <v>9</v>
      </c>
      <c r="P100" s="5" t="s">
        <v>378</v>
      </c>
      <c r="Q100" s="5" t="s">
        <v>138</v>
      </c>
      <c r="R100" s="6" t="s">
        <v>371</v>
      </c>
    </row>
    <row r="101" customFormat="false" ht="113.4" hidden="false" customHeight="false" outlineLevel="0" collapsed="false">
      <c r="A101" s="5" t="s">
        <v>787</v>
      </c>
      <c r="B101" s="5" t="s">
        <v>788</v>
      </c>
      <c r="C101" s="6" t="s">
        <v>789</v>
      </c>
      <c r="D101" s="5" t="s">
        <v>790</v>
      </c>
      <c r="E101" s="6" t="s">
        <v>791</v>
      </c>
      <c r="F101" s="5" t="s">
        <v>792</v>
      </c>
      <c r="G101" s="6" t="s">
        <v>793</v>
      </c>
      <c r="H101" s="5" t="s">
        <v>715</v>
      </c>
      <c r="I101" s="11"/>
      <c r="J101" s="8"/>
      <c r="K101" s="9"/>
      <c r="L101" s="10"/>
      <c r="M101" s="10" t="n">
        <v>547.06</v>
      </c>
      <c r="N101" s="5" t="s">
        <v>68</v>
      </c>
      <c r="O101" s="5" t="n">
        <f aca="false">COUNTIF('Full Log'!$A:$A,$A101)</f>
        <v>1</v>
      </c>
      <c r="P101" s="5" t="s">
        <v>393</v>
      </c>
      <c r="Q101" s="5" t="s">
        <v>393</v>
      </c>
      <c r="R101" s="6" t="s">
        <v>794</v>
      </c>
    </row>
    <row r="102" customFormat="false" ht="46.25" hidden="false" customHeight="false" outlineLevel="0" collapsed="false">
      <c r="A102" s="5" t="s">
        <v>795</v>
      </c>
      <c r="B102" s="5" t="s">
        <v>796</v>
      </c>
      <c r="C102" s="6" t="s">
        <v>797</v>
      </c>
      <c r="D102" s="5" t="s">
        <v>459</v>
      </c>
      <c r="E102" s="6" t="s">
        <v>618</v>
      </c>
      <c r="F102" s="5" t="s">
        <v>798</v>
      </c>
      <c r="G102" s="6" t="s">
        <v>799</v>
      </c>
      <c r="H102" s="5" t="s">
        <v>800</v>
      </c>
      <c r="I102" s="11"/>
      <c r="J102" s="8"/>
      <c r="K102" s="9"/>
      <c r="L102" s="10"/>
      <c r="M102" s="10" t="n">
        <v>93.29</v>
      </c>
      <c r="N102" s="5" t="s">
        <v>68</v>
      </c>
      <c r="O102" s="5" t="n">
        <f aca="false">COUNTIF('Full Log'!$A:$A,$A102)</f>
        <v>10</v>
      </c>
      <c r="P102" s="5" t="s">
        <v>131</v>
      </c>
      <c r="Q102" s="5" t="s">
        <v>147</v>
      </c>
      <c r="R102" s="6" t="s">
        <v>801</v>
      </c>
    </row>
    <row r="103" customFormat="false" ht="57.45" hidden="false" customHeight="false" outlineLevel="0" collapsed="false">
      <c r="A103" s="5" t="s">
        <v>802</v>
      </c>
      <c r="B103" s="5" t="s">
        <v>803</v>
      </c>
      <c r="C103" s="6" t="s">
        <v>804</v>
      </c>
      <c r="D103" s="5" t="s">
        <v>346</v>
      </c>
      <c r="E103" s="6" t="s">
        <v>593</v>
      </c>
      <c r="F103" s="5" t="s">
        <v>805</v>
      </c>
      <c r="G103" s="6" t="s">
        <v>806</v>
      </c>
      <c r="H103" s="5" t="s">
        <v>800</v>
      </c>
      <c r="I103" s="11"/>
      <c r="J103" s="8"/>
      <c r="K103" s="9"/>
      <c r="L103" s="10"/>
      <c r="M103" s="10" t="n">
        <v>51.86</v>
      </c>
      <c r="N103" s="5" t="s">
        <v>104</v>
      </c>
      <c r="O103" s="5" t="n">
        <f aca="false">COUNTIF('Full Log'!$A:$A,$A103)</f>
        <v>9</v>
      </c>
      <c r="P103" s="5" t="s">
        <v>138</v>
      </c>
      <c r="Q103" s="5" t="s">
        <v>147</v>
      </c>
      <c r="R103" s="6" t="s">
        <v>683</v>
      </c>
    </row>
    <row r="104" customFormat="false" ht="35.05" hidden="false" customHeight="false" outlineLevel="0" collapsed="false">
      <c r="A104" s="5" t="s">
        <v>807</v>
      </c>
      <c r="B104" s="5" t="s">
        <v>808</v>
      </c>
      <c r="C104" s="6" t="s">
        <v>809</v>
      </c>
      <c r="D104" s="5" t="s">
        <v>810</v>
      </c>
      <c r="E104" s="6" t="s">
        <v>811</v>
      </c>
      <c r="F104" s="5" t="s">
        <v>812</v>
      </c>
      <c r="G104" s="6" t="s">
        <v>813</v>
      </c>
      <c r="H104" s="5" t="s">
        <v>800</v>
      </c>
      <c r="I104" s="11"/>
      <c r="J104" s="8"/>
      <c r="K104" s="9"/>
      <c r="L104" s="10"/>
      <c r="M104" s="10" t="n">
        <v>562.95</v>
      </c>
      <c r="N104" s="5" t="s">
        <v>68</v>
      </c>
      <c r="O104" s="5" t="n">
        <f aca="false">COUNTIF('Full Log'!$A:$A,$A104)</f>
        <v>1</v>
      </c>
      <c r="P104" s="5" t="s">
        <v>378</v>
      </c>
      <c r="Q104" s="5" t="s">
        <v>378</v>
      </c>
      <c r="R104" s="6" t="s">
        <v>814</v>
      </c>
    </row>
    <row r="105" customFormat="false" ht="35.05" hidden="false" customHeight="false" outlineLevel="0" collapsed="false">
      <c r="A105" s="5" t="s">
        <v>815</v>
      </c>
      <c r="B105" s="5" t="s">
        <v>816</v>
      </c>
      <c r="C105" s="6" t="s">
        <v>817</v>
      </c>
      <c r="D105" s="5" t="s">
        <v>459</v>
      </c>
      <c r="E105" s="6" t="s">
        <v>818</v>
      </c>
      <c r="F105" s="5" t="s">
        <v>819</v>
      </c>
      <c r="G105" s="6" t="s">
        <v>820</v>
      </c>
      <c r="H105" s="5" t="s">
        <v>800</v>
      </c>
      <c r="I105" s="11"/>
      <c r="J105" s="8"/>
      <c r="K105" s="9"/>
      <c r="L105" s="10"/>
      <c r="M105" s="10" t="n">
        <v>13.84</v>
      </c>
      <c r="N105" s="5" t="s">
        <v>68</v>
      </c>
      <c r="O105" s="5" t="n">
        <f aca="false">COUNTIF('Full Log'!$A:$A,$A105)</f>
        <v>0</v>
      </c>
      <c r="P105" s="5"/>
      <c r="Q105" s="5"/>
      <c r="R105" s="6" t="s">
        <v>172</v>
      </c>
    </row>
    <row r="106" customFormat="false" ht="46.25" hidden="false" customHeight="false" outlineLevel="0" collapsed="false">
      <c r="A106" s="5" t="s">
        <v>821</v>
      </c>
      <c r="B106" s="5" t="s">
        <v>822</v>
      </c>
      <c r="C106" s="6" t="s">
        <v>823</v>
      </c>
      <c r="D106" s="5" t="s">
        <v>83</v>
      </c>
      <c r="E106" s="6" t="s">
        <v>271</v>
      </c>
      <c r="F106" s="5" t="s">
        <v>824</v>
      </c>
      <c r="G106" s="6" t="s">
        <v>825</v>
      </c>
      <c r="H106" s="5" t="s">
        <v>800</v>
      </c>
      <c r="I106" s="11"/>
      <c r="J106" s="8"/>
      <c r="K106" s="9"/>
      <c r="L106" s="10"/>
      <c r="M106" s="10" t="n">
        <v>59.07</v>
      </c>
      <c r="N106" s="5" t="s">
        <v>68</v>
      </c>
      <c r="O106" s="5" t="n">
        <f aca="false">COUNTIF('Full Log'!$A:$A,$A106)</f>
        <v>9</v>
      </c>
      <c r="P106" s="5" t="s">
        <v>378</v>
      </c>
      <c r="Q106" s="5" t="s">
        <v>147</v>
      </c>
      <c r="R106" s="6" t="s">
        <v>648</v>
      </c>
    </row>
    <row r="107" customFormat="false" ht="46.25" hidden="false" customHeight="false" outlineLevel="0" collapsed="false">
      <c r="A107" s="5" t="s">
        <v>826</v>
      </c>
      <c r="B107" s="5" t="s">
        <v>827</v>
      </c>
      <c r="C107" s="6" t="s">
        <v>828</v>
      </c>
      <c r="D107" s="5" t="s">
        <v>751</v>
      </c>
      <c r="E107" s="6" t="s">
        <v>427</v>
      </c>
      <c r="F107" s="5" t="s">
        <v>829</v>
      </c>
      <c r="G107" s="6" t="s">
        <v>830</v>
      </c>
      <c r="H107" s="5" t="s">
        <v>800</v>
      </c>
      <c r="I107" s="11"/>
      <c r="J107" s="8"/>
      <c r="K107" s="9"/>
      <c r="L107" s="10"/>
      <c r="M107" s="10" t="n">
        <v>18.38</v>
      </c>
      <c r="N107" s="5" t="s">
        <v>68</v>
      </c>
      <c r="O107" s="5" t="n">
        <f aca="false">COUNTIF('Full Log'!$A:$A,$A107)</f>
        <v>6</v>
      </c>
      <c r="P107" s="5" t="s">
        <v>131</v>
      </c>
      <c r="Q107" s="5" t="s">
        <v>147</v>
      </c>
      <c r="R107" s="6" t="s">
        <v>831</v>
      </c>
    </row>
    <row r="108" customFormat="false" ht="46.25" hidden="false" customHeight="false" outlineLevel="0" collapsed="false">
      <c r="A108" s="5" t="s">
        <v>832</v>
      </c>
      <c r="B108" s="5" t="s">
        <v>833</v>
      </c>
      <c r="C108" s="6" t="s">
        <v>834</v>
      </c>
      <c r="D108" s="5" t="s">
        <v>835</v>
      </c>
      <c r="E108" s="6" t="s">
        <v>427</v>
      </c>
      <c r="F108" s="5" t="s">
        <v>836</v>
      </c>
      <c r="G108" s="6" t="s">
        <v>837</v>
      </c>
      <c r="H108" s="5" t="s">
        <v>800</v>
      </c>
      <c r="I108" s="11"/>
      <c r="J108" s="8"/>
      <c r="K108" s="9"/>
      <c r="L108" s="10"/>
      <c r="M108" s="10" t="n">
        <v>362.5</v>
      </c>
      <c r="N108" s="5" t="s">
        <v>68</v>
      </c>
      <c r="O108" s="5" t="n">
        <f aca="false">COUNTIF('Full Log'!$A:$A,$A108)</f>
        <v>1</v>
      </c>
      <c r="P108" s="5" t="s">
        <v>378</v>
      </c>
      <c r="Q108" s="5" t="s">
        <v>378</v>
      </c>
      <c r="R108" s="6" t="s">
        <v>838</v>
      </c>
    </row>
    <row r="109" customFormat="false" ht="79.85" hidden="false" customHeight="false" outlineLevel="0" collapsed="false">
      <c r="A109" s="5" t="s">
        <v>839</v>
      </c>
      <c r="B109" s="5" t="s">
        <v>840</v>
      </c>
      <c r="C109" s="6" t="s">
        <v>841</v>
      </c>
      <c r="D109" s="5" t="s">
        <v>751</v>
      </c>
      <c r="E109" s="6" t="s">
        <v>398</v>
      </c>
      <c r="F109" s="5" t="s">
        <v>842</v>
      </c>
      <c r="G109" s="6" t="s">
        <v>843</v>
      </c>
      <c r="H109" s="5" t="s">
        <v>844</v>
      </c>
      <c r="I109" s="7" t="s">
        <v>67</v>
      </c>
      <c r="J109" s="8" t="n">
        <v>40</v>
      </c>
      <c r="K109" s="9" t="n">
        <v>3914.12</v>
      </c>
      <c r="L109" s="10" t="n">
        <v>10000</v>
      </c>
      <c r="M109" s="10" t="n">
        <v>214.42</v>
      </c>
      <c r="N109" s="5" t="s">
        <v>68</v>
      </c>
      <c r="O109" s="5" t="n">
        <f aca="false">COUNTIF('Full Log'!$A:$A,$A109)</f>
        <v>15</v>
      </c>
      <c r="P109" s="5" t="s">
        <v>69</v>
      </c>
      <c r="Q109" s="5" t="s">
        <v>70</v>
      </c>
      <c r="R109" s="6" t="s">
        <v>407</v>
      </c>
    </row>
    <row r="110" customFormat="false" ht="46.25" hidden="false" customHeight="false" outlineLevel="0" collapsed="false">
      <c r="A110" s="5" t="s">
        <v>845</v>
      </c>
      <c r="B110" s="5" t="s">
        <v>846</v>
      </c>
      <c r="C110" s="6" t="s">
        <v>847</v>
      </c>
      <c r="D110" s="5" t="s">
        <v>770</v>
      </c>
      <c r="E110" s="6" t="s">
        <v>420</v>
      </c>
      <c r="F110" s="5" t="s">
        <v>848</v>
      </c>
      <c r="G110" s="6" t="s">
        <v>849</v>
      </c>
      <c r="H110" s="5" t="s">
        <v>844</v>
      </c>
      <c r="I110" s="11"/>
      <c r="J110" s="8"/>
      <c r="K110" s="9"/>
      <c r="L110" s="10"/>
      <c r="M110" s="10" t="n">
        <v>159.64</v>
      </c>
      <c r="N110" s="5" t="s">
        <v>68</v>
      </c>
      <c r="O110" s="5" t="n">
        <f aca="false">COUNTIF('Full Log'!$A:$A,$A110)</f>
        <v>10</v>
      </c>
      <c r="P110" s="5" t="s">
        <v>378</v>
      </c>
      <c r="Q110" s="5" t="s">
        <v>95</v>
      </c>
      <c r="R110" s="6" t="s">
        <v>850</v>
      </c>
    </row>
    <row r="111" customFormat="false" ht="35.05" hidden="false" customHeight="false" outlineLevel="0" collapsed="false">
      <c r="A111" s="5" t="s">
        <v>851</v>
      </c>
      <c r="B111" s="5" t="s">
        <v>852</v>
      </c>
      <c r="C111" s="6" t="s">
        <v>853</v>
      </c>
      <c r="D111" s="5" t="s">
        <v>854</v>
      </c>
      <c r="E111" s="6" t="s">
        <v>427</v>
      </c>
      <c r="F111" s="5" t="s">
        <v>855</v>
      </c>
      <c r="G111" s="6" t="s">
        <v>856</v>
      </c>
      <c r="H111" s="5" t="s">
        <v>844</v>
      </c>
      <c r="I111" s="11"/>
      <c r="J111" s="8"/>
      <c r="K111" s="9"/>
      <c r="L111" s="10"/>
      <c r="M111" s="10" t="n">
        <v>300.27</v>
      </c>
      <c r="N111" s="5" t="s">
        <v>68</v>
      </c>
      <c r="O111" s="5" t="n">
        <f aca="false">COUNTIF('Full Log'!$A:$A,$A111)</f>
        <v>5</v>
      </c>
      <c r="P111" s="5" t="s">
        <v>378</v>
      </c>
      <c r="Q111" s="5" t="s">
        <v>95</v>
      </c>
      <c r="R111" s="6" t="s">
        <v>857</v>
      </c>
    </row>
    <row r="112" customFormat="false" ht="57.45" hidden="false" customHeight="false" outlineLevel="0" collapsed="false">
      <c r="A112" s="5" t="s">
        <v>858</v>
      </c>
      <c r="B112" s="5" t="s">
        <v>859</v>
      </c>
      <c r="C112" s="6" t="s">
        <v>860</v>
      </c>
      <c r="D112" s="5" t="s">
        <v>861</v>
      </c>
      <c r="E112" s="6" t="s">
        <v>293</v>
      </c>
      <c r="F112" s="5" t="s">
        <v>862</v>
      </c>
      <c r="G112" s="6" t="s">
        <v>863</v>
      </c>
      <c r="H112" s="5" t="s">
        <v>844</v>
      </c>
      <c r="I112" s="7" t="s">
        <v>67</v>
      </c>
      <c r="J112" s="8" t="n">
        <v>22</v>
      </c>
      <c r="K112" s="9" t="n">
        <v>3760.62</v>
      </c>
      <c r="L112" s="10" t="n">
        <v>10000</v>
      </c>
      <c r="M112" s="10" t="n">
        <v>363.86</v>
      </c>
      <c r="N112" s="5" t="s">
        <v>68</v>
      </c>
      <c r="O112" s="5" t="n">
        <f aca="false">COUNTIF('Full Log'!$A:$A,$A112)</f>
        <v>6</v>
      </c>
      <c r="P112" s="5" t="s">
        <v>114</v>
      </c>
      <c r="Q112" s="5" t="s">
        <v>378</v>
      </c>
      <c r="R112" s="6" t="s">
        <v>864</v>
      </c>
    </row>
    <row r="113" customFormat="false" ht="68.65" hidden="false" customHeight="false" outlineLevel="0" collapsed="false">
      <c r="A113" s="5" t="s">
        <v>865</v>
      </c>
      <c r="B113" s="5" t="s">
        <v>866</v>
      </c>
      <c r="C113" s="6" t="s">
        <v>867</v>
      </c>
      <c r="D113" s="5" t="s">
        <v>459</v>
      </c>
      <c r="E113" s="6" t="s">
        <v>573</v>
      </c>
      <c r="F113" s="5" t="s">
        <v>868</v>
      </c>
      <c r="G113" s="6" t="s">
        <v>869</v>
      </c>
      <c r="H113" s="5" t="s">
        <v>844</v>
      </c>
      <c r="I113" s="11"/>
      <c r="J113" s="8"/>
      <c r="K113" s="9"/>
      <c r="L113" s="10"/>
      <c r="M113" s="10" t="n">
        <v>84.6</v>
      </c>
      <c r="N113" s="5" t="s">
        <v>104</v>
      </c>
      <c r="O113" s="5" t="n">
        <f aca="false">COUNTIF('Full Log'!$A:$A,$A113)</f>
        <v>4</v>
      </c>
      <c r="P113" s="5" t="s">
        <v>95</v>
      </c>
      <c r="Q113" s="5" t="s">
        <v>104</v>
      </c>
      <c r="R113" s="6" t="s">
        <v>870</v>
      </c>
    </row>
    <row r="114" customFormat="false" ht="57.45" hidden="false" customHeight="false" outlineLevel="0" collapsed="false">
      <c r="A114" s="5" t="s">
        <v>871</v>
      </c>
      <c r="B114" s="5" t="s">
        <v>872</v>
      </c>
      <c r="C114" s="6" t="s">
        <v>873</v>
      </c>
      <c r="D114" s="5" t="s">
        <v>600</v>
      </c>
      <c r="E114" s="6" t="s">
        <v>271</v>
      </c>
      <c r="F114" s="5" t="s">
        <v>874</v>
      </c>
      <c r="G114" s="6" t="s">
        <v>875</v>
      </c>
      <c r="H114" s="5" t="s">
        <v>844</v>
      </c>
      <c r="I114" s="11"/>
      <c r="J114" s="8"/>
      <c r="K114" s="9"/>
      <c r="L114" s="10"/>
      <c r="M114" s="10" t="n">
        <v>168.68</v>
      </c>
      <c r="N114" s="5" t="s">
        <v>68</v>
      </c>
      <c r="O114" s="5" t="n">
        <f aca="false">COUNTIF('Full Log'!$A:$A,$A114)</f>
        <v>5</v>
      </c>
      <c r="P114" s="5" t="s">
        <v>378</v>
      </c>
      <c r="Q114" s="5" t="s">
        <v>378</v>
      </c>
      <c r="R114" s="6" t="s">
        <v>864</v>
      </c>
    </row>
    <row r="115" customFormat="false" ht="46.25" hidden="false" customHeight="false" outlineLevel="0" collapsed="false">
      <c r="A115" s="5" t="s">
        <v>876</v>
      </c>
      <c r="B115" s="5" t="s">
        <v>877</v>
      </c>
      <c r="C115" s="6" t="s">
        <v>878</v>
      </c>
      <c r="D115" s="5" t="s">
        <v>879</v>
      </c>
      <c r="E115" s="6" t="s">
        <v>880</v>
      </c>
      <c r="F115" s="5" t="s">
        <v>881</v>
      </c>
      <c r="G115" s="6" t="s">
        <v>882</v>
      </c>
      <c r="H115" s="5" t="s">
        <v>883</v>
      </c>
      <c r="I115" s="7" t="s">
        <v>67</v>
      </c>
      <c r="J115" s="8" t="n">
        <v>10</v>
      </c>
      <c r="K115" s="9" t="n">
        <v>1994.06</v>
      </c>
      <c r="L115" s="10" t="n">
        <v>5000</v>
      </c>
      <c r="M115" s="10" t="n">
        <v>169.9</v>
      </c>
      <c r="N115" s="5" t="s">
        <v>68</v>
      </c>
      <c r="O115" s="5" t="n">
        <f aca="false">COUNTIF('Full Log'!$A:$A,$A115)</f>
        <v>3</v>
      </c>
      <c r="P115" s="5" t="s">
        <v>70</v>
      </c>
      <c r="Q115" s="5" t="s">
        <v>70</v>
      </c>
      <c r="R115" s="6" t="s">
        <v>884</v>
      </c>
    </row>
    <row r="116" customFormat="false" ht="46.25" hidden="false" customHeight="false" outlineLevel="0" collapsed="false">
      <c r="A116" s="5" t="s">
        <v>885</v>
      </c>
      <c r="B116" s="5" t="s">
        <v>886</v>
      </c>
      <c r="C116" s="6" t="s">
        <v>887</v>
      </c>
      <c r="D116" s="5" t="s">
        <v>183</v>
      </c>
      <c r="E116" s="6" t="s">
        <v>888</v>
      </c>
      <c r="F116" s="5" t="s">
        <v>889</v>
      </c>
      <c r="G116" s="6" t="s">
        <v>890</v>
      </c>
      <c r="H116" s="5" t="s">
        <v>883</v>
      </c>
      <c r="I116" s="11"/>
      <c r="J116" s="8"/>
      <c r="K116" s="9"/>
      <c r="L116" s="10"/>
      <c r="M116" s="10" t="n">
        <v>97.39</v>
      </c>
      <c r="N116" s="5" t="s">
        <v>68</v>
      </c>
      <c r="O116" s="5" t="n">
        <f aca="false">COUNTIF('Full Log'!$A:$A,$A116)</f>
        <v>3</v>
      </c>
      <c r="P116" s="5" t="s">
        <v>378</v>
      </c>
      <c r="Q116" s="5" t="s">
        <v>265</v>
      </c>
      <c r="R116" s="6" t="s">
        <v>891</v>
      </c>
    </row>
    <row r="117" customFormat="false" ht="46.25" hidden="false" customHeight="false" outlineLevel="0" collapsed="false">
      <c r="A117" s="5" t="s">
        <v>892</v>
      </c>
      <c r="B117" s="5" t="s">
        <v>893</v>
      </c>
      <c r="C117" s="6" t="s">
        <v>894</v>
      </c>
      <c r="D117" s="5" t="s">
        <v>331</v>
      </c>
      <c r="E117" s="6" t="s">
        <v>895</v>
      </c>
      <c r="F117" s="5" t="s">
        <v>896</v>
      </c>
      <c r="G117" s="6" t="s">
        <v>897</v>
      </c>
      <c r="H117" s="5" t="s">
        <v>883</v>
      </c>
      <c r="I117" s="7" t="s">
        <v>67</v>
      </c>
      <c r="J117" s="8" t="n">
        <v>15</v>
      </c>
      <c r="K117" s="9" t="n">
        <v>4040.98</v>
      </c>
      <c r="L117" s="10" t="n">
        <v>10000</v>
      </c>
      <c r="M117" s="10" t="n">
        <v>269.89</v>
      </c>
      <c r="N117" s="5" t="s">
        <v>68</v>
      </c>
      <c r="O117" s="5" t="n">
        <f aca="false">COUNTIF('Full Log'!$A:$A,$A117)</f>
        <v>2</v>
      </c>
      <c r="P117" s="5" t="s">
        <v>95</v>
      </c>
      <c r="Q117" s="5" t="s">
        <v>95</v>
      </c>
      <c r="R117" s="6" t="s">
        <v>898</v>
      </c>
    </row>
    <row r="118" customFormat="false" ht="46.25" hidden="false" customHeight="false" outlineLevel="0" collapsed="false">
      <c r="A118" s="5" t="s">
        <v>899</v>
      </c>
      <c r="B118" s="5" t="s">
        <v>900</v>
      </c>
      <c r="C118" s="6" t="s">
        <v>901</v>
      </c>
      <c r="D118" s="5" t="s">
        <v>83</v>
      </c>
      <c r="E118" s="6" t="s">
        <v>511</v>
      </c>
      <c r="F118" s="5" t="s">
        <v>902</v>
      </c>
      <c r="G118" s="6" t="s">
        <v>903</v>
      </c>
      <c r="H118" s="5" t="s">
        <v>883</v>
      </c>
      <c r="I118" s="11"/>
      <c r="J118" s="8"/>
      <c r="K118" s="9"/>
      <c r="L118" s="10"/>
      <c r="M118" s="10" t="n">
        <v>191.37</v>
      </c>
      <c r="N118" s="5" t="s">
        <v>68</v>
      </c>
      <c r="O118" s="5" t="n">
        <f aca="false">COUNTIF('Full Log'!$A:$A,$A118)</f>
        <v>0</v>
      </c>
      <c r="P118" s="5"/>
      <c r="Q118" s="5"/>
      <c r="R118" s="6" t="s">
        <v>172</v>
      </c>
    </row>
    <row r="119" customFormat="false" ht="35.05" hidden="false" customHeight="false" outlineLevel="0" collapsed="false">
      <c r="A119" s="5" t="s">
        <v>904</v>
      </c>
      <c r="B119" s="5" t="s">
        <v>905</v>
      </c>
      <c r="C119" s="6" t="s">
        <v>906</v>
      </c>
      <c r="D119" s="5" t="s">
        <v>907</v>
      </c>
      <c r="E119" s="6" t="s">
        <v>593</v>
      </c>
      <c r="F119" s="5" t="s">
        <v>908</v>
      </c>
      <c r="G119" s="6" t="s">
        <v>909</v>
      </c>
      <c r="H119" s="5" t="s">
        <v>883</v>
      </c>
      <c r="I119" s="11"/>
      <c r="J119" s="8"/>
      <c r="K119" s="9"/>
      <c r="L119" s="10"/>
      <c r="M119" s="10" t="n">
        <v>18.85</v>
      </c>
      <c r="N119" s="5" t="s">
        <v>68</v>
      </c>
      <c r="O119" s="5" t="n">
        <f aca="false">COUNTIF('Full Log'!$A:$A,$A119)</f>
        <v>2</v>
      </c>
      <c r="P119" s="5" t="s">
        <v>378</v>
      </c>
      <c r="Q119" s="5" t="s">
        <v>304</v>
      </c>
      <c r="R119" s="6" t="s">
        <v>910</v>
      </c>
    </row>
    <row r="120" customFormat="false" ht="46.25" hidden="false" customHeight="false" outlineLevel="0" collapsed="false">
      <c r="A120" s="5" t="s">
        <v>911</v>
      </c>
      <c r="B120" s="5" t="s">
        <v>912</v>
      </c>
      <c r="C120" s="6" t="s">
        <v>913</v>
      </c>
      <c r="D120" s="5" t="s">
        <v>459</v>
      </c>
      <c r="E120" s="6" t="s">
        <v>293</v>
      </c>
      <c r="F120" s="5" t="s">
        <v>914</v>
      </c>
      <c r="G120" s="6" t="s">
        <v>915</v>
      </c>
      <c r="H120" s="5" t="s">
        <v>883</v>
      </c>
      <c r="I120" s="11"/>
      <c r="J120" s="8"/>
      <c r="K120" s="9"/>
      <c r="L120" s="10"/>
      <c r="M120" s="10" t="n">
        <v>48.42</v>
      </c>
      <c r="N120" s="5" t="s">
        <v>68</v>
      </c>
      <c r="O120" s="5" t="n">
        <f aca="false">COUNTIF('Full Log'!$A:$A,$A120)</f>
        <v>8</v>
      </c>
      <c r="P120" s="5" t="s">
        <v>114</v>
      </c>
      <c r="Q120" s="5" t="s">
        <v>224</v>
      </c>
      <c r="R120" s="6" t="s">
        <v>916</v>
      </c>
    </row>
    <row r="121" customFormat="false" ht="91" hidden="false" customHeight="false" outlineLevel="0" collapsed="false">
      <c r="A121" s="5" t="s">
        <v>917</v>
      </c>
      <c r="B121" s="5" t="s">
        <v>918</v>
      </c>
      <c r="C121" s="6" t="s">
        <v>919</v>
      </c>
      <c r="D121" s="5" t="s">
        <v>600</v>
      </c>
      <c r="E121" s="6" t="s">
        <v>920</v>
      </c>
      <c r="F121" s="5" t="s">
        <v>921</v>
      </c>
      <c r="G121" s="6" t="s">
        <v>922</v>
      </c>
      <c r="H121" s="5" t="s">
        <v>883</v>
      </c>
      <c r="I121" s="11"/>
      <c r="J121" s="8"/>
      <c r="K121" s="9"/>
      <c r="L121" s="10"/>
      <c r="M121" s="10" t="n">
        <v>9.82</v>
      </c>
      <c r="N121" s="5" t="s">
        <v>68</v>
      </c>
      <c r="O121" s="5" t="n">
        <f aca="false">COUNTIF('Full Log'!$A:$A,$A121)</f>
        <v>5</v>
      </c>
      <c r="P121" s="5" t="s">
        <v>378</v>
      </c>
      <c r="Q121" s="5" t="s">
        <v>378</v>
      </c>
      <c r="R121" s="6" t="s">
        <v>923</v>
      </c>
    </row>
    <row r="122" customFormat="false" ht="35.05" hidden="false" customHeight="false" outlineLevel="0" collapsed="false">
      <c r="A122" s="5" t="s">
        <v>924</v>
      </c>
      <c r="B122" s="5" t="s">
        <v>925</v>
      </c>
      <c r="C122" s="6" t="s">
        <v>926</v>
      </c>
      <c r="D122" s="5" t="s">
        <v>183</v>
      </c>
      <c r="E122" s="6" t="s">
        <v>927</v>
      </c>
      <c r="F122" s="5" t="s">
        <v>928</v>
      </c>
      <c r="G122" s="6" t="s">
        <v>929</v>
      </c>
      <c r="H122" s="5" t="s">
        <v>883</v>
      </c>
      <c r="I122" s="11"/>
      <c r="J122" s="8"/>
      <c r="K122" s="9"/>
      <c r="L122" s="10"/>
      <c r="M122" s="10" t="n">
        <v>12.9</v>
      </c>
      <c r="N122" s="5" t="s">
        <v>104</v>
      </c>
      <c r="O122" s="5" t="n">
        <f aca="false">COUNTIF('Full Log'!$A:$A,$A122)</f>
        <v>0</v>
      </c>
      <c r="P122" s="5"/>
      <c r="Q122" s="5"/>
      <c r="R122" s="6" t="s">
        <v>172</v>
      </c>
    </row>
    <row r="123" customFormat="false" ht="46.25" hidden="false" customHeight="false" outlineLevel="0" collapsed="false">
      <c r="A123" s="5" t="s">
        <v>930</v>
      </c>
      <c r="B123" s="5" t="s">
        <v>931</v>
      </c>
      <c r="C123" s="6" t="s">
        <v>932</v>
      </c>
      <c r="D123" s="5" t="s">
        <v>933</v>
      </c>
      <c r="E123" s="6" t="s">
        <v>934</v>
      </c>
      <c r="F123" s="5" t="s">
        <v>935</v>
      </c>
      <c r="G123" s="6" t="s">
        <v>936</v>
      </c>
      <c r="H123" s="5" t="s">
        <v>883</v>
      </c>
      <c r="I123" s="7" t="s">
        <v>67</v>
      </c>
      <c r="J123" s="8" t="n">
        <v>42</v>
      </c>
      <c r="K123" s="9" t="n">
        <v>6078.05</v>
      </c>
      <c r="L123" s="10" t="n">
        <v>10000</v>
      </c>
      <c r="M123" s="10" t="n">
        <v>140.67</v>
      </c>
      <c r="N123" s="5" t="s">
        <v>68</v>
      </c>
      <c r="O123" s="5" t="n">
        <f aca="false">COUNTIF('Full Log'!$A:$A,$A123)</f>
        <v>6</v>
      </c>
      <c r="P123" s="5" t="s">
        <v>131</v>
      </c>
      <c r="Q123" s="5" t="s">
        <v>68</v>
      </c>
      <c r="R123" s="6" t="s">
        <v>898</v>
      </c>
    </row>
    <row r="124" customFormat="false" ht="46.25" hidden="false" customHeight="false" outlineLevel="0" collapsed="false">
      <c r="A124" s="5" t="s">
        <v>937</v>
      </c>
      <c r="B124" s="5" t="s">
        <v>938</v>
      </c>
      <c r="C124" s="6" t="s">
        <v>939</v>
      </c>
      <c r="D124" s="5" t="s">
        <v>854</v>
      </c>
      <c r="E124" s="6" t="s">
        <v>940</v>
      </c>
      <c r="F124" s="5" t="s">
        <v>941</v>
      </c>
      <c r="G124" s="6" t="s">
        <v>942</v>
      </c>
      <c r="H124" s="5" t="s">
        <v>883</v>
      </c>
      <c r="I124" s="11"/>
      <c r="J124" s="8"/>
      <c r="K124" s="9"/>
      <c r="L124" s="10"/>
      <c r="M124" s="10" t="n">
        <v>20.82</v>
      </c>
      <c r="N124" s="5" t="s">
        <v>104</v>
      </c>
      <c r="O124" s="5" t="n">
        <f aca="false">COUNTIF('Full Log'!$A:$A,$A124)</f>
        <v>1</v>
      </c>
      <c r="P124" s="5" t="s">
        <v>95</v>
      </c>
      <c r="Q124" s="5" t="s">
        <v>95</v>
      </c>
      <c r="R124" s="6" t="s">
        <v>669</v>
      </c>
    </row>
    <row r="125" customFormat="false" ht="68.65" hidden="false" customHeight="false" outlineLevel="0" collapsed="false">
      <c r="A125" s="5" t="s">
        <v>943</v>
      </c>
      <c r="B125" s="5" t="s">
        <v>944</v>
      </c>
      <c r="C125" s="6" t="s">
        <v>945</v>
      </c>
      <c r="D125" s="5" t="s">
        <v>946</v>
      </c>
      <c r="E125" s="6" t="s">
        <v>947</v>
      </c>
      <c r="F125" s="5" t="s">
        <v>739</v>
      </c>
      <c r="G125" s="6" t="s">
        <v>948</v>
      </c>
      <c r="H125" s="5" t="s">
        <v>949</v>
      </c>
      <c r="I125" s="7" t="s">
        <v>67</v>
      </c>
      <c r="J125" s="8" t="n">
        <v>19</v>
      </c>
      <c r="K125" s="9" t="n">
        <v>7879.55</v>
      </c>
      <c r="L125" s="10" t="n">
        <v>10000</v>
      </c>
      <c r="M125" s="10" t="n">
        <v>448.68</v>
      </c>
      <c r="N125" s="5" t="s">
        <v>68</v>
      </c>
      <c r="O125" s="5" t="n">
        <f aca="false">COUNTIF('Full Log'!$A:$A,$A125)</f>
        <v>8</v>
      </c>
      <c r="P125" s="5" t="s">
        <v>156</v>
      </c>
      <c r="Q125" s="5" t="s">
        <v>95</v>
      </c>
      <c r="R125" s="6" t="s">
        <v>950</v>
      </c>
    </row>
    <row r="126" customFormat="false" ht="68.65" hidden="false" customHeight="false" outlineLevel="0" collapsed="false">
      <c r="A126" s="5" t="s">
        <v>951</v>
      </c>
      <c r="B126" s="5" t="s">
        <v>952</v>
      </c>
      <c r="C126" s="6" t="s">
        <v>953</v>
      </c>
      <c r="D126" s="5" t="s">
        <v>954</v>
      </c>
      <c r="E126" s="6" t="s">
        <v>955</v>
      </c>
      <c r="F126" s="5" t="s">
        <v>956</v>
      </c>
      <c r="G126" s="6" t="s">
        <v>957</v>
      </c>
      <c r="H126" s="5" t="s">
        <v>949</v>
      </c>
      <c r="I126" s="7" t="s">
        <v>67</v>
      </c>
      <c r="J126" s="8" t="n">
        <v>2</v>
      </c>
      <c r="K126" s="9" t="n">
        <v>2147.3</v>
      </c>
      <c r="L126" s="10" t="n">
        <v>10000</v>
      </c>
      <c r="M126" s="10" t="n">
        <v>990.32</v>
      </c>
      <c r="N126" s="5" t="s">
        <v>68</v>
      </c>
      <c r="O126" s="5" t="n">
        <f aca="false">COUNTIF('Full Log'!$A:$A,$A126)</f>
        <v>6</v>
      </c>
      <c r="P126" s="5" t="s">
        <v>224</v>
      </c>
      <c r="Q126" s="5" t="s">
        <v>104</v>
      </c>
      <c r="R126" s="6" t="s">
        <v>233</v>
      </c>
    </row>
    <row r="127" customFormat="false" ht="68.65" hidden="false" customHeight="false" outlineLevel="0" collapsed="false">
      <c r="A127" s="5" t="s">
        <v>958</v>
      </c>
      <c r="B127" s="5" t="s">
        <v>959</v>
      </c>
      <c r="C127" s="6" t="s">
        <v>960</v>
      </c>
      <c r="D127" s="5" t="s">
        <v>961</v>
      </c>
      <c r="E127" s="6" t="s">
        <v>962</v>
      </c>
      <c r="F127" s="5" t="s">
        <v>963</v>
      </c>
      <c r="G127" s="6" t="s">
        <v>964</v>
      </c>
      <c r="H127" s="5" t="s">
        <v>949</v>
      </c>
      <c r="I127" s="11"/>
      <c r="J127" s="8"/>
      <c r="K127" s="9"/>
      <c r="L127" s="10"/>
      <c r="M127" s="10" t="n">
        <v>513.99</v>
      </c>
      <c r="N127" s="5" t="s">
        <v>68</v>
      </c>
      <c r="O127" s="5" t="n">
        <f aca="false">COUNTIF('Full Log'!$A:$A,$A127)</f>
        <v>5</v>
      </c>
      <c r="P127" s="5" t="s">
        <v>138</v>
      </c>
      <c r="Q127" s="5" t="s">
        <v>95</v>
      </c>
      <c r="R127" s="6" t="s">
        <v>950</v>
      </c>
    </row>
    <row r="128" customFormat="false" ht="35.05" hidden="false" customHeight="false" outlineLevel="0" collapsed="false">
      <c r="A128" s="5" t="s">
        <v>965</v>
      </c>
      <c r="B128" s="5" t="s">
        <v>966</v>
      </c>
      <c r="C128" s="6" t="s">
        <v>967</v>
      </c>
      <c r="D128" s="5" t="s">
        <v>758</v>
      </c>
      <c r="E128" s="6" t="s">
        <v>968</v>
      </c>
      <c r="F128" s="5" t="s">
        <v>969</v>
      </c>
      <c r="G128" s="6" t="s">
        <v>970</v>
      </c>
      <c r="H128" s="5" t="s">
        <v>949</v>
      </c>
      <c r="I128" s="11"/>
      <c r="J128" s="8"/>
      <c r="K128" s="9"/>
      <c r="L128" s="10"/>
      <c r="M128" s="10" t="n">
        <v>3.87</v>
      </c>
      <c r="N128" s="5" t="s">
        <v>68</v>
      </c>
      <c r="O128" s="5" t="n">
        <f aca="false">COUNTIF('Full Log'!$A:$A,$A128)</f>
        <v>0</v>
      </c>
      <c r="P128" s="5"/>
      <c r="Q128" s="5"/>
      <c r="R128" s="6" t="s">
        <v>172</v>
      </c>
    </row>
    <row r="129" customFormat="false" ht="46.25" hidden="false" customHeight="false" outlineLevel="0" collapsed="false">
      <c r="A129" s="5" t="s">
        <v>971</v>
      </c>
      <c r="B129" s="5" t="s">
        <v>972</v>
      </c>
      <c r="C129" s="6" t="s">
        <v>973</v>
      </c>
      <c r="D129" s="5" t="s">
        <v>278</v>
      </c>
      <c r="E129" s="6" t="s">
        <v>525</v>
      </c>
      <c r="F129" s="5" t="s">
        <v>974</v>
      </c>
      <c r="G129" s="6" t="s">
        <v>975</v>
      </c>
      <c r="H129" s="5" t="s">
        <v>949</v>
      </c>
      <c r="I129" s="7" t="s">
        <v>67</v>
      </c>
      <c r="J129" s="8" t="n">
        <v>1</v>
      </c>
      <c r="K129" s="9" t="n">
        <v>1538.56</v>
      </c>
      <c r="L129" s="10" t="n">
        <v>5000</v>
      </c>
      <c r="M129" s="10" t="n">
        <v>1401.54</v>
      </c>
      <c r="N129" s="5" t="s">
        <v>68</v>
      </c>
      <c r="O129" s="5" t="n">
        <f aca="false">COUNTIF('Full Log'!$A:$A,$A129)</f>
        <v>7</v>
      </c>
      <c r="P129" s="5" t="s">
        <v>114</v>
      </c>
      <c r="Q129" s="5" t="s">
        <v>68</v>
      </c>
      <c r="R129" s="6" t="s">
        <v>976</v>
      </c>
    </row>
    <row r="130" customFormat="false" ht="68.65" hidden="false" customHeight="false" outlineLevel="0" collapsed="false">
      <c r="A130" s="5" t="s">
        <v>977</v>
      </c>
      <c r="B130" s="5" t="s">
        <v>978</v>
      </c>
      <c r="C130" s="6" t="s">
        <v>979</v>
      </c>
      <c r="D130" s="5" t="s">
        <v>434</v>
      </c>
      <c r="E130" s="6" t="s">
        <v>980</v>
      </c>
      <c r="F130" s="5" t="s">
        <v>981</v>
      </c>
      <c r="G130" s="6" t="s">
        <v>982</v>
      </c>
      <c r="H130" s="5" t="s">
        <v>949</v>
      </c>
      <c r="I130" s="11"/>
      <c r="J130" s="8"/>
      <c r="K130" s="9"/>
      <c r="L130" s="10"/>
      <c r="M130" s="10" t="n">
        <v>164.69</v>
      </c>
      <c r="N130" s="5" t="s">
        <v>68</v>
      </c>
      <c r="O130" s="5" t="n">
        <f aca="false">COUNTIF('Full Log'!$A:$A,$A130)</f>
        <v>3</v>
      </c>
      <c r="P130" s="5" t="s">
        <v>95</v>
      </c>
      <c r="Q130" s="5" t="s">
        <v>95</v>
      </c>
      <c r="R130" s="6" t="s">
        <v>870</v>
      </c>
    </row>
    <row r="131" customFormat="false" ht="35.05" hidden="false" customHeight="false" outlineLevel="0" collapsed="false">
      <c r="A131" s="5" t="s">
        <v>983</v>
      </c>
      <c r="B131" s="5" t="s">
        <v>984</v>
      </c>
      <c r="C131" s="6" t="s">
        <v>985</v>
      </c>
      <c r="D131" s="5" t="s">
        <v>580</v>
      </c>
      <c r="E131" s="6" t="s">
        <v>271</v>
      </c>
      <c r="F131" s="5" t="s">
        <v>986</v>
      </c>
      <c r="G131" s="6" t="s">
        <v>987</v>
      </c>
      <c r="H131" s="5" t="s">
        <v>949</v>
      </c>
      <c r="I131" s="11"/>
      <c r="J131" s="8"/>
      <c r="K131" s="9"/>
      <c r="L131" s="10"/>
      <c r="M131" s="10" t="n">
        <v>64.59</v>
      </c>
      <c r="N131" s="5" t="s">
        <v>68</v>
      </c>
      <c r="O131" s="5" t="n">
        <f aca="false">COUNTIF('Full Log'!$A:$A,$A131)</f>
        <v>0</v>
      </c>
      <c r="P131" s="5"/>
      <c r="Q131" s="5"/>
      <c r="R131" s="6" t="s">
        <v>172</v>
      </c>
    </row>
    <row r="132" customFormat="false" ht="68.65" hidden="false" customHeight="false" outlineLevel="0" collapsed="false">
      <c r="A132" s="5" t="s">
        <v>988</v>
      </c>
      <c r="B132" s="5" t="s">
        <v>989</v>
      </c>
      <c r="C132" s="6" t="s">
        <v>990</v>
      </c>
      <c r="D132" s="5" t="s">
        <v>991</v>
      </c>
      <c r="E132" s="6" t="s">
        <v>460</v>
      </c>
      <c r="F132" s="5" t="s">
        <v>992</v>
      </c>
      <c r="G132" s="6" t="s">
        <v>993</v>
      </c>
      <c r="H132" s="5" t="s">
        <v>949</v>
      </c>
      <c r="I132" s="11"/>
      <c r="J132" s="8"/>
      <c r="K132" s="9"/>
      <c r="L132" s="10"/>
      <c r="M132" s="10" t="n">
        <v>211.56</v>
      </c>
      <c r="N132" s="5" t="s">
        <v>68</v>
      </c>
      <c r="O132" s="5" t="n">
        <f aca="false">COUNTIF('Full Log'!$A:$A,$A132)</f>
        <v>3</v>
      </c>
      <c r="P132" s="5" t="s">
        <v>95</v>
      </c>
      <c r="Q132" s="5" t="s">
        <v>95</v>
      </c>
      <c r="R132" s="6" t="s">
        <v>870</v>
      </c>
    </row>
    <row r="133" customFormat="false" ht="68.65" hidden="false" customHeight="false" outlineLevel="0" collapsed="false">
      <c r="A133" s="5" t="s">
        <v>994</v>
      </c>
      <c r="B133" s="5" t="s">
        <v>995</v>
      </c>
      <c r="C133" s="6" t="s">
        <v>996</v>
      </c>
      <c r="D133" s="5" t="s">
        <v>278</v>
      </c>
      <c r="E133" s="6" t="s">
        <v>460</v>
      </c>
      <c r="F133" s="5" t="s">
        <v>997</v>
      </c>
      <c r="G133" s="6" t="s">
        <v>998</v>
      </c>
      <c r="H133" s="5" t="s">
        <v>949</v>
      </c>
      <c r="I133" s="11"/>
      <c r="J133" s="8"/>
      <c r="K133" s="9"/>
      <c r="L133" s="10"/>
      <c r="M133" s="10" t="n">
        <v>671.86</v>
      </c>
      <c r="N133" s="5" t="s">
        <v>68</v>
      </c>
      <c r="O133" s="5" t="n">
        <f aca="false">COUNTIF('Full Log'!$A:$A,$A133)</f>
        <v>2</v>
      </c>
      <c r="P133" s="5" t="s">
        <v>95</v>
      </c>
      <c r="Q133" s="5" t="s">
        <v>95</v>
      </c>
      <c r="R133" s="6" t="s">
        <v>950</v>
      </c>
    </row>
    <row r="134" customFormat="false" ht="68.65" hidden="false" customHeight="false" outlineLevel="0" collapsed="false">
      <c r="A134" s="5" t="s">
        <v>999</v>
      </c>
      <c r="B134" s="5" t="s">
        <v>1000</v>
      </c>
      <c r="C134" s="6" t="s">
        <v>1001</v>
      </c>
      <c r="D134" s="5" t="s">
        <v>758</v>
      </c>
      <c r="E134" s="6" t="s">
        <v>1002</v>
      </c>
      <c r="F134" s="5" t="s">
        <v>1003</v>
      </c>
      <c r="G134" s="6" t="s">
        <v>1004</v>
      </c>
      <c r="H134" s="5" t="s">
        <v>1005</v>
      </c>
      <c r="I134" s="11"/>
      <c r="J134" s="8"/>
      <c r="K134" s="9"/>
      <c r="L134" s="10"/>
      <c r="M134" s="10" t="n">
        <v>5.92</v>
      </c>
      <c r="N134" s="5" t="s">
        <v>68</v>
      </c>
      <c r="O134" s="5" t="n">
        <f aca="false">COUNTIF('Full Log'!$A:$A,$A134)</f>
        <v>6</v>
      </c>
      <c r="P134" s="5" t="s">
        <v>95</v>
      </c>
      <c r="Q134" s="5" t="s">
        <v>104</v>
      </c>
      <c r="R134" s="6" t="s">
        <v>233</v>
      </c>
    </row>
    <row r="135" customFormat="false" ht="35.05" hidden="false" customHeight="false" outlineLevel="0" collapsed="false">
      <c r="A135" s="5" t="s">
        <v>1006</v>
      </c>
      <c r="B135" s="5" t="s">
        <v>1007</v>
      </c>
      <c r="C135" s="6" t="s">
        <v>1008</v>
      </c>
      <c r="D135" s="5" t="s">
        <v>711</v>
      </c>
      <c r="E135" s="6" t="s">
        <v>271</v>
      </c>
      <c r="F135" s="5" t="s">
        <v>1009</v>
      </c>
      <c r="G135" s="6" t="s">
        <v>1010</v>
      </c>
      <c r="H135" s="5" t="s">
        <v>1005</v>
      </c>
      <c r="I135" s="11"/>
      <c r="J135" s="8"/>
      <c r="K135" s="9"/>
      <c r="L135" s="10"/>
      <c r="M135" s="10" t="n">
        <v>219.34</v>
      </c>
      <c r="N135" s="5" t="s">
        <v>68</v>
      </c>
      <c r="O135" s="5" t="n">
        <f aca="false">COUNTIF('Full Log'!$A:$A,$A135)</f>
        <v>0</v>
      </c>
      <c r="P135" s="5"/>
      <c r="Q135" s="5"/>
      <c r="R135" s="6" t="s">
        <v>172</v>
      </c>
    </row>
    <row r="136" customFormat="false" ht="35.05" hidden="false" customHeight="false" outlineLevel="0" collapsed="false">
      <c r="A136" s="5" t="s">
        <v>1011</v>
      </c>
      <c r="B136" s="5" t="s">
        <v>1012</v>
      </c>
      <c r="C136" s="6" t="s">
        <v>1013</v>
      </c>
      <c r="D136" s="5" t="s">
        <v>758</v>
      </c>
      <c r="E136" s="6" t="s">
        <v>495</v>
      </c>
      <c r="F136" s="5" t="s">
        <v>1014</v>
      </c>
      <c r="G136" s="6" t="s">
        <v>1015</v>
      </c>
      <c r="H136" s="5" t="s">
        <v>1005</v>
      </c>
      <c r="I136" s="11"/>
      <c r="J136" s="8"/>
      <c r="K136" s="9"/>
      <c r="L136" s="10"/>
      <c r="M136" s="10" t="n">
        <v>13.2</v>
      </c>
      <c r="N136" s="5" t="s">
        <v>68</v>
      </c>
      <c r="O136" s="5" t="n">
        <f aca="false">COUNTIF('Full Log'!$A:$A,$A136)</f>
        <v>6</v>
      </c>
      <c r="P136" s="5" t="s">
        <v>104</v>
      </c>
      <c r="Q136" s="5" t="s">
        <v>104</v>
      </c>
      <c r="R136" s="6" t="s">
        <v>1016</v>
      </c>
    </row>
    <row r="137" customFormat="false" ht="35.05" hidden="false" customHeight="false" outlineLevel="0" collapsed="false">
      <c r="A137" s="5" t="s">
        <v>1017</v>
      </c>
      <c r="B137" s="5" t="s">
        <v>1018</v>
      </c>
      <c r="C137" s="6" t="s">
        <v>1019</v>
      </c>
      <c r="D137" s="5" t="s">
        <v>1020</v>
      </c>
      <c r="E137" s="6" t="s">
        <v>1021</v>
      </c>
      <c r="F137" s="5" t="s">
        <v>1022</v>
      </c>
      <c r="G137" s="6" t="s">
        <v>1023</v>
      </c>
      <c r="H137" s="5" t="s">
        <v>1005</v>
      </c>
      <c r="I137" s="11"/>
      <c r="J137" s="8"/>
      <c r="K137" s="9"/>
      <c r="L137" s="10"/>
      <c r="M137" s="10" t="n">
        <v>337.42</v>
      </c>
      <c r="N137" s="5" t="s">
        <v>68</v>
      </c>
      <c r="O137" s="5" t="n">
        <f aca="false">COUNTIF('Full Log'!$A:$A,$A137)</f>
        <v>0</v>
      </c>
      <c r="P137" s="5"/>
      <c r="Q137" s="5"/>
      <c r="R137" s="6" t="s">
        <v>172</v>
      </c>
    </row>
    <row r="138" customFormat="false" ht="46.25" hidden="false" customHeight="false" outlineLevel="0" collapsed="false">
      <c r="A138" s="5" t="s">
        <v>1024</v>
      </c>
      <c r="B138" s="5" t="s">
        <v>1025</v>
      </c>
      <c r="C138" s="6" t="s">
        <v>1026</v>
      </c>
      <c r="D138" s="5" t="s">
        <v>1027</v>
      </c>
      <c r="E138" s="6" t="s">
        <v>1028</v>
      </c>
      <c r="F138" s="5" t="s">
        <v>1029</v>
      </c>
      <c r="G138" s="6" t="s">
        <v>1030</v>
      </c>
      <c r="H138" s="5" t="s">
        <v>1005</v>
      </c>
      <c r="I138" s="11"/>
      <c r="J138" s="8"/>
      <c r="K138" s="9"/>
      <c r="L138" s="10"/>
      <c r="M138" s="10" t="n">
        <v>84.65</v>
      </c>
      <c r="N138" s="5" t="s">
        <v>68</v>
      </c>
      <c r="O138" s="5" t="n">
        <f aca="false">COUNTIF('Full Log'!$A:$A,$A138)</f>
        <v>3</v>
      </c>
      <c r="P138" s="5" t="s">
        <v>378</v>
      </c>
      <c r="Q138" s="5" t="s">
        <v>70</v>
      </c>
      <c r="R138" s="6" t="s">
        <v>891</v>
      </c>
    </row>
    <row r="139" customFormat="false" ht="113.4" hidden="false" customHeight="false" outlineLevel="0" collapsed="false">
      <c r="A139" s="5" t="s">
        <v>1031</v>
      </c>
      <c r="B139" s="5" t="s">
        <v>1032</v>
      </c>
      <c r="C139" s="6" t="s">
        <v>1033</v>
      </c>
      <c r="D139" s="5" t="s">
        <v>143</v>
      </c>
      <c r="E139" s="6" t="s">
        <v>460</v>
      </c>
      <c r="F139" s="5" t="s">
        <v>1034</v>
      </c>
      <c r="G139" s="6" t="s">
        <v>1035</v>
      </c>
      <c r="H139" s="5" t="s">
        <v>1005</v>
      </c>
      <c r="I139" s="11"/>
      <c r="J139" s="8"/>
      <c r="K139" s="9"/>
      <c r="L139" s="10"/>
      <c r="M139" s="10" t="n">
        <v>118.13</v>
      </c>
      <c r="N139" s="5" t="s">
        <v>68</v>
      </c>
      <c r="O139" s="5" t="n">
        <f aca="false">COUNTIF('Full Log'!$A:$A,$A139)</f>
        <v>1</v>
      </c>
      <c r="P139" s="5" t="s">
        <v>68</v>
      </c>
      <c r="Q139" s="5" t="s">
        <v>68</v>
      </c>
      <c r="R139" s="6" t="s">
        <v>1036</v>
      </c>
    </row>
    <row r="140" customFormat="false" ht="46.25" hidden="false" customHeight="false" outlineLevel="0" collapsed="false">
      <c r="A140" s="5" t="s">
        <v>1037</v>
      </c>
      <c r="B140" s="5" t="s">
        <v>1038</v>
      </c>
      <c r="C140" s="6" t="s">
        <v>1039</v>
      </c>
      <c r="D140" s="5" t="s">
        <v>1040</v>
      </c>
      <c r="E140" s="6" t="s">
        <v>1041</v>
      </c>
      <c r="F140" s="5" t="s">
        <v>1042</v>
      </c>
      <c r="G140" s="6" t="s">
        <v>1043</v>
      </c>
      <c r="H140" s="5" t="s">
        <v>1005</v>
      </c>
      <c r="I140" s="7" t="s">
        <v>67</v>
      </c>
      <c r="J140" s="8" t="n">
        <v>14</v>
      </c>
      <c r="K140" s="9" t="n">
        <v>3524.44</v>
      </c>
      <c r="L140" s="10" t="n">
        <v>10000</v>
      </c>
      <c r="M140" s="10" t="n">
        <v>272.4</v>
      </c>
      <c r="N140" s="5" t="s">
        <v>68</v>
      </c>
      <c r="O140" s="5" t="n">
        <f aca="false">COUNTIF('Full Log'!$A:$A,$A140)</f>
        <v>4</v>
      </c>
      <c r="P140" s="5" t="s">
        <v>114</v>
      </c>
      <c r="Q140" s="5" t="s">
        <v>70</v>
      </c>
      <c r="R140" s="6" t="s">
        <v>1044</v>
      </c>
    </row>
    <row r="141" customFormat="false" ht="57.45" hidden="false" customHeight="false" outlineLevel="0" collapsed="false">
      <c r="A141" s="5" t="s">
        <v>1045</v>
      </c>
      <c r="B141" s="5" t="s">
        <v>1046</v>
      </c>
      <c r="C141" s="6" t="s">
        <v>1047</v>
      </c>
      <c r="D141" s="5" t="s">
        <v>481</v>
      </c>
      <c r="E141" s="6" t="s">
        <v>427</v>
      </c>
      <c r="F141" s="5" t="s">
        <v>1048</v>
      </c>
      <c r="G141" s="6" t="s">
        <v>1049</v>
      </c>
      <c r="H141" s="5" t="s">
        <v>1050</v>
      </c>
      <c r="I141" s="11"/>
      <c r="J141" s="8"/>
      <c r="K141" s="9"/>
      <c r="L141" s="10"/>
      <c r="M141" s="10" t="n">
        <v>79.56</v>
      </c>
      <c r="N141" s="5" t="s">
        <v>70</v>
      </c>
      <c r="O141" s="5" t="n">
        <f aca="false">COUNTIF('Full Log'!$A:$A,$A141)</f>
        <v>2</v>
      </c>
      <c r="P141" s="5" t="s">
        <v>378</v>
      </c>
      <c r="Q141" s="5" t="s">
        <v>378</v>
      </c>
      <c r="R141" s="6" t="s">
        <v>1051</v>
      </c>
    </row>
    <row r="142" customFormat="false" ht="35.05" hidden="false" customHeight="false" outlineLevel="0" collapsed="false">
      <c r="A142" s="5" t="s">
        <v>1052</v>
      </c>
      <c r="B142" s="5" t="s">
        <v>1053</v>
      </c>
      <c r="C142" s="6" t="s">
        <v>1054</v>
      </c>
      <c r="D142" s="5" t="s">
        <v>278</v>
      </c>
      <c r="E142" s="6" t="s">
        <v>1055</v>
      </c>
      <c r="F142" s="5" t="s">
        <v>1056</v>
      </c>
      <c r="G142" s="6" t="s">
        <v>1057</v>
      </c>
      <c r="H142" s="5" t="s">
        <v>1050</v>
      </c>
      <c r="I142" s="11"/>
      <c r="J142" s="8"/>
      <c r="K142" s="9"/>
      <c r="L142" s="10"/>
      <c r="M142" s="10" t="n">
        <v>214.42</v>
      </c>
      <c r="N142" s="5" t="s">
        <v>68</v>
      </c>
      <c r="O142" s="5" t="n">
        <f aca="false">COUNTIF('Full Log'!$A:$A,$A142)</f>
        <v>0</v>
      </c>
      <c r="P142" s="5"/>
      <c r="Q142" s="5"/>
      <c r="R142" s="6" t="s">
        <v>172</v>
      </c>
    </row>
    <row r="143" customFormat="false" ht="35.05" hidden="false" customHeight="false" outlineLevel="0" collapsed="false">
      <c r="A143" s="5" t="s">
        <v>1058</v>
      </c>
      <c r="B143" s="5" t="s">
        <v>1059</v>
      </c>
      <c r="C143" s="6" t="s">
        <v>1060</v>
      </c>
      <c r="D143" s="5" t="s">
        <v>331</v>
      </c>
      <c r="E143" s="6" t="s">
        <v>1061</v>
      </c>
      <c r="F143" s="5" t="s">
        <v>1062</v>
      </c>
      <c r="G143" s="6" t="s">
        <v>1063</v>
      </c>
      <c r="H143" s="5" t="s">
        <v>1050</v>
      </c>
      <c r="I143" s="11"/>
      <c r="J143" s="8"/>
      <c r="K143" s="9"/>
      <c r="L143" s="10"/>
      <c r="M143" s="10" t="n">
        <v>1820.69</v>
      </c>
      <c r="N143" s="5" t="s">
        <v>68</v>
      </c>
      <c r="O143" s="5" t="n">
        <f aca="false">COUNTIF('Full Log'!$A:$A,$A143)</f>
        <v>5</v>
      </c>
      <c r="P143" s="5" t="s">
        <v>131</v>
      </c>
      <c r="Q143" s="5" t="s">
        <v>104</v>
      </c>
      <c r="R143" s="6" t="s">
        <v>1064</v>
      </c>
    </row>
    <row r="144" customFormat="false" ht="46.25" hidden="false" customHeight="false" outlineLevel="0" collapsed="false">
      <c r="A144" s="5" t="s">
        <v>1065</v>
      </c>
      <c r="B144" s="5" t="s">
        <v>1066</v>
      </c>
      <c r="C144" s="6" t="s">
        <v>1067</v>
      </c>
      <c r="D144" s="5" t="s">
        <v>278</v>
      </c>
      <c r="E144" s="6" t="s">
        <v>1068</v>
      </c>
      <c r="F144" s="5" t="s">
        <v>1069</v>
      </c>
      <c r="G144" s="6" t="s">
        <v>1070</v>
      </c>
      <c r="H144" s="5" t="s">
        <v>1050</v>
      </c>
      <c r="I144" s="11"/>
      <c r="J144" s="8"/>
      <c r="K144" s="9"/>
      <c r="L144" s="10"/>
      <c r="M144" s="10" t="n">
        <v>74.14</v>
      </c>
      <c r="N144" s="5" t="s">
        <v>68</v>
      </c>
      <c r="O144" s="5" t="n">
        <f aca="false">COUNTIF('Full Log'!$A:$A,$A144)</f>
        <v>0</v>
      </c>
      <c r="P144" s="5"/>
      <c r="Q144" s="5"/>
      <c r="R144" s="6" t="s">
        <v>172</v>
      </c>
    </row>
    <row r="145" customFormat="false" ht="46.25" hidden="false" customHeight="false" outlineLevel="0" collapsed="false">
      <c r="A145" s="5" t="s">
        <v>1071</v>
      </c>
      <c r="B145" s="5" t="s">
        <v>1072</v>
      </c>
      <c r="C145" s="6" t="s">
        <v>1073</v>
      </c>
      <c r="D145" s="5" t="s">
        <v>854</v>
      </c>
      <c r="E145" s="6" t="s">
        <v>261</v>
      </c>
      <c r="F145" s="5" t="s">
        <v>1074</v>
      </c>
      <c r="G145" s="6" t="s">
        <v>1075</v>
      </c>
      <c r="H145" s="5" t="s">
        <v>1050</v>
      </c>
      <c r="I145" s="11"/>
      <c r="J145" s="8"/>
      <c r="K145" s="9"/>
      <c r="L145" s="10"/>
      <c r="M145" s="10" t="n">
        <v>113.43</v>
      </c>
      <c r="N145" s="5" t="s">
        <v>68</v>
      </c>
      <c r="O145" s="5" t="n">
        <f aca="false">COUNTIF('Full Log'!$A:$A,$A145)</f>
        <v>0</v>
      </c>
      <c r="P145" s="5"/>
      <c r="Q145" s="5"/>
      <c r="R145" s="6" t="s">
        <v>172</v>
      </c>
    </row>
    <row r="146" customFormat="false" ht="57.45" hidden="false" customHeight="false" outlineLevel="0" collapsed="false">
      <c r="A146" s="5" t="s">
        <v>1076</v>
      </c>
      <c r="B146" s="5" t="s">
        <v>1077</v>
      </c>
      <c r="C146" s="6" t="s">
        <v>1078</v>
      </c>
      <c r="D146" s="5" t="s">
        <v>91</v>
      </c>
      <c r="E146" s="6" t="s">
        <v>1079</v>
      </c>
      <c r="F146" s="5" t="s">
        <v>1080</v>
      </c>
      <c r="G146" s="6" t="s">
        <v>1081</v>
      </c>
      <c r="H146" s="5" t="s">
        <v>1050</v>
      </c>
      <c r="I146" s="11"/>
      <c r="J146" s="8"/>
      <c r="K146" s="9"/>
      <c r="L146" s="10"/>
      <c r="M146" s="10" t="n">
        <v>151.57</v>
      </c>
      <c r="N146" s="5" t="s">
        <v>68</v>
      </c>
      <c r="O146" s="5" t="n">
        <f aca="false">COUNTIF('Full Log'!$A:$A,$A146)</f>
        <v>2</v>
      </c>
      <c r="P146" s="5" t="s">
        <v>378</v>
      </c>
      <c r="Q146" s="5" t="s">
        <v>378</v>
      </c>
      <c r="R146" s="6" t="s">
        <v>1051</v>
      </c>
    </row>
    <row r="147" customFormat="false" ht="113.4" hidden="false" customHeight="false" outlineLevel="0" collapsed="false">
      <c r="A147" s="5" t="s">
        <v>1082</v>
      </c>
      <c r="B147" s="5" t="s">
        <v>1083</v>
      </c>
      <c r="C147" s="6" t="s">
        <v>1084</v>
      </c>
      <c r="D147" s="5" t="s">
        <v>861</v>
      </c>
      <c r="E147" s="6" t="s">
        <v>293</v>
      </c>
      <c r="F147" s="5" t="s">
        <v>1085</v>
      </c>
      <c r="G147" s="6" t="s">
        <v>1086</v>
      </c>
      <c r="H147" s="5" t="s">
        <v>1050</v>
      </c>
      <c r="I147" s="11"/>
      <c r="J147" s="8"/>
      <c r="K147" s="9"/>
      <c r="L147" s="10"/>
      <c r="M147" s="10" t="n">
        <v>8.02</v>
      </c>
      <c r="N147" s="5" t="s">
        <v>68</v>
      </c>
      <c r="O147" s="5" t="n">
        <f aca="false">COUNTIF('Full Log'!$A:$A,$A147)</f>
        <v>1</v>
      </c>
      <c r="P147" s="5" t="s">
        <v>68</v>
      </c>
      <c r="Q147" s="5" t="s">
        <v>68</v>
      </c>
      <c r="R147" s="6" t="s">
        <v>1036</v>
      </c>
    </row>
    <row r="148" customFormat="false" ht="46.25" hidden="false" customHeight="false" outlineLevel="0" collapsed="false">
      <c r="A148" s="5" t="s">
        <v>1087</v>
      </c>
      <c r="B148" s="5" t="s">
        <v>1088</v>
      </c>
      <c r="C148" s="6" t="s">
        <v>1089</v>
      </c>
      <c r="D148" s="5" t="s">
        <v>854</v>
      </c>
      <c r="E148" s="6" t="s">
        <v>427</v>
      </c>
      <c r="F148" s="5" t="s">
        <v>1042</v>
      </c>
      <c r="G148" s="6" t="s">
        <v>1090</v>
      </c>
      <c r="H148" s="5" t="s">
        <v>1050</v>
      </c>
      <c r="I148" s="11"/>
      <c r="J148" s="8"/>
      <c r="K148" s="9"/>
      <c r="L148" s="10"/>
      <c r="M148" s="10" t="n">
        <v>75.02</v>
      </c>
      <c r="N148" s="5" t="s">
        <v>68</v>
      </c>
      <c r="O148" s="5" t="n">
        <f aca="false">COUNTIF('Full Log'!$A:$A,$A148)</f>
        <v>3</v>
      </c>
      <c r="P148" s="5" t="s">
        <v>224</v>
      </c>
      <c r="Q148" s="5" t="s">
        <v>138</v>
      </c>
      <c r="R148" s="6" t="s">
        <v>1091</v>
      </c>
    </row>
    <row r="149" customFormat="false" ht="35.05" hidden="false" customHeight="false" outlineLevel="0" collapsed="false">
      <c r="A149" s="5" t="s">
        <v>1092</v>
      </c>
      <c r="B149" s="5" t="s">
        <v>1093</v>
      </c>
      <c r="C149" s="6" t="s">
        <v>1094</v>
      </c>
      <c r="D149" s="5" t="s">
        <v>861</v>
      </c>
      <c r="E149" s="6" t="s">
        <v>631</v>
      </c>
      <c r="F149" s="5" t="s">
        <v>1095</v>
      </c>
      <c r="G149" s="6" t="s">
        <v>1096</v>
      </c>
      <c r="H149" s="5" t="s">
        <v>1050</v>
      </c>
      <c r="I149" s="11"/>
      <c r="J149" s="8"/>
      <c r="K149" s="9"/>
      <c r="L149" s="10"/>
      <c r="M149" s="10" t="n">
        <v>179.64</v>
      </c>
      <c r="N149" s="5" t="s">
        <v>68</v>
      </c>
      <c r="O149" s="5" t="n">
        <f aca="false">COUNTIF('Full Log'!$A:$A,$A149)</f>
        <v>0</v>
      </c>
      <c r="P149" s="5"/>
      <c r="Q149" s="5"/>
      <c r="R149" s="6" t="s">
        <v>172</v>
      </c>
    </row>
    <row r="150" customFormat="false" ht="35.05" hidden="false" customHeight="false" outlineLevel="0" collapsed="false">
      <c r="A150" s="5" t="s">
        <v>1097</v>
      </c>
      <c r="B150" s="5" t="s">
        <v>1098</v>
      </c>
      <c r="C150" s="6" t="s">
        <v>1099</v>
      </c>
      <c r="D150" s="5" t="s">
        <v>1027</v>
      </c>
      <c r="E150" s="6" t="s">
        <v>934</v>
      </c>
      <c r="F150" s="5" t="s">
        <v>1100</v>
      </c>
      <c r="G150" s="6" t="s">
        <v>1101</v>
      </c>
      <c r="H150" s="5" t="s">
        <v>1102</v>
      </c>
      <c r="I150" s="11"/>
      <c r="J150" s="8"/>
      <c r="K150" s="9"/>
      <c r="L150" s="10"/>
      <c r="M150" s="10" t="n">
        <v>842.19</v>
      </c>
      <c r="N150" s="5" t="s">
        <v>68</v>
      </c>
      <c r="O150" s="5" t="n">
        <f aca="false">COUNTIF('Full Log'!$A:$A,$A150)</f>
        <v>0</v>
      </c>
      <c r="P150" s="5"/>
      <c r="Q150" s="5"/>
      <c r="R150" s="6" t="s">
        <v>172</v>
      </c>
    </row>
    <row r="151" customFormat="false" ht="46.25" hidden="false" customHeight="false" outlineLevel="0" collapsed="false">
      <c r="A151" s="5" t="s">
        <v>1103</v>
      </c>
      <c r="B151" s="5" t="s">
        <v>1104</v>
      </c>
      <c r="C151" s="6" t="s">
        <v>1105</v>
      </c>
      <c r="D151" s="5" t="s">
        <v>1106</v>
      </c>
      <c r="E151" s="6" t="s">
        <v>1107</v>
      </c>
      <c r="F151" s="5" t="s">
        <v>1108</v>
      </c>
      <c r="G151" s="6" t="s">
        <v>1109</v>
      </c>
      <c r="H151" s="5" t="s">
        <v>1102</v>
      </c>
      <c r="I151" s="11"/>
      <c r="J151" s="8"/>
      <c r="K151" s="9"/>
      <c r="L151" s="10"/>
      <c r="M151" s="10" t="n">
        <v>620.83</v>
      </c>
      <c r="N151" s="5" t="s">
        <v>68</v>
      </c>
      <c r="O151" s="5" t="n">
        <f aca="false">COUNTIF('Full Log'!$A:$A,$A151)</f>
        <v>0</v>
      </c>
      <c r="P151" s="5"/>
      <c r="Q151" s="5"/>
      <c r="R151" s="6" t="s">
        <v>172</v>
      </c>
    </row>
    <row r="152" customFormat="false" ht="35.05" hidden="false" customHeight="false" outlineLevel="0" collapsed="false">
      <c r="A152" s="5" t="s">
        <v>1110</v>
      </c>
      <c r="B152" s="5" t="s">
        <v>1111</v>
      </c>
      <c r="C152" s="6" t="s">
        <v>1112</v>
      </c>
      <c r="D152" s="5" t="s">
        <v>1113</v>
      </c>
      <c r="E152" s="6" t="s">
        <v>1114</v>
      </c>
      <c r="F152" s="5" t="s">
        <v>1115</v>
      </c>
      <c r="G152" s="6" t="s">
        <v>1116</v>
      </c>
      <c r="H152" s="5" t="s">
        <v>1102</v>
      </c>
      <c r="I152" s="11"/>
      <c r="J152" s="8"/>
      <c r="K152" s="9"/>
      <c r="L152" s="10"/>
      <c r="M152" s="10" t="n">
        <v>370.08</v>
      </c>
      <c r="N152" s="5" t="s">
        <v>68</v>
      </c>
      <c r="O152" s="5" t="n">
        <f aca="false">COUNTIF('Full Log'!$A:$A,$A152)</f>
        <v>0</v>
      </c>
      <c r="P152" s="5"/>
      <c r="Q152" s="5"/>
      <c r="R152" s="6" t="s">
        <v>172</v>
      </c>
    </row>
    <row r="153" customFormat="false" ht="35.05" hidden="false" customHeight="false" outlineLevel="0" collapsed="false">
      <c r="A153" s="5" t="s">
        <v>1117</v>
      </c>
      <c r="B153" s="5" t="s">
        <v>1118</v>
      </c>
      <c r="C153" s="6" t="s">
        <v>1119</v>
      </c>
      <c r="D153" s="5" t="s">
        <v>1120</v>
      </c>
      <c r="E153" s="6" t="s">
        <v>1121</v>
      </c>
      <c r="F153" s="5" t="s">
        <v>1122</v>
      </c>
      <c r="G153" s="6" t="s">
        <v>1123</v>
      </c>
      <c r="H153" s="5" t="s">
        <v>1102</v>
      </c>
      <c r="I153" s="11"/>
      <c r="J153" s="8"/>
      <c r="K153" s="9"/>
      <c r="L153" s="10"/>
      <c r="M153" s="10" t="n">
        <v>182.9</v>
      </c>
      <c r="N153" s="5" t="s">
        <v>68</v>
      </c>
      <c r="O153" s="5" t="n">
        <f aca="false">COUNTIF('Full Log'!$A:$A,$A153)</f>
        <v>0</v>
      </c>
      <c r="P153" s="5"/>
      <c r="Q153" s="5"/>
      <c r="R153" s="6" t="s">
        <v>172</v>
      </c>
    </row>
  </sheetData>
  <autoFilter ref="A1:R15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8"/>
    <col collapsed="false" customWidth="true" hidden="false" outlineLevel="0" max="4" min="4" style="0" width="130"/>
  </cols>
  <sheetData>
    <row r="1" customFormat="false" ht="27.75" hidden="false" customHeight="true" outlineLevel="0" collapsed="false">
      <c r="A1" s="4" t="s">
        <v>41</v>
      </c>
      <c r="B1" s="4" t="s">
        <v>1124</v>
      </c>
      <c r="C1" s="4" t="s">
        <v>1125</v>
      </c>
      <c r="D1" s="4" t="s">
        <v>1126</v>
      </c>
    </row>
    <row r="2" customFormat="false" ht="46.25" hidden="false" customHeight="false" outlineLevel="0" collapsed="false">
      <c r="A2" s="6" t="s">
        <v>59</v>
      </c>
      <c r="B2" s="6" t="s">
        <v>1127</v>
      </c>
      <c r="C2" s="12" t="s">
        <v>1128</v>
      </c>
      <c r="D2" s="13" t="s">
        <v>1129</v>
      </c>
    </row>
    <row r="3" customFormat="false" ht="23.85" hidden="false" customHeight="false" outlineLevel="0" collapsed="false">
      <c r="A3" s="6" t="s">
        <v>59</v>
      </c>
      <c r="B3" s="6" t="s">
        <v>1130</v>
      </c>
      <c r="C3" s="12" t="s">
        <v>1128</v>
      </c>
      <c r="D3" s="13" t="s">
        <v>1131</v>
      </c>
    </row>
    <row r="4" customFormat="false" ht="23.85" hidden="false" customHeight="false" outlineLevel="0" collapsed="false">
      <c r="A4" s="6" t="s">
        <v>59</v>
      </c>
      <c r="B4" s="6" t="s">
        <v>1132</v>
      </c>
      <c r="C4" s="14" t="s">
        <v>1133</v>
      </c>
      <c r="D4" s="15" t="s">
        <v>1134</v>
      </c>
    </row>
    <row r="5" customFormat="false" ht="46.25" hidden="false" customHeight="false" outlineLevel="0" collapsed="false">
      <c r="A5" s="6" t="s">
        <v>72</v>
      </c>
      <c r="B5" s="6" t="s">
        <v>1127</v>
      </c>
      <c r="C5" s="14" t="s">
        <v>1135</v>
      </c>
      <c r="D5" s="16" t="s">
        <v>1136</v>
      </c>
    </row>
    <row r="6" customFormat="false" ht="46.25" hidden="false" customHeight="false" outlineLevel="0" collapsed="false">
      <c r="A6" s="6" t="s">
        <v>72</v>
      </c>
      <c r="B6" s="6" t="s">
        <v>1130</v>
      </c>
      <c r="C6" s="14" t="s">
        <v>1135</v>
      </c>
      <c r="D6" s="17" t="s">
        <v>1137</v>
      </c>
    </row>
    <row r="7" customFormat="false" ht="68.65" hidden="false" customHeight="false" outlineLevel="0" collapsed="false">
      <c r="A7" s="6" t="s">
        <v>72</v>
      </c>
      <c r="B7" s="6" t="s">
        <v>1132</v>
      </c>
      <c r="C7" s="14" t="s">
        <v>1135</v>
      </c>
      <c r="D7" s="13" t="s">
        <v>1138</v>
      </c>
    </row>
    <row r="8" customFormat="false" ht="113.4" hidden="false" customHeight="false" outlineLevel="0" collapsed="false">
      <c r="A8" s="6" t="s">
        <v>80</v>
      </c>
      <c r="B8" s="6" t="s">
        <v>1127</v>
      </c>
      <c r="C8" s="14" t="s">
        <v>1135</v>
      </c>
      <c r="D8" s="16" t="s">
        <v>1139</v>
      </c>
    </row>
    <row r="9" customFormat="false" ht="23.85" hidden="false" customHeight="false" outlineLevel="0" collapsed="false">
      <c r="A9" s="6" t="s">
        <v>80</v>
      </c>
      <c r="B9" s="6" t="s">
        <v>1130</v>
      </c>
      <c r="C9" s="14" t="s">
        <v>1133</v>
      </c>
      <c r="D9" s="15" t="s">
        <v>1140</v>
      </c>
    </row>
    <row r="10" customFormat="false" ht="46.25" hidden="false" customHeight="false" outlineLevel="0" collapsed="false">
      <c r="A10" s="6" t="s">
        <v>80</v>
      </c>
      <c r="B10" s="6" t="s">
        <v>1132</v>
      </c>
      <c r="C10" s="14" t="s">
        <v>1135</v>
      </c>
      <c r="D10" s="13" t="s">
        <v>1141</v>
      </c>
    </row>
    <row r="11" customFormat="false" ht="46.25" hidden="false" customHeight="false" outlineLevel="0" collapsed="false">
      <c r="A11" s="6" t="s">
        <v>88</v>
      </c>
      <c r="B11" s="6" t="s">
        <v>1127</v>
      </c>
      <c r="C11" s="14" t="s">
        <v>1135</v>
      </c>
      <c r="D11" s="16" t="s">
        <v>1142</v>
      </c>
    </row>
    <row r="12" customFormat="false" ht="91" hidden="false" customHeight="false" outlineLevel="0" collapsed="false">
      <c r="A12" s="6" t="s">
        <v>88</v>
      </c>
      <c r="B12" s="6" t="s">
        <v>1130</v>
      </c>
      <c r="C12" s="14" t="s">
        <v>1135</v>
      </c>
      <c r="D12" s="13" t="s">
        <v>1143</v>
      </c>
    </row>
    <row r="13" customFormat="false" ht="113.4" hidden="false" customHeight="false" outlineLevel="0" collapsed="false">
      <c r="A13" s="6" t="s">
        <v>88</v>
      </c>
      <c r="B13" s="6" t="s">
        <v>1132</v>
      </c>
      <c r="C13" s="14" t="s">
        <v>1135</v>
      </c>
      <c r="D13" s="16" t="s">
        <v>1144</v>
      </c>
    </row>
    <row r="14" customFormat="false" ht="46.25" hidden="false" customHeight="false" outlineLevel="0" collapsed="false">
      <c r="A14" s="6" t="s">
        <v>97</v>
      </c>
      <c r="B14" s="6" t="s">
        <v>1127</v>
      </c>
      <c r="C14" s="12" t="s">
        <v>1128</v>
      </c>
      <c r="D14" s="13" t="s">
        <v>1145</v>
      </c>
    </row>
    <row r="15" customFormat="false" ht="79.85" hidden="false" customHeight="false" outlineLevel="0" collapsed="false">
      <c r="A15" s="6" t="s">
        <v>97</v>
      </c>
      <c r="B15" s="6" t="s">
        <v>1130</v>
      </c>
      <c r="C15" s="14" t="s">
        <v>1135</v>
      </c>
      <c r="D15" s="16" t="s">
        <v>1146</v>
      </c>
    </row>
    <row r="16" customFormat="false" ht="57.45" hidden="false" customHeight="false" outlineLevel="0" collapsed="false">
      <c r="A16" s="6" t="s">
        <v>97</v>
      </c>
      <c r="B16" s="6" t="s">
        <v>1132</v>
      </c>
      <c r="C16" s="14" t="s">
        <v>1135</v>
      </c>
      <c r="D16" s="16" t="s">
        <v>1147</v>
      </c>
    </row>
    <row r="17" customFormat="false" ht="23.85" hidden="false" customHeight="false" outlineLevel="0" collapsed="false">
      <c r="A17" s="6" t="s">
        <v>106</v>
      </c>
      <c r="B17" s="6" t="s">
        <v>1127</v>
      </c>
      <c r="C17" s="18" t="s">
        <v>1148</v>
      </c>
      <c r="D17" s="15" t="s">
        <v>1149</v>
      </c>
    </row>
    <row r="18" customFormat="false" ht="23.85" hidden="false" customHeight="false" outlineLevel="0" collapsed="false">
      <c r="A18" s="6" t="s">
        <v>106</v>
      </c>
      <c r="B18" s="6" t="s">
        <v>1130</v>
      </c>
      <c r="C18" s="14" t="s">
        <v>1133</v>
      </c>
      <c r="D18" s="15" t="s">
        <v>1150</v>
      </c>
    </row>
    <row r="19" customFormat="false" ht="46.25" hidden="false" customHeight="false" outlineLevel="0" collapsed="false">
      <c r="A19" s="6" t="s">
        <v>106</v>
      </c>
      <c r="B19" s="6" t="s">
        <v>1132</v>
      </c>
      <c r="C19" s="14" t="s">
        <v>1135</v>
      </c>
      <c r="D19" s="17" t="s">
        <v>1151</v>
      </c>
    </row>
    <row r="20" customFormat="false" ht="91" hidden="false" customHeight="false" outlineLevel="0" collapsed="false">
      <c r="A20" s="6" t="s">
        <v>116</v>
      </c>
      <c r="B20" s="6" t="s">
        <v>1127</v>
      </c>
      <c r="C20" s="12" t="s">
        <v>1128</v>
      </c>
      <c r="D20" s="13" t="s">
        <v>1152</v>
      </c>
    </row>
    <row r="21" customFormat="false" ht="35.05" hidden="false" customHeight="false" outlineLevel="0" collapsed="false">
      <c r="A21" s="6" t="s">
        <v>116</v>
      </c>
      <c r="B21" s="6" t="s">
        <v>1130</v>
      </c>
      <c r="C21" s="12" t="s">
        <v>1128</v>
      </c>
      <c r="D21" s="13" t="s">
        <v>1153</v>
      </c>
    </row>
    <row r="22" customFormat="false" ht="23.85" hidden="false" customHeight="false" outlineLevel="0" collapsed="false">
      <c r="A22" s="6" t="s">
        <v>116</v>
      </c>
      <c r="B22" s="6" t="s">
        <v>1132</v>
      </c>
      <c r="C22" s="18" t="s">
        <v>1148</v>
      </c>
      <c r="D22" s="16" t="s">
        <v>1154</v>
      </c>
    </row>
    <row r="23" customFormat="false" ht="23.85" hidden="false" customHeight="false" outlineLevel="0" collapsed="false">
      <c r="A23" s="6" t="s">
        <v>124</v>
      </c>
      <c r="B23" s="6" t="s">
        <v>1127</v>
      </c>
      <c r="C23" s="14" t="s">
        <v>1133</v>
      </c>
      <c r="D23" s="15" t="s">
        <v>1155</v>
      </c>
    </row>
    <row r="24" customFormat="false" ht="35.05" hidden="false" customHeight="false" outlineLevel="0" collapsed="false">
      <c r="A24" s="6" t="s">
        <v>124</v>
      </c>
      <c r="B24" s="6" t="s">
        <v>1130</v>
      </c>
      <c r="C24" s="12" t="s">
        <v>1128</v>
      </c>
      <c r="D24" s="13" t="s">
        <v>1156</v>
      </c>
    </row>
    <row r="25" customFormat="false" ht="23.85" hidden="false" customHeight="false" outlineLevel="0" collapsed="false">
      <c r="A25" s="6" t="s">
        <v>124</v>
      </c>
      <c r="B25" s="6" t="s">
        <v>1132</v>
      </c>
      <c r="C25" s="18" t="s">
        <v>1148</v>
      </c>
      <c r="D25" s="16" t="s">
        <v>1157</v>
      </c>
    </row>
    <row r="26" customFormat="false" ht="23.85" hidden="false" customHeight="false" outlineLevel="0" collapsed="false">
      <c r="A26" s="6" t="s">
        <v>132</v>
      </c>
      <c r="B26" s="6" t="s">
        <v>1127</v>
      </c>
      <c r="C26" s="12" t="s">
        <v>1128</v>
      </c>
      <c r="D26" s="17" t="s">
        <v>1158</v>
      </c>
    </row>
    <row r="27" customFormat="false" ht="23.85" hidden="false" customHeight="false" outlineLevel="0" collapsed="false">
      <c r="A27" s="6" t="s">
        <v>132</v>
      </c>
      <c r="B27" s="6" t="s">
        <v>1132</v>
      </c>
      <c r="C27" s="14" t="s">
        <v>1133</v>
      </c>
      <c r="D27" s="15" t="s">
        <v>1159</v>
      </c>
    </row>
    <row r="28" customFormat="false" ht="102.2" hidden="false" customHeight="false" outlineLevel="0" collapsed="false">
      <c r="A28" s="6" t="s">
        <v>140</v>
      </c>
      <c r="B28" s="6" t="s">
        <v>1132</v>
      </c>
      <c r="C28" s="14" t="s">
        <v>1135</v>
      </c>
      <c r="D28" s="15" t="s">
        <v>1160</v>
      </c>
    </row>
    <row r="29" customFormat="false" ht="46.25" hidden="false" customHeight="false" outlineLevel="0" collapsed="false">
      <c r="A29" s="6" t="s">
        <v>149</v>
      </c>
      <c r="B29" s="6" t="s">
        <v>1127</v>
      </c>
      <c r="C29" s="14" t="s">
        <v>1133</v>
      </c>
      <c r="D29" s="15" t="s">
        <v>1161</v>
      </c>
    </row>
    <row r="30" customFormat="false" ht="113.4" hidden="false" customHeight="false" outlineLevel="0" collapsed="false">
      <c r="A30" s="6" t="s">
        <v>158</v>
      </c>
      <c r="B30" s="6" t="s">
        <v>1127</v>
      </c>
      <c r="C30" s="14" t="s">
        <v>1135</v>
      </c>
      <c r="D30" s="16" t="s">
        <v>1162</v>
      </c>
    </row>
    <row r="31" customFormat="false" ht="68.65" hidden="false" customHeight="false" outlineLevel="0" collapsed="false">
      <c r="A31" s="6" t="s">
        <v>158</v>
      </c>
      <c r="B31" s="6" t="s">
        <v>1130</v>
      </c>
      <c r="C31" s="12" t="s">
        <v>1128</v>
      </c>
      <c r="D31" s="13" t="s">
        <v>1163</v>
      </c>
    </row>
    <row r="32" customFormat="false" ht="113.4" hidden="false" customHeight="false" outlineLevel="0" collapsed="false">
      <c r="A32" s="6" t="s">
        <v>158</v>
      </c>
      <c r="B32" s="6" t="s">
        <v>1132</v>
      </c>
      <c r="C32" s="14" t="s">
        <v>1135</v>
      </c>
      <c r="D32" s="16" t="s">
        <v>1164</v>
      </c>
    </row>
    <row r="33" customFormat="false" ht="68.65" hidden="false" customHeight="false" outlineLevel="0" collapsed="false">
      <c r="A33" s="6" t="s">
        <v>165</v>
      </c>
      <c r="B33" s="6" t="s">
        <v>1132</v>
      </c>
      <c r="C33" s="14" t="s">
        <v>1135</v>
      </c>
      <c r="D33" s="15" t="s">
        <v>1165</v>
      </c>
    </row>
    <row r="34" customFormat="false" ht="57.45" hidden="false" customHeight="false" outlineLevel="0" collapsed="false">
      <c r="A34" s="6" t="s">
        <v>180</v>
      </c>
      <c r="B34" s="6" t="s">
        <v>1127</v>
      </c>
      <c r="C34" s="18" t="s">
        <v>1148</v>
      </c>
      <c r="D34" s="16" t="s">
        <v>1166</v>
      </c>
    </row>
    <row r="35" customFormat="false" ht="23.85" hidden="false" customHeight="false" outlineLevel="0" collapsed="false">
      <c r="A35" s="6" t="s">
        <v>180</v>
      </c>
      <c r="B35" s="6" t="s">
        <v>1130</v>
      </c>
      <c r="C35" s="12" t="s">
        <v>1128</v>
      </c>
      <c r="D35" s="15" t="s">
        <v>1167</v>
      </c>
    </row>
    <row r="36" customFormat="false" ht="79.85" hidden="false" customHeight="false" outlineLevel="0" collapsed="false">
      <c r="A36" s="6" t="s">
        <v>180</v>
      </c>
      <c r="B36" s="6" t="s">
        <v>1132</v>
      </c>
      <c r="C36" s="14" t="s">
        <v>1135</v>
      </c>
      <c r="D36" s="16" t="s">
        <v>1168</v>
      </c>
    </row>
    <row r="37" customFormat="false" ht="35.05" hidden="false" customHeight="false" outlineLevel="0" collapsed="false">
      <c r="A37" s="6" t="s">
        <v>188</v>
      </c>
      <c r="B37" s="6" t="s">
        <v>1127</v>
      </c>
      <c r="C37" s="12" t="s">
        <v>1128</v>
      </c>
      <c r="D37" s="15" t="s">
        <v>1169</v>
      </c>
    </row>
    <row r="38" customFormat="false" ht="68.65" hidden="false" customHeight="false" outlineLevel="0" collapsed="false">
      <c r="A38" s="6" t="s">
        <v>188</v>
      </c>
      <c r="B38" s="6" t="s">
        <v>1130</v>
      </c>
      <c r="C38" s="12" t="s">
        <v>1128</v>
      </c>
      <c r="D38" s="13" t="s">
        <v>1170</v>
      </c>
    </row>
    <row r="39" customFormat="false" ht="23.85" hidden="false" customHeight="false" outlineLevel="0" collapsed="false">
      <c r="A39" s="6" t="s">
        <v>188</v>
      </c>
      <c r="B39" s="6" t="s">
        <v>1132</v>
      </c>
      <c r="C39" s="12" t="s">
        <v>1128</v>
      </c>
      <c r="D39" s="15" t="s">
        <v>1171</v>
      </c>
    </row>
    <row r="40" customFormat="false" ht="57.45" hidden="false" customHeight="false" outlineLevel="0" collapsed="false">
      <c r="A40" s="6" t="s">
        <v>196</v>
      </c>
      <c r="B40" s="6" t="s">
        <v>1127</v>
      </c>
      <c r="C40" s="14" t="s">
        <v>1135</v>
      </c>
      <c r="D40" s="16" t="s">
        <v>1172</v>
      </c>
    </row>
    <row r="41" customFormat="false" ht="46.25" hidden="false" customHeight="false" outlineLevel="0" collapsed="false">
      <c r="A41" s="6" t="s">
        <v>196</v>
      </c>
      <c r="B41" s="6" t="s">
        <v>1130</v>
      </c>
      <c r="C41" s="12" t="s">
        <v>1128</v>
      </c>
      <c r="D41" s="15" t="s">
        <v>1173</v>
      </c>
    </row>
    <row r="42" customFormat="false" ht="23.85" hidden="false" customHeight="false" outlineLevel="0" collapsed="false">
      <c r="A42" s="6" t="s">
        <v>196</v>
      </c>
      <c r="B42" s="6" t="s">
        <v>1132</v>
      </c>
      <c r="C42" s="18" t="s">
        <v>1148</v>
      </c>
      <c r="D42" s="16" t="s">
        <v>1174</v>
      </c>
    </row>
    <row r="43" customFormat="false" ht="23.85" hidden="false" customHeight="false" outlineLevel="0" collapsed="false">
      <c r="A43" s="6" t="s">
        <v>203</v>
      </c>
      <c r="B43" s="6" t="s">
        <v>1127</v>
      </c>
      <c r="C43" s="14" t="s">
        <v>1133</v>
      </c>
      <c r="D43" s="15" t="s">
        <v>1175</v>
      </c>
    </row>
    <row r="44" customFormat="false" ht="23.85" hidden="false" customHeight="false" outlineLevel="0" collapsed="false">
      <c r="A44" s="6" t="s">
        <v>203</v>
      </c>
      <c r="B44" s="6" t="s">
        <v>1130</v>
      </c>
      <c r="C44" s="12" t="s">
        <v>1128</v>
      </c>
      <c r="D44" s="13" t="s">
        <v>1176</v>
      </c>
    </row>
    <row r="45" customFormat="false" ht="23.85" hidden="false" customHeight="false" outlineLevel="0" collapsed="false">
      <c r="A45" s="6" t="s">
        <v>203</v>
      </c>
      <c r="B45" s="6" t="s">
        <v>1132</v>
      </c>
      <c r="C45" s="14" t="s">
        <v>1133</v>
      </c>
      <c r="D45" s="15" t="s">
        <v>1177</v>
      </c>
    </row>
    <row r="46" customFormat="false" ht="35.05" hidden="false" customHeight="false" outlineLevel="0" collapsed="false">
      <c r="A46" s="6" t="s">
        <v>210</v>
      </c>
      <c r="B46" s="6" t="s">
        <v>1127</v>
      </c>
      <c r="C46" s="12" t="s">
        <v>1128</v>
      </c>
      <c r="D46" s="15" t="s">
        <v>1178</v>
      </c>
    </row>
    <row r="47" customFormat="false" ht="91" hidden="false" customHeight="false" outlineLevel="0" collapsed="false">
      <c r="A47" s="6" t="s">
        <v>210</v>
      </c>
      <c r="B47" s="6" t="s">
        <v>1130</v>
      </c>
      <c r="C47" s="12" t="s">
        <v>1128</v>
      </c>
      <c r="D47" s="17" t="s">
        <v>1179</v>
      </c>
    </row>
    <row r="48" customFormat="false" ht="23.85" hidden="false" customHeight="false" outlineLevel="0" collapsed="false">
      <c r="A48" s="6" t="s">
        <v>210</v>
      </c>
      <c r="B48" s="6" t="s">
        <v>1132</v>
      </c>
      <c r="C48" s="14" t="s">
        <v>1133</v>
      </c>
      <c r="D48" s="15" t="s">
        <v>1180</v>
      </c>
    </row>
    <row r="49" customFormat="false" ht="23.85" hidden="false" customHeight="false" outlineLevel="0" collapsed="false">
      <c r="A49" s="6" t="s">
        <v>218</v>
      </c>
      <c r="B49" s="6" t="s">
        <v>1127</v>
      </c>
      <c r="C49" s="12" t="s">
        <v>1128</v>
      </c>
      <c r="D49" s="15" t="s">
        <v>1181</v>
      </c>
    </row>
    <row r="50" customFormat="false" ht="23.85" hidden="false" customHeight="false" outlineLevel="0" collapsed="false">
      <c r="A50" s="6" t="s">
        <v>218</v>
      </c>
      <c r="B50" s="6" t="s">
        <v>1130</v>
      </c>
      <c r="C50" s="14" t="s">
        <v>1133</v>
      </c>
      <c r="D50" s="15" t="s">
        <v>1182</v>
      </c>
    </row>
    <row r="51" customFormat="false" ht="23.85" hidden="false" customHeight="false" outlineLevel="0" collapsed="false">
      <c r="A51" s="6" t="s">
        <v>226</v>
      </c>
      <c r="B51" s="6" t="s">
        <v>1127</v>
      </c>
      <c r="C51" s="14" t="s">
        <v>1133</v>
      </c>
      <c r="D51" s="15" t="s">
        <v>1183</v>
      </c>
    </row>
    <row r="52" customFormat="false" ht="23.85" hidden="false" customHeight="false" outlineLevel="0" collapsed="false">
      <c r="A52" s="6" t="s">
        <v>226</v>
      </c>
      <c r="B52" s="6" t="s">
        <v>1130</v>
      </c>
      <c r="C52" s="14" t="s">
        <v>1133</v>
      </c>
      <c r="D52" s="15" t="s">
        <v>1184</v>
      </c>
    </row>
    <row r="53" customFormat="false" ht="23.85" hidden="false" customHeight="false" outlineLevel="0" collapsed="false">
      <c r="A53" s="6" t="s">
        <v>226</v>
      </c>
      <c r="B53" s="6" t="s">
        <v>1132</v>
      </c>
      <c r="C53" s="14" t="s">
        <v>1133</v>
      </c>
      <c r="D53" s="15" t="s">
        <v>1185</v>
      </c>
    </row>
    <row r="54" customFormat="false" ht="91" hidden="false" customHeight="false" outlineLevel="0" collapsed="false">
      <c r="A54" s="6" t="s">
        <v>234</v>
      </c>
      <c r="B54" s="6" t="s">
        <v>1127</v>
      </c>
      <c r="C54" s="14" t="s">
        <v>1135</v>
      </c>
      <c r="D54" s="16" t="s">
        <v>1186</v>
      </c>
    </row>
    <row r="55" customFormat="false" ht="102.2" hidden="false" customHeight="false" outlineLevel="0" collapsed="false">
      <c r="A55" s="6" t="s">
        <v>234</v>
      </c>
      <c r="B55" s="6" t="s">
        <v>1130</v>
      </c>
      <c r="C55" s="14" t="s">
        <v>1135</v>
      </c>
      <c r="D55" s="16" t="s">
        <v>1187</v>
      </c>
    </row>
    <row r="56" customFormat="false" ht="57.45" hidden="false" customHeight="false" outlineLevel="0" collapsed="false">
      <c r="A56" s="6" t="s">
        <v>234</v>
      </c>
      <c r="B56" s="6" t="s">
        <v>1132</v>
      </c>
      <c r="C56" s="14" t="s">
        <v>1135</v>
      </c>
      <c r="D56" s="13" t="s">
        <v>1188</v>
      </c>
    </row>
    <row r="57" customFormat="false" ht="35.05" hidden="false" customHeight="false" outlineLevel="0" collapsed="false">
      <c r="A57" s="6" t="s">
        <v>243</v>
      </c>
      <c r="B57" s="6" t="s">
        <v>1127</v>
      </c>
      <c r="C57" s="18" t="s">
        <v>1148</v>
      </c>
      <c r="D57" s="15" t="s">
        <v>1189</v>
      </c>
    </row>
    <row r="58" customFormat="false" ht="113.4" hidden="false" customHeight="false" outlineLevel="0" collapsed="false">
      <c r="A58" s="6" t="s">
        <v>243</v>
      </c>
      <c r="B58" s="6" t="s">
        <v>1130</v>
      </c>
      <c r="C58" s="12" t="s">
        <v>1128</v>
      </c>
      <c r="D58" s="17" t="s">
        <v>1190</v>
      </c>
    </row>
    <row r="59" customFormat="false" ht="46.25" hidden="false" customHeight="false" outlineLevel="0" collapsed="false">
      <c r="A59" s="6" t="s">
        <v>251</v>
      </c>
      <c r="B59" s="6" t="s">
        <v>1127</v>
      </c>
      <c r="C59" s="12" t="s">
        <v>1128</v>
      </c>
      <c r="D59" s="15" t="s">
        <v>1191</v>
      </c>
    </row>
    <row r="60" customFormat="false" ht="35.05" hidden="false" customHeight="false" outlineLevel="0" collapsed="false">
      <c r="A60" s="6" t="s">
        <v>251</v>
      </c>
      <c r="B60" s="6" t="s">
        <v>1130</v>
      </c>
      <c r="C60" s="12" t="s">
        <v>1128</v>
      </c>
      <c r="D60" s="13" t="s">
        <v>1192</v>
      </c>
    </row>
    <row r="61" customFormat="false" ht="23.85" hidden="false" customHeight="false" outlineLevel="0" collapsed="false">
      <c r="A61" s="6" t="s">
        <v>251</v>
      </c>
      <c r="B61" s="6" t="s">
        <v>1132</v>
      </c>
      <c r="C61" s="12" t="s">
        <v>1128</v>
      </c>
      <c r="D61" s="15" t="s">
        <v>1193</v>
      </c>
    </row>
    <row r="62" customFormat="false" ht="35.05" hidden="false" customHeight="false" outlineLevel="0" collapsed="false">
      <c r="A62" s="6" t="s">
        <v>258</v>
      </c>
      <c r="B62" s="6" t="s">
        <v>1130</v>
      </c>
      <c r="C62" s="18" t="s">
        <v>1148</v>
      </c>
      <c r="D62" s="16" t="s">
        <v>1194</v>
      </c>
    </row>
    <row r="63" customFormat="false" ht="35.05" hidden="false" customHeight="false" outlineLevel="0" collapsed="false">
      <c r="A63" s="6" t="s">
        <v>267</v>
      </c>
      <c r="B63" s="6" t="s">
        <v>1127</v>
      </c>
      <c r="C63" s="12" t="s">
        <v>1128</v>
      </c>
      <c r="D63" s="15" t="s">
        <v>1195</v>
      </c>
    </row>
    <row r="64" customFormat="false" ht="23.85" hidden="false" customHeight="false" outlineLevel="0" collapsed="false">
      <c r="A64" s="6" t="s">
        <v>267</v>
      </c>
      <c r="B64" s="6" t="s">
        <v>1130</v>
      </c>
      <c r="C64" s="12" t="s">
        <v>1128</v>
      </c>
      <c r="D64" s="13" t="s">
        <v>1196</v>
      </c>
    </row>
    <row r="65" customFormat="false" ht="23.85" hidden="false" customHeight="false" outlineLevel="0" collapsed="false">
      <c r="A65" s="6" t="s">
        <v>267</v>
      </c>
      <c r="B65" s="6" t="s">
        <v>1132</v>
      </c>
      <c r="C65" s="14" t="s">
        <v>1133</v>
      </c>
      <c r="D65" s="15" t="s">
        <v>1197</v>
      </c>
    </row>
    <row r="66" customFormat="false" ht="35.05" hidden="false" customHeight="false" outlineLevel="0" collapsed="false">
      <c r="A66" s="6" t="s">
        <v>275</v>
      </c>
      <c r="B66" s="6" t="s">
        <v>1127</v>
      </c>
      <c r="C66" s="12" t="s">
        <v>1128</v>
      </c>
      <c r="D66" s="15" t="s">
        <v>1198</v>
      </c>
    </row>
    <row r="67" customFormat="false" ht="23.85" hidden="false" customHeight="false" outlineLevel="0" collapsed="false">
      <c r="A67" s="6" t="s">
        <v>275</v>
      </c>
      <c r="B67" s="6" t="s">
        <v>1130</v>
      </c>
      <c r="C67" s="14" t="s">
        <v>1133</v>
      </c>
      <c r="D67" s="15" t="s">
        <v>1199</v>
      </c>
    </row>
    <row r="68" customFormat="false" ht="35.05" hidden="false" customHeight="false" outlineLevel="0" collapsed="false">
      <c r="A68" s="6" t="s">
        <v>275</v>
      </c>
      <c r="B68" s="6" t="s">
        <v>1132</v>
      </c>
      <c r="C68" s="18" t="s">
        <v>1148</v>
      </c>
      <c r="D68" s="16" t="s">
        <v>1200</v>
      </c>
    </row>
    <row r="69" customFormat="false" ht="23.85" hidden="false" customHeight="false" outlineLevel="0" collapsed="false">
      <c r="A69" s="6" t="s">
        <v>283</v>
      </c>
      <c r="B69" s="6" t="s">
        <v>1127</v>
      </c>
      <c r="C69" s="14" t="s">
        <v>1133</v>
      </c>
      <c r="D69" s="15" t="s">
        <v>1201</v>
      </c>
    </row>
    <row r="70" customFormat="false" ht="35.05" hidden="false" customHeight="false" outlineLevel="0" collapsed="false">
      <c r="A70" s="6" t="s">
        <v>283</v>
      </c>
      <c r="B70" s="6" t="s">
        <v>1130</v>
      </c>
      <c r="C70" s="12" t="s">
        <v>1128</v>
      </c>
      <c r="D70" s="15" t="s">
        <v>1202</v>
      </c>
    </row>
    <row r="71" customFormat="false" ht="23.85" hidden="false" customHeight="false" outlineLevel="0" collapsed="false">
      <c r="A71" s="6" t="s">
        <v>290</v>
      </c>
      <c r="B71" s="6" t="s">
        <v>1127</v>
      </c>
      <c r="C71" s="14" t="s">
        <v>1133</v>
      </c>
      <c r="D71" s="15" t="s">
        <v>1203</v>
      </c>
    </row>
    <row r="72" customFormat="false" ht="35.05" hidden="false" customHeight="false" outlineLevel="0" collapsed="false">
      <c r="A72" s="6" t="s">
        <v>290</v>
      </c>
      <c r="B72" s="6" t="s">
        <v>1130</v>
      </c>
      <c r="C72" s="12" t="s">
        <v>1128</v>
      </c>
      <c r="D72" s="15" t="s">
        <v>1204</v>
      </c>
    </row>
    <row r="73" customFormat="false" ht="23.85" hidden="false" customHeight="false" outlineLevel="0" collapsed="false">
      <c r="A73" s="6" t="s">
        <v>297</v>
      </c>
      <c r="B73" s="6" t="s">
        <v>1127</v>
      </c>
      <c r="C73" s="14" t="s">
        <v>1133</v>
      </c>
      <c r="D73" s="15" t="s">
        <v>1205</v>
      </c>
    </row>
    <row r="74" customFormat="false" ht="68.65" hidden="false" customHeight="false" outlineLevel="0" collapsed="false">
      <c r="A74" s="6" t="s">
        <v>297</v>
      </c>
      <c r="B74" s="6" t="s">
        <v>1130</v>
      </c>
      <c r="C74" s="14" t="s">
        <v>1135</v>
      </c>
      <c r="D74" s="16" t="s">
        <v>1206</v>
      </c>
    </row>
    <row r="75" customFormat="false" ht="147" hidden="false" customHeight="false" outlineLevel="0" collapsed="false">
      <c r="A75" s="6" t="s">
        <v>306</v>
      </c>
      <c r="B75" s="6" t="s">
        <v>1132</v>
      </c>
      <c r="C75" s="14" t="s">
        <v>1135</v>
      </c>
      <c r="D75" s="15" t="s">
        <v>1207</v>
      </c>
    </row>
    <row r="76" customFormat="false" ht="46.25" hidden="false" customHeight="false" outlineLevel="0" collapsed="false">
      <c r="A76" s="6" t="s">
        <v>313</v>
      </c>
      <c r="B76" s="6" t="s">
        <v>1132</v>
      </c>
      <c r="C76" s="14" t="s">
        <v>1135</v>
      </c>
      <c r="D76" s="15" t="s">
        <v>1208</v>
      </c>
    </row>
    <row r="77" customFormat="false" ht="91" hidden="false" customHeight="false" outlineLevel="0" collapsed="false">
      <c r="A77" s="6" t="s">
        <v>321</v>
      </c>
      <c r="B77" s="6" t="s">
        <v>1127</v>
      </c>
      <c r="C77" s="14" t="s">
        <v>1135</v>
      </c>
      <c r="D77" s="16" t="s">
        <v>1209</v>
      </c>
    </row>
    <row r="78" customFormat="false" ht="23.85" hidden="false" customHeight="false" outlineLevel="0" collapsed="false">
      <c r="A78" s="6" t="s">
        <v>321</v>
      </c>
      <c r="B78" s="6" t="s">
        <v>1130</v>
      </c>
      <c r="C78" s="12" t="s">
        <v>1128</v>
      </c>
      <c r="D78" s="15" t="s">
        <v>1210</v>
      </c>
    </row>
    <row r="79" customFormat="false" ht="35.05" hidden="false" customHeight="false" outlineLevel="0" collapsed="false">
      <c r="A79" s="6" t="s">
        <v>328</v>
      </c>
      <c r="B79" s="6" t="s">
        <v>1127</v>
      </c>
      <c r="C79" s="18" t="s">
        <v>1148</v>
      </c>
      <c r="D79" s="15" t="s">
        <v>1211</v>
      </c>
    </row>
    <row r="80" customFormat="false" ht="23.85" hidden="false" customHeight="false" outlineLevel="0" collapsed="false">
      <c r="A80" s="6" t="s">
        <v>328</v>
      </c>
      <c r="B80" s="6" t="s">
        <v>1130</v>
      </c>
      <c r="C80" s="14" t="s">
        <v>1133</v>
      </c>
      <c r="D80" s="15" t="s">
        <v>1212</v>
      </c>
    </row>
    <row r="81" customFormat="false" ht="23.85" hidden="false" customHeight="false" outlineLevel="0" collapsed="false">
      <c r="A81" s="6" t="s">
        <v>328</v>
      </c>
      <c r="B81" s="6" t="s">
        <v>1132</v>
      </c>
      <c r="C81" s="18" t="s">
        <v>1148</v>
      </c>
      <c r="D81" s="15" t="s">
        <v>1213</v>
      </c>
    </row>
    <row r="82" customFormat="false" ht="35.05" hidden="false" customHeight="false" outlineLevel="0" collapsed="false">
      <c r="A82" s="6" t="s">
        <v>335</v>
      </c>
      <c r="B82" s="6" t="s">
        <v>1127</v>
      </c>
      <c r="C82" s="14" t="s">
        <v>1133</v>
      </c>
      <c r="D82" s="15" t="s">
        <v>1214</v>
      </c>
    </row>
    <row r="83" customFormat="false" ht="23.85" hidden="false" customHeight="false" outlineLevel="0" collapsed="false">
      <c r="A83" s="6" t="s">
        <v>335</v>
      </c>
      <c r="B83" s="6" t="s">
        <v>1130</v>
      </c>
      <c r="C83" s="14" t="s">
        <v>1133</v>
      </c>
      <c r="D83" s="15" t="s">
        <v>1215</v>
      </c>
    </row>
    <row r="84" customFormat="false" ht="23.85" hidden="false" customHeight="false" outlineLevel="0" collapsed="false">
      <c r="A84" s="6" t="s">
        <v>343</v>
      </c>
      <c r="B84" s="6" t="s">
        <v>1127</v>
      </c>
      <c r="C84" s="14" t="s">
        <v>1133</v>
      </c>
      <c r="D84" s="15" t="s">
        <v>1216</v>
      </c>
    </row>
    <row r="85" customFormat="false" ht="68.65" hidden="false" customHeight="false" outlineLevel="0" collapsed="false">
      <c r="A85" s="6" t="s">
        <v>343</v>
      </c>
      <c r="B85" s="6" t="s">
        <v>1130</v>
      </c>
      <c r="C85" s="12" t="s">
        <v>1128</v>
      </c>
      <c r="D85" s="13" t="s">
        <v>1217</v>
      </c>
    </row>
    <row r="86" customFormat="false" ht="46.25" hidden="false" customHeight="false" outlineLevel="0" collapsed="false">
      <c r="A86" s="6" t="s">
        <v>343</v>
      </c>
      <c r="B86" s="6" t="s">
        <v>1132</v>
      </c>
      <c r="C86" s="12" t="s">
        <v>1128</v>
      </c>
      <c r="D86" s="13" t="s">
        <v>1218</v>
      </c>
    </row>
    <row r="87" customFormat="false" ht="113.4" hidden="false" customHeight="false" outlineLevel="0" collapsed="false">
      <c r="A87" s="6" t="s">
        <v>349</v>
      </c>
      <c r="B87" s="6" t="s">
        <v>1132</v>
      </c>
      <c r="C87" s="12" t="s">
        <v>1128</v>
      </c>
      <c r="D87" s="15" t="s">
        <v>1219</v>
      </c>
    </row>
    <row r="88" customFormat="false" ht="23.85" hidden="false" customHeight="false" outlineLevel="0" collapsed="false">
      <c r="A88" s="6" t="s">
        <v>357</v>
      </c>
      <c r="B88" s="6" t="s">
        <v>1130</v>
      </c>
      <c r="C88" s="14" t="s">
        <v>1133</v>
      </c>
      <c r="D88" s="15" t="s">
        <v>1220</v>
      </c>
    </row>
    <row r="89" customFormat="false" ht="46.25" hidden="false" customHeight="false" outlineLevel="0" collapsed="false">
      <c r="A89" s="6" t="s">
        <v>357</v>
      </c>
      <c r="B89" s="6" t="s">
        <v>1132</v>
      </c>
      <c r="C89" s="12" t="s">
        <v>1128</v>
      </c>
      <c r="D89" s="15" t="s">
        <v>1221</v>
      </c>
    </row>
    <row r="90" customFormat="false" ht="23.85" hidden="false" customHeight="false" outlineLevel="0" collapsed="false">
      <c r="A90" s="6" t="s">
        <v>365</v>
      </c>
      <c r="B90" s="6" t="s">
        <v>1130</v>
      </c>
      <c r="C90" s="14" t="s">
        <v>1133</v>
      </c>
      <c r="D90" s="15" t="s">
        <v>1222</v>
      </c>
    </row>
    <row r="91" customFormat="false" ht="35.05" hidden="false" customHeight="false" outlineLevel="0" collapsed="false">
      <c r="A91" s="6" t="s">
        <v>365</v>
      </c>
      <c r="B91" s="6" t="s">
        <v>1132</v>
      </c>
      <c r="C91" s="12" t="s">
        <v>1128</v>
      </c>
      <c r="D91" s="15" t="s">
        <v>1223</v>
      </c>
    </row>
    <row r="92" customFormat="false" ht="23.85" hidden="false" customHeight="false" outlineLevel="0" collapsed="false">
      <c r="A92" s="6" t="s">
        <v>372</v>
      </c>
      <c r="B92" s="6" t="s">
        <v>1127</v>
      </c>
      <c r="C92" s="14" t="s">
        <v>1133</v>
      </c>
      <c r="D92" s="15" t="s">
        <v>1224</v>
      </c>
    </row>
    <row r="93" customFormat="false" ht="35.05" hidden="false" customHeight="false" outlineLevel="0" collapsed="false">
      <c r="A93" s="6" t="s">
        <v>380</v>
      </c>
      <c r="B93" s="6" t="s">
        <v>1127</v>
      </c>
      <c r="C93" s="12" t="s">
        <v>1128</v>
      </c>
      <c r="D93" s="13" t="s">
        <v>1225</v>
      </c>
    </row>
    <row r="94" customFormat="false" ht="35.05" hidden="false" customHeight="false" outlineLevel="0" collapsed="false">
      <c r="A94" s="6" t="s">
        <v>380</v>
      </c>
      <c r="B94" s="6" t="s">
        <v>1130</v>
      </c>
      <c r="C94" s="12" t="s">
        <v>1128</v>
      </c>
      <c r="D94" s="17" t="s">
        <v>1226</v>
      </c>
    </row>
    <row r="95" customFormat="false" ht="23.85" hidden="false" customHeight="false" outlineLevel="0" collapsed="false">
      <c r="A95" s="6" t="s">
        <v>380</v>
      </c>
      <c r="B95" s="6" t="s">
        <v>1132</v>
      </c>
      <c r="C95" s="14" t="s">
        <v>1133</v>
      </c>
      <c r="D95" s="15" t="s">
        <v>1227</v>
      </c>
    </row>
    <row r="96" customFormat="false" ht="113.4" hidden="false" customHeight="false" outlineLevel="0" collapsed="false">
      <c r="A96" s="6" t="s">
        <v>387</v>
      </c>
      <c r="B96" s="6" t="s">
        <v>1132</v>
      </c>
      <c r="C96" s="14" t="s">
        <v>1135</v>
      </c>
      <c r="D96" s="15" t="s">
        <v>1228</v>
      </c>
    </row>
    <row r="97" customFormat="false" ht="23.85" hidden="false" customHeight="false" outlineLevel="0" collapsed="false">
      <c r="A97" s="6" t="s">
        <v>401</v>
      </c>
      <c r="B97" s="6" t="s">
        <v>1127</v>
      </c>
      <c r="C97" s="14" t="s">
        <v>1133</v>
      </c>
      <c r="D97" s="15" t="s">
        <v>1229</v>
      </c>
    </row>
    <row r="98" customFormat="false" ht="23.85" hidden="false" customHeight="false" outlineLevel="0" collapsed="false">
      <c r="A98" s="6" t="s">
        <v>401</v>
      </c>
      <c r="B98" s="6" t="s">
        <v>1130</v>
      </c>
      <c r="C98" s="12" t="s">
        <v>1128</v>
      </c>
      <c r="D98" s="13" t="s">
        <v>1230</v>
      </c>
    </row>
    <row r="99" customFormat="false" ht="68.65" hidden="false" customHeight="false" outlineLevel="0" collapsed="false">
      <c r="A99" s="6" t="s">
        <v>401</v>
      </c>
      <c r="B99" s="6" t="s">
        <v>1132</v>
      </c>
      <c r="C99" s="14" t="s">
        <v>1133</v>
      </c>
      <c r="D99" s="15" t="s">
        <v>1231</v>
      </c>
    </row>
    <row r="100" customFormat="false" ht="23.85" hidden="false" customHeight="false" outlineLevel="0" collapsed="false">
      <c r="A100" s="6" t="s">
        <v>408</v>
      </c>
      <c r="B100" s="6" t="s">
        <v>1127</v>
      </c>
      <c r="C100" s="14" t="s">
        <v>1133</v>
      </c>
      <c r="D100" s="15" t="s">
        <v>1232</v>
      </c>
    </row>
    <row r="101" customFormat="false" ht="68.65" hidden="false" customHeight="false" outlineLevel="0" collapsed="false">
      <c r="A101" s="6" t="s">
        <v>417</v>
      </c>
      <c r="B101" s="6" t="s">
        <v>1127</v>
      </c>
      <c r="C101" s="14" t="s">
        <v>1135</v>
      </c>
      <c r="D101" s="13" t="s">
        <v>1233</v>
      </c>
    </row>
    <row r="102" customFormat="false" ht="35.05" hidden="false" customHeight="false" outlineLevel="0" collapsed="false">
      <c r="A102" s="6" t="s">
        <v>417</v>
      </c>
      <c r="B102" s="6" t="s">
        <v>1130</v>
      </c>
      <c r="C102" s="12" t="s">
        <v>1128</v>
      </c>
      <c r="D102" s="15" t="s">
        <v>1234</v>
      </c>
    </row>
    <row r="103" customFormat="false" ht="57.45" hidden="false" customHeight="false" outlineLevel="0" collapsed="false">
      <c r="A103" s="6" t="s">
        <v>417</v>
      </c>
      <c r="B103" s="6" t="s">
        <v>1132</v>
      </c>
      <c r="C103" s="14" t="s">
        <v>1133</v>
      </c>
      <c r="D103" s="15" t="s">
        <v>1235</v>
      </c>
    </row>
    <row r="104" customFormat="false" ht="35.05" hidden="false" customHeight="false" outlineLevel="0" collapsed="false">
      <c r="A104" s="6" t="s">
        <v>424</v>
      </c>
      <c r="B104" s="6" t="s">
        <v>1127</v>
      </c>
      <c r="C104" s="14" t="s">
        <v>1133</v>
      </c>
      <c r="D104" s="15" t="s">
        <v>1236</v>
      </c>
    </row>
    <row r="105" customFormat="false" ht="23.85" hidden="false" customHeight="false" outlineLevel="0" collapsed="false">
      <c r="A105" s="6" t="s">
        <v>431</v>
      </c>
      <c r="B105" s="6" t="s">
        <v>1127</v>
      </c>
      <c r="C105" s="14" t="s">
        <v>1133</v>
      </c>
      <c r="D105" s="15" t="s">
        <v>1237</v>
      </c>
    </row>
    <row r="106" customFormat="false" ht="23.85" hidden="false" customHeight="false" outlineLevel="0" collapsed="false">
      <c r="A106" s="6" t="s">
        <v>431</v>
      </c>
      <c r="B106" s="6" t="s">
        <v>1130</v>
      </c>
      <c r="C106" s="14" t="s">
        <v>1133</v>
      </c>
      <c r="D106" s="15" t="s">
        <v>1238</v>
      </c>
    </row>
    <row r="107" customFormat="false" ht="23.85" hidden="false" customHeight="false" outlineLevel="0" collapsed="false">
      <c r="A107" s="6" t="s">
        <v>439</v>
      </c>
      <c r="B107" s="6" t="s">
        <v>1127</v>
      </c>
      <c r="C107" s="14" t="s">
        <v>1133</v>
      </c>
      <c r="D107" s="15" t="s">
        <v>1239</v>
      </c>
    </row>
    <row r="108" customFormat="false" ht="23.85" hidden="false" customHeight="false" outlineLevel="0" collapsed="false">
      <c r="A108" s="6" t="s">
        <v>439</v>
      </c>
      <c r="B108" s="6" t="s">
        <v>1130</v>
      </c>
      <c r="C108" s="18" t="s">
        <v>1148</v>
      </c>
      <c r="D108" s="15" t="s">
        <v>1240</v>
      </c>
    </row>
    <row r="109" customFormat="false" ht="23.85" hidden="false" customHeight="false" outlineLevel="0" collapsed="false">
      <c r="A109" s="6" t="s">
        <v>447</v>
      </c>
      <c r="B109" s="6" t="s">
        <v>1127</v>
      </c>
      <c r="C109" s="14" t="s">
        <v>1133</v>
      </c>
      <c r="D109" s="15" t="s">
        <v>1241</v>
      </c>
    </row>
    <row r="110" customFormat="false" ht="23.85" hidden="false" customHeight="false" outlineLevel="0" collapsed="false">
      <c r="A110" s="6" t="s">
        <v>447</v>
      </c>
      <c r="B110" s="6" t="s">
        <v>1130</v>
      </c>
      <c r="C110" s="12" t="s">
        <v>1128</v>
      </c>
      <c r="D110" s="13" t="s">
        <v>1242</v>
      </c>
    </row>
    <row r="111" customFormat="false" ht="46.25" hidden="false" customHeight="false" outlineLevel="0" collapsed="false">
      <c r="A111" s="6" t="s">
        <v>456</v>
      </c>
      <c r="B111" s="6" t="s">
        <v>1127</v>
      </c>
      <c r="C111" s="14" t="s">
        <v>1135</v>
      </c>
      <c r="D111" s="15" t="s">
        <v>1243</v>
      </c>
    </row>
    <row r="112" customFormat="false" ht="23.85" hidden="false" customHeight="false" outlineLevel="0" collapsed="false">
      <c r="A112" s="6" t="s">
        <v>464</v>
      </c>
      <c r="B112" s="6" t="s">
        <v>1132</v>
      </c>
      <c r="C112" s="12" t="s">
        <v>1128</v>
      </c>
      <c r="D112" s="15" t="s">
        <v>1244</v>
      </c>
    </row>
    <row r="113" customFormat="false" ht="46.25" hidden="false" customHeight="false" outlineLevel="0" collapsed="false">
      <c r="A113" s="6" t="s">
        <v>471</v>
      </c>
      <c r="B113" s="6" t="s">
        <v>1127</v>
      </c>
      <c r="C113" s="12" t="s">
        <v>1128</v>
      </c>
      <c r="D113" s="15" t="s">
        <v>1245</v>
      </c>
    </row>
    <row r="114" customFormat="false" ht="23.85" hidden="false" customHeight="false" outlineLevel="0" collapsed="false">
      <c r="A114" s="6" t="s">
        <v>471</v>
      </c>
      <c r="B114" s="6" t="s">
        <v>1130</v>
      </c>
      <c r="C114" s="14" t="s">
        <v>1133</v>
      </c>
      <c r="D114" s="15" t="s">
        <v>1246</v>
      </c>
    </row>
    <row r="115" customFormat="false" ht="23.85" hidden="false" customHeight="false" outlineLevel="0" collapsed="false">
      <c r="A115" s="6" t="s">
        <v>471</v>
      </c>
      <c r="B115" s="6" t="s">
        <v>1132</v>
      </c>
      <c r="C115" s="14" t="s">
        <v>1133</v>
      </c>
      <c r="D115" s="15" t="s">
        <v>1247</v>
      </c>
    </row>
    <row r="116" customFormat="false" ht="46.25" hidden="false" customHeight="false" outlineLevel="0" collapsed="false">
      <c r="A116" s="6" t="s">
        <v>478</v>
      </c>
      <c r="B116" s="6" t="s">
        <v>1132</v>
      </c>
      <c r="C116" s="14" t="s">
        <v>1135</v>
      </c>
      <c r="D116" s="15" t="s">
        <v>1248</v>
      </c>
    </row>
    <row r="117" customFormat="false" ht="46.25" hidden="false" customHeight="false" outlineLevel="0" collapsed="false">
      <c r="A117" s="6" t="s">
        <v>485</v>
      </c>
      <c r="B117" s="6" t="s">
        <v>1127</v>
      </c>
      <c r="C117" s="14" t="s">
        <v>1133</v>
      </c>
      <c r="D117" s="15" t="s">
        <v>1249</v>
      </c>
    </row>
    <row r="118" customFormat="false" ht="23.85" hidden="false" customHeight="false" outlineLevel="0" collapsed="false">
      <c r="A118" s="6" t="s">
        <v>485</v>
      </c>
      <c r="B118" s="6" t="s">
        <v>1132</v>
      </c>
      <c r="C118" s="18" t="s">
        <v>1148</v>
      </c>
      <c r="D118" s="16" t="s">
        <v>1250</v>
      </c>
    </row>
    <row r="119" customFormat="false" ht="23.85" hidden="false" customHeight="false" outlineLevel="0" collapsed="false">
      <c r="A119" s="6" t="s">
        <v>492</v>
      </c>
      <c r="B119" s="6" t="s">
        <v>1127</v>
      </c>
      <c r="C119" s="12" t="s">
        <v>1128</v>
      </c>
      <c r="D119" s="13" t="s">
        <v>1251</v>
      </c>
    </row>
    <row r="120" customFormat="false" ht="169.4" hidden="false" customHeight="false" outlineLevel="0" collapsed="false">
      <c r="A120" s="6" t="s">
        <v>500</v>
      </c>
      <c r="B120" s="6" t="s">
        <v>1132</v>
      </c>
      <c r="C120" s="14" t="s">
        <v>1135</v>
      </c>
      <c r="D120" s="15" t="s">
        <v>1252</v>
      </c>
    </row>
    <row r="121" customFormat="false" ht="68.65" hidden="false" customHeight="false" outlineLevel="0" collapsed="false">
      <c r="A121" s="6" t="s">
        <v>507</v>
      </c>
      <c r="B121" s="6" t="s">
        <v>1132</v>
      </c>
      <c r="C121" s="14" t="s">
        <v>1135</v>
      </c>
      <c r="D121" s="15" t="s">
        <v>1253</v>
      </c>
    </row>
    <row r="122" customFormat="false" ht="57.45" hidden="false" customHeight="false" outlineLevel="0" collapsed="false">
      <c r="A122" s="6" t="s">
        <v>514</v>
      </c>
      <c r="B122" s="6" t="s">
        <v>1132</v>
      </c>
      <c r="C122" s="14" t="s">
        <v>1135</v>
      </c>
      <c r="D122" s="15" t="s">
        <v>1254</v>
      </c>
    </row>
    <row r="123" customFormat="false" ht="35.05" hidden="false" customHeight="false" outlineLevel="0" collapsed="false">
      <c r="A123" s="6" t="s">
        <v>521</v>
      </c>
      <c r="B123" s="6" t="s">
        <v>1127</v>
      </c>
      <c r="C123" s="12" t="s">
        <v>1128</v>
      </c>
      <c r="D123" s="13" t="s">
        <v>1255</v>
      </c>
    </row>
    <row r="124" customFormat="false" ht="35.05" hidden="false" customHeight="false" outlineLevel="0" collapsed="false">
      <c r="A124" s="6" t="s">
        <v>521</v>
      </c>
      <c r="B124" s="6" t="s">
        <v>1130</v>
      </c>
      <c r="C124" s="12" t="s">
        <v>1128</v>
      </c>
      <c r="D124" s="13" t="s">
        <v>1256</v>
      </c>
    </row>
    <row r="125" customFormat="false" ht="23.85" hidden="false" customHeight="false" outlineLevel="0" collapsed="false">
      <c r="A125" s="6" t="s">
        <v>521</v>
      </c>
      <c r="B125" s="6" t="s">
        <v>1132</v>
      </c>
      <c r="C125" s="12" t="s">
        <v>1128</v>
      </c>
      <c r="D125" s="15" t="s">
        <v>1257</v>
      </c>
    </row>
    <row r="126" customFormat="false" ht="23.85" hidden="false" customHeight="false" outlineLevel="0" collapsed="false">
      <c r="A126" s="6" t="s">
        <v>529</v>
      </c>
      <c r="B126" s="6" t="s">
        <v>1127</v>
      </c>
      <c r="C126" s="18" t="s">
        <v>1148</v>
      </c>
      <c r="D126" s="16" t="s">
        <v>1258</v>
      </c>
    </row>
    <row r="127" customFormat="false" ht="23.85" hidden="false" customHeight="false" outlineLevel="0" collapsed="false">
      <c r="A127" s="6" t="s">
        <v>529</v>
      </c>
      <c r="B127" s="6" t="s">
        <v>1130</v>
      </c>
      <c r="C127" s="14" t="s">
        <v>1133</v>
      </c>
      <c r="D127" s="15" t="s">
        <v>1259</v>
      </c>
    </row>
    <row r="128" customFormat="false" ht="46.25" hidden="false" customHeight="false" outlineLevel="0" collapsed="false">
      <c r="A128" s="6" t="s">
        <v>529</v>
      </c>
      <c r="B128" s="6" t="s">
        <v>1132</v>
      </c>
      <c r="C128" s="14" t="s">
        <v>1135</v>
      </c>
      <c r="D128" s="16" t="s">
        <v>1260</v>
      </c>
    </row>
    <row r="129" customFormat="false" ht="46.25" hidden="false" customHeight="false" outlineLevel="0" collapsed="false">
      <c r="A129" s="6" t="s">
        <v>535</v>
      </c>
      <c r="B129" s="6" t="s">
        <v>1132</v>
      </c>
      <c r="C129" s="14" t="s">
        <v>1135</v>
      </c>
      <c r="D129" s="15" t="s">
        <v>1261</v>
      </c>
    </row>
    <row r="130" customFormat="false" ht="57.45" hidden="false" customHeight="false" outlineLevel="0" collapsed="false">
      <c r="A130" s="6" t="s">
        <v>541</v>
      </c>
      <c r="B130" s="6" t="s">
        <v>1132</v>
      </c>
      <c r="C130" s="14" t="s">
        <v>1135</v>
      </c>
      <c r="D130" s="15" t="s">
        <v>1262</v>
      </c>
    </row>
    <row r="131" customFormat="false" ht="35.05" hidden="false" customHeight="false" outlineLevel="0" collapsed="false">
      <c r="A131" s="6" t="s">
        <v>547</v>
      </c>
      <c r="B131" s="6" t="s">
        <v>1127</v>
      </c>
      <c r="C131" s="14" t="s">
        <v>1133</v>
      </c>
      <c r="D131" s="15" t="s">
        <v>1263</v>
      </c>
    </row>
    <row r="132" customFormat="false" ht="46.25" hidden="false" customHeight="false" outlineLevel="0" collapsed="false">
      <c r="A132" s="6" t="s">
        <v>547</v>
      </c>
      <c r="B132" s="6" t="s">
        <v>1132</v>
      </c>
      <c r="C132" s="12" t="s">
        <v>1128</v>
      </c>
      <c r="D132" s="13" t="s">
        <v>1264</v>
      </c>
    </row>
    <row r="133" customFormat="false" ht="68.65" hidden="false" customHeight="false" outlineLevel="0" collapsed="false">
      <c r="A133" s="6" t="s">
        <v>555</v>
      </c>
      <c r="B133" s="6" t="s">
        <v>1127</v>
      </c>
      <c r="C133" s="12" t="s">
        <v>1128</v>
      </c>
      <c r="D133" s="13" t="s">
        <v>1265</v>
      </c>
    </row>
    <row r="134" customFormat="false" ht="23.85" hidden="false" customHeight="false" outlineLevel="0" collapsed="false">
      <c r="A134" s="6" t="s">
        <v>555</v>
      </c>
      <c r="B134" s="6" t="s">
        <v>1132</v>
      </c>
      <c r="C134" s="14" t="s">
        <v>1133</v>
      </c>
      <c r="D134" s="15" t="s">
        <v>1266</v>
      </c>
    </row>
    <row r="135" customFormat="false" ht="23.85" hidden="false" customHeight="false" outlineLevel="0" collapsed="false">
      <c r="A135" s="6" t="s">
        <v>561</v>
      </c>
      <c r="B135" s="6" t="s">
        <v>1130</v>
      </c>
      <c r="C135" s="14" t="s">
        <v>1133</v>
      </c>
      <c r="D135" s="15" t="s">
        <v>1267</v>
      </c>
    </row>
    <row r="136" customFormat="false" ht="68.65" hidden="false" customHeight="false" outlineLevel="0" collapsed="false">
      <c r="A136" s="6" t="s">
        <v>561</v>
      </c>
      <c r="B136" s="6" t="s">
        <v>1132</v>
      </c>
      <c r="C136" s="12" t="s">
        <v>1128</v>
      </c>
      <c r="D136" s="13" t="s">
        <v>1268</v>
      </c>
    </row>
    <row r="137" customFormat="false" ht="68.65" hidden="false" customHeight="false" outlineLevel="0" collapsed="false">
      <c r="A137" s="6" t="s">
        <v>570</v>
      </c>
      <c r="B137" s="6" t="s">
        <v>1132</v>
      </c>
      <c r="C137" s="12" t="s">
        <v>1128</v>
      </c>
      <c r="D137" s="15" t="s">
        <v>1269</v>
      </c>
    </row>
    <row r="138" customFormat="false" ht="35.05" hidden="false" customHeight="false" outlineLevel="0" collapsed="false">
      <c r="A138" s="6" t="s">
        <v>577</v>
      </c>
      <c r="B138" s="6" t="s">
        <v>1127</v>
      </c>
      <c r="C138" s="14" t="s">
        <v>1133</v>
      </c>
      <c r="D138" s="15" t="s">
        <v>1270</v>
      </c>
    </row>
    <row r="139" customFormat="false" ht="23.85" hidden="false" customHeight="false" outlineLevel="0" collapsed="false">
      <c r="A139" s="6" t="s">
        <v>577</v>
      </c>
      <c r="B139" s="6" t="s">
        <v>1130</v>
      </c>
      <c r="C139" s="14" t="s">
        <v>1133</v>
      </c>
      <c r="D139" s="15" t="s">
        <v>1271</v>
      </c>
    </row>
    <row r="140" customFormat="false" ht="23.85" hidden="false" customHeight="false" outlineLevel="0" collapsed="false">
      <c r="A140" s="6" t="s">
        <v>577</v>
      </c>
      <c r="B140" s="6" t="s">
        <v>1132</v>
      </c>
      <c r="C140" s="14" t="s">
        <v>1133</v>
      </c>
      <c r="D140" s="15" t="s">
        <v>1272</v>
      </c>
    </row>
    <row r="141" customFormat="false" ht="23.85" hidden="false" customHeight="false" outlineLevel="0" collapsed="false">
      <c r="A141" s="6" t="s">
        <v>584</v>
      </c>
      <c r="B141" s="6" t="s">
        <v>1127</v>
      </c>
      <c r="C141" s="14" t="s">
        <v>1133</v>
      </c>
      <c r="D141" s="15" t="s">
        <v>1273</v>
      </c>
    </row>
    <row r="142" customFormat="false" ht="23.85" hidden="false" customHeight="false" outlineLevel="0" collapsed="false">
      <c r="A142" s="6" t="s">
        <v>584</v>
      </c>
      <c r="B142" s="6" t="s">
        <v>1130</v>
      </c>
      <c r="C142" s="14" t="s">
        <v>1133</v>
      </c>
      <c r="D142" s="15" t="s">
        <v>1274</v>
      </c>
    </row>
    <row r="143" customFormat="false" ht="91" hidden="false" customHeight="false" outlineLevel="0" collapsed="false">
      <c r="A143" s="6" t="s">
        <v>584</v>
      </c>
      <c r="B143" s="6" t="s">
        <v>1132</v>
      </c>
      <c r="C143" s="14" t="s">
        <v>1135</v>
      </c>
      <c r="D143" s="16" t="s">
        <v>1275</v>
      </c>
    </row>
    <row r="144" customFormat="false" ht="23.85" hidden="false" customHeight="false" outlineLevel="0" collapsed="false">
      <c r="A144" s="6" t="s">
        <v>590</v>
      </c>
      <c r="B144" s="6" t="s">
        <v>1130</v>
      </c>
      <c r="C144" s="14" t="s">
        <v>1133</v>
      </c>
      <c r="D144" s="15" t="s">
        <v>1276</v>
      </c>
    </row>
    <row r="145" customFormat="false" ht="91" hidden="false" customHeight="false" outlineLevel="0" collapsed="false">
      <c r="A145" s="6" t="s">
        <v>590</v>
      </c>
      <c r="B145" s="6" t="s">
        <v>1132</v>
      </c>
      <c r="C145" s="14" t="s">
        <v>1135</v>
      </c>
      <c r="D145" s="16" t="s">
        <v>1277</v>
      </c>
    </row>
    <row r="146" customFormat="false" ht="23.85" hidden="false" customHeight="false" outlineLevel="0" collapsed="false">
      <c r="A146" s="6" t="s">
        <v>597</v>
      </c>
      <c r="B146" s="6" t="s">
        <v>1127</v>
      </c>
      <c r="C146" s="12" t="s">
        <v>1128</v>
      </c>
      <c r="D146" s="15" t="s">
        <v>1278</v>
      </c>
    </row>
    <row r="147" customFormat="false" ht="23.85" hidden="false" customHeight="false" outlineLevel="0" collapsed="false">
      <c r="A147" s="6" t="s">
        <v>597</v>
      </c>
      <c r="B147" s="6" t="s">
        <v>1130</v>
      </c>
      <c r="C147" s="14" t="s">
        <v>1133</v>
      </c>
      <c r="D147" s="15" t="s">
        <v>1279</v>
      </c>
    </row>
    <row r="148" customFormat="false" ht="23.85" hidden="false" customHeight="false" outlineLevel="0" collapsed="false">
      <c r="A148" s="6" t="s">
        <v>604</v>
      </c>
      <c r="B148" s="6" t="s">
        <v>1130</v>
      </c>
      <c r="C148" s="14" t="s">
        <v>1133</v>
      </c>
      <c r="D148" s="15" t="s">
        <v>1280</v>
      </c>
    </row>
    <row r="149" customFormat="false" ht="23.85" hidden="false" customHeight="false" outlineLevel="0" collapsed="false">
      <c r="A149" s="6" t="s">
        <v>604</v>
      </c>
      <c r="B149" s="6" t="s">
        <v>1132</v>
      </c>
      <c r="C149" s="12" t="s">
        <v>1128</v>
      </c>
      <c r="D149" s="13" t="s">
        <v>1281</v>
      </c>
    </row>
    <row r="150" customFormat="false" ht="68.65" hidden="false" customHeight="false" outlineLevel="0" collapsed="false">
      <c r="A150" s="6" t="s">
        <v>609</v>
      </c>
      <c r="B150" s="6" t="s">
        <v>1127</v>
      </c>
      <c r="C150" s="12" t="s">
        <v>1128</v>
      </c>
      <c r="D150" s="17" t="s">
        <v>1282</v>
      </c>
    </row>
    <row r="151" customFormat="false" ht="35.05" hidden="false" customHeight="false" outlineLevel="0" collapsed="false">
      <c r="A151" s="6" t="s">
        <v>609</v>
      </c>
      <c r="B151" s="6" t="s">
        <v>1130</v>
      </c>
      <c r="C151" s="12" t="s">
        <v>1128</v>
      </c>
      <c r="D151" s="15" t="s">
        <v>1283</v>
      </c>
    </row>
    <row r="152" customFormat="false" ht="57.45" hidden="false" customHeight="false" outlineLevel="0" collapsed="false">
      <c r="A152" s="6" t="s">
        <v>609</v>
      </c>
      <c r="B152" s="6" t="s">
        <v>1132</v>
      </c>
      <c r="C152" s="12" t="s">
        <v>1128</v>
      </c>
      <c r="D152" s="17" t="s">
        <v>1284</v>
      </c>
    </row>
    <row r="153" customFormat="false" ht="23.85" hidden="false" customHeight="false" outlineLevel="0" collapsed="false">
      <c r="A153" s="6" t="s">
        <v>615</v>
      </c>
      <c r="B153" s="6" t="s">
        <v>1130</v>
      </c>
      <c r="C153" s="14" t="s">
        <v>1133</v>
      </c>
      <c r="D153" s="15" t="s">
        <v>1285</v>
      </c>
    </row>
    <row r="154" customFormat="false" ht="23.85" hidden="false" customHeight="false" outlineLevel="0" collapsed="false">
      <c r="A154" s="6" t="s">
        <v>615</v>
      </c>
      <c r="B154" s="6" t="s">
        <v>1132</v>
      </c>
      <c r="C154" s="12" t="s">
        <v>1128</v>
      </c>
      <c r="D154" s="13" t="s">
        <v>1286</v>
      </c>
    </row>
    <row r="155" customFormat="false" ht="147" hidden="false" customHeight="false" outlineLevel="0" collapsed="false">
      <c r="A155" s="6" t="s">
        <v>622</v>
      </c>
      <c r="B155" s="6" t="s">
        <v>1132</v>
      </c>
      <c r="C155" s="14" t="s">
        <v>1135</v>
      </c>
      <c r="D155" s="15" t="s">
        <v>1287</v>
      </c>
    </row>
    <row r="156" customFormat="false" ht="23.85" hidden="false" customHeight="false" outlineLevel="0" collapsed="false">
      <c r="A156" s="6" t="s">
        <v>628</v>
      </c>
      <c r="B156" s="6" t="s">
        <v>1132</v>
      </c>
      <c r="C156" s="14" t="s">
        <v>1133</v>
      </c>
      <c r="D156" s="15" t="s">
        <v>1288</v>
      </c>
    </row>
    <row r="157" customFormat="false" ht="23.85" hidden="false" customHeight="false" outlineLevel="0" collapsed="false">
      <c r="A157" s="6" t="s">
        <v>634</v>
      </c>
      <c r="B157" s="6" t="s">
        <v>1127</v>
      </c>
      <c r="C157" s="12" t="s">
        <v>1128</v>
      </c>
      <c r="D157" s="15" t="s">
        <v>1289</v>
      </c>
    </row>
    <row r="158" customFormat="false" ht="23.85" hidden="false" customHeight="false" outlineLevel="0" collapsed="false">
      <c r="A158" s="6" t="s">
        <v>634</v>
      </c>
      <c r="B158" s="6" t="s">
        <v>1130</v>
      </c>
      <c r="C158" s="12" t="s">
        <v>1128</v>
      </c>
      <c r="D158" s="13" t="s">
        <v>1290</v>
      </c>
    </row>
    <row r="159" customFormat="false" ht="57.45" hidden="false" customHeight="false" outlineLevel="0" collapsed="false">
      <c r="A159" s="6" t="s">
        <v>634</v>
      </c>
      <c r="B159" s="6" t="s">
        <v>1132</v>
      </c>
      <c r="C159" s="18" t="s">
        <v>1148</v>
      </c>
      <c r="D159" s="16" t="s">
        <v>1291</v>
      </c>
    </row>
    <row r="160" customFormat="false" ht="35.05" hidden="false" customHeight="false" outlineLevel="0" collapsed="false">
      <c r="A160" s="6" t="s">
        <v>640</v>
      </c>
      <c r="B160" s="6" t="s">
        <v>1127</v>
      </c>
      <c r="C160" s="14" t="s">
        <v>1135</v>
      </c>
      <c r="D160" s="16" t="s">
        <v>1292</v>
      </c>
    </row>
    <row r="161" customFormat="false" ht="57.45" hidden="false" customHeight="false" outlineLevel="0" collapsed="false">
      <c r="A161" s="6" t="s">
        <v>640</v>
      </c>
      <c r="B161" s="6" t="s">
        <v>1130</v>
      </c>
      <c r="C161" s="12" t="s">
        <v>1128</v>
      </c>
      <c r="D161" s="17" t="s">
        <v>1293</v>
      </c>
    </row>
    <row r="162" customFormat="false" ht="35.05" hidden="false" customHeight="false" outlineLevel="0" collapsed="false">
      <c r="A162" s="6" t="s">
        <v>649</v>
      </c>
      <c r="B162" s="6" t="s">
        <v>1127</v>
      </c>
      <c r="C162" s="14" t="s">
        <v>1133</v>
      </c>
      <c r="D162" s="15" t="s">
        <v>1294</v>
      </c>
    </row>
    <row r="163" customFormat="false" ht="57.45" hidden="false" customHeight="false" outlineLevel="0" collapsed="false">
      <c r="A163" s="6" t="s">
        <v>657</v>
      </c>
      <c r="B163" s="6" t="s">
        <v>1127</v>
      </c>
      <c r="C163" s="14" t="s">
        <v>1135</v>
      </c>
      <c r="D163" s="15" t="s">
        <v>1295</v>
      </c>
    </row>
    <row r="164" customFormat="false" ht="46.25" hidden="false" customHeight="false" outlineLevel="0" collapsed="false">
      <c r="A164" s="6" t="s">
        <v>663</v>
      </c>
      <c r="B164" s="6" t="s">
        <v>1127</v>
      </c>
      <c r="C164" s="14" t="s">
        <v>1133</v>
      </c>
      <c r="D164" s="15" t="s">
        <v>1296</v>
      </c>
    </row>
    <row r="165" customFormat="false" ht="23.85" hidden="false" customHeight="false" outlineLevel="0" collapsed="false">
      <c r="A165" s="6" t="s">
        <v>663</v>
      </c>
      <c r="B165" s="6" t="s">
        <v>1130</v>
      </c>
      <c r="C165" s="14" t="s">
        <v>1133</v>
      </c>
      <c r="D165" s="15" t="s">
        <v>1297</v>
      </c>
    </row>
    <row r="166" customFormat="false" ht="23.85" hidden="false" customHeight="false" outlineLevel="0" collapsed="false">
      <c r="A166" s="6" t="s">
        <v>663</v>
      </c>
      <c r="B166" s="6" t="s">
        <v>1132</v>
      </c>
      <c r="C166" s="14" t="s">
        <v>1133</v>
      </c>
      <c r="D166" s="15" t="s">
        <v>1298</v>
      </c>
    </row>
    <row r="167" customFormat="false" ht="135.8" hidden="false" customHeight="false" outlineLevel="0" collapsed="false">
      <c r="A167" s="6" t="s">
        <v>670</v>
      </c>
      <c r="B167" s="6" t="s">
        <v>1132</v>
      </c>
      <c r="C167" s="14" t="s">
        <v>1135</v>
      </c>
      <c r="D167" s="15" t="s">
        <v>1299</v>
      </c>
    </row>
    <row r="168" customFormat="false" ht="57.45" hidden="false" customHeight="false" outlineLevel="0" collapsed="false">
      <c r="A168" s="6" t="s">
        <v>678</v>
      </c>
      <c r="B168" s="6" t="s">
        <v>1132</v>
      </c>
      <c r="C168" s="14" t="s">
        <v>1135</v>
      </c>
      <c r="D168" s="15" t="s">
        <v>1300</v>
      </c>
    </row>
    <row r="169" customFormat="false" ht="57.45" hidden="false" customHeight="false" outlineLevel="0" collapsed="false">
      <c r="A169" s="6" t="s">
        <v>684</v>
      </c>
      <c r="B169" s="6" t="s">
        <v>1127</v>
      </c>
      <c r="C169" s="18" t="s">
        <v>1148</v>
      </c>
      <c r="D169" s="15" t="s">
        <v>1301</v>
      </c>
    </row>
    <row r="170" customFormat="false" ht="23.85" hidden="false" customHeight="false" outlineLevel="0" collapsed="false">
      <c r="A170" s="6" t="s">
        <v>691</v>
      </c>
      <c r="B170" s="6" t="s">
        <v>1127</v>
      </c>
      <c r="C170" s="14" t="s">
        <v>1133</v>
      </c>
      <c r="D170" s="15" t="s">
        <v>1302</v>
      </c>
    </row>
    <row r="171" customFormat="false" ht="23.85" hidden="false" customHeight="false" outlineLevel="0" collapsed="false">
      <c r="A171" s="6" t="s">
        <v>691</v>
      </c>
      <c r="B171" s="6" t="s">
        <v>1130</v>
      </c>
      <c r="C171" s="12" t="s">
        <v>1128</v>
      </c>
      <c r="D171" s="13" t="s">
        <v>1303</v>
      </c>
    </row>
    <row r="172" customFormat="false" ht="135.8" hidden="false" customHeight="false" outlineLevel="0" collapsed="false">
      <c r="A172" s="6" t="s">
        <v>696</v>
      </c>
      <c r="B172" s="6" t="s">
        <v>1132</v>
      </c>
      <c r="C172" s="14" t="s">
        <v>1135</v>
      </c>
      <c r="D172" s="15" t="s">
        <v>1304</v>
      </c>
    </row>
    <row r="173" customFormat="false" ht="46.25" hidden="false" customHeight="false" outlineLevel="0" collapsed="false">
      <c r="A173" s="6" t="s">
        <v>701</v>
      </c>
      <c r="B173" s="6" t="s">
        <v>1127</v>
      </c>
      <c r="C173" s="18" t="s">
        <v>1148</v>
      </c>
      <c r="D173" s="15" t="s">
        <v>1305</v>
      </c>
    </row>
    <row r="174" customFormat="false" ht="46.25" hidden="false" customHeight="false" outlineLevel="0" collapsed="false">
      <c r="A174" s="6" t="s">
        <v>708</v>
      </c>
      <c r="B174" s="6" t="s">
        <v>1127</v>
      </c>
      <c r="C174" s="12" t="s">
        <v>1128</v>
      </c>
      <c r="D174" s="15" t="s">
        <v>1306</v>
      </c>
    </row>
    <row r="175" customFormat="false" ht="23.85" hidden="false" customHeight="false" outlineLevel="0" collapsed="false">
      <c r="A175" s="6" t="s">
        <v>708</v>
      </c>
      <c r="B175" s="6" t="s">
        <v>1130</v>
      </c>
      <c r="C175" s="14" t="s">
        <v>1133</v>
      </c>
      <c r="D175" s="15" t="s">
        <v>1307</v>
      </c>
    </row>
    <row r="176" customFormat="false" ht="46.25" hidden="false" customHeight="false" outlineLevel="0" collapsed="false">
      <c r="A176" s="6" t="s">
        <v>708</v>
      </c>
      <c r="B176" s="6" t="s">
        <v>1132</v>
      </c>
      <c r="C176" s="14" t="s">
        <v>1133</v>
      </c>
      <c r="D176" s="15" t="s">
        <v>1308</v>
      </c>
    </row>
    <row r="177" customFormat="false" ht="57.45" hidden="false" customHeight="false" outlineLevel="0" collapsed="false">
      <c r="A177" s="6" t="s">
        <v>716</v>
      </c>
      <c r="B177" s="6" t="s">
        <v>1127</v>
      </c>
      <c r="C177" s="12" t="s">
        <v>1128</v>
      </c>
      <c r="D177" s="15" t="s">
        <v>1309</v>
      </c>
    </row>
    <row r="178" customFormat="false" ht="23.85" hidden="false" customHeight="false" outlineLevel="0" collapsed="false">
      <c r="A178" s="6" t="s">
        <v>716</v>
      </c>
      <c r="B178" s="6" t="s">
        <v>1132</v>
      </c>
      <c r="C178" s="14" t="s">
        <v>1133</v>
      </c>
      <c r="D178" s="15" t="s">
        <v>1310</v>
      </c>
    </row>
    <row r="179" customFormat="false" ht="23.85" hidden="false" customHeight="false" outlineLevel="0" collapsed="false">
      <c r="A179" s="6" t="s">
        <v>723</v>
      </c>
      <c r="B179" s="6" t="s">
        <v>1130</v>
      </c>
      <c r="C179" s="12" t="s">
        <v>1128</v>
      </c>
      <c r="D179" s="15" t="s">
        <v>1311</v>
      </c>
    </row>
    <row r="180" customFormat="false" ht="102.2" hidden="false" customHeight="false" outlineLevel="0" collapsed="false">
      <c r="A180" s="6" t="s">
        <v>723</v>
      </c>
      <c r="B180" s="6" t="s">
        <v>1132</v>
      </c>
      <c r="C180" s="12" t="s">
        <v>1128</v>
      </c>
      <c r="D180" s="15" t="s">
        <v>1312</v>
      </c>
    </row>
    <row r="181" customFormat="false" ht="46.25" hidden="false" customHeight="false" outlineLevel="0" collapsed="false">
      <c r="A181" s="6" t="s">
        <v>729</v>
      </c>
      <c r="B181" s="6" t="s">
        <v>1127</v>
      </c>
      <c r="C181" s="12" t="s">
        <v>1128</v>
      </c>
      <c r="D181" s="15" t="s">
        <v>1313</v>
      </c>
    </row>
    <row r="182" customFormat="false" ht="23.85" hidden="false" customHeight="false" outlineLevel="0" collapsed="false">
      <c r="A182" s="6" t="s">
        <v>729</v>
      </c>
      <c r="B182" s="6" t="s">
        <v>1130</v>
      </c>
      <c r="C182" s="14" t="s">
        <v>1133</v>
      </c>
      <c r="D182" s="15" t="s">
        <v>1314</v>
      </c>
    </row>
    <row r="183" customFormat="false" ht="46.25" hidden="false" customHeight="false" outlineLevel="0" collapsed="false">
      <c r="A183" s="6" t="s">
        <v>729</v>
      </c>
      <c r="B183" s="6" t="s">
        <v>1132</v>
      </c>
      <c r="C183" s="14" t="s">
        <v>1133</v>
      </c>
      <c r="D183" s="15" t="s">
        <v>1315</v>
      </c>
    </row>
    <row r="184" customFormat="false" ht="35.05" hidden="false" customHeight="false" outlineLevel="0" collapsed="false">
      <c r="A184" s="6" t="s">
        <v>735</v>
      </c>
      <c r="B184" s="6" t="s">
        <v>1127</v>
      </c>
      <c r="C184" s="18" t="s">
        <v>1148</v>
      </c>
      <c r="D184" s="15" t="s">
        <v>1316</v>
      </c>
    </row>
    <row r="185" customFormat="false" ht="23.85" hidden="false" customHeight="false" outlineLevel="0" collapsed="false">
      <c r="A185" s="6" t="s">
        <v>735</v>
      </c>
      <c r="B185" s="6" t="s">
        <v>1130</v>
      </c>
      <c r="C185" s="14" t="s">
        <v>1133</v>
      </c>
      <c r="D185" s="15" t="s">
        <v>1317</v>
      </c>
    </row>
    <row r="186" customFormat="false" ht="23.85" hidden="false" customHeight="false" outlineLevel="0" collapsed="false">
      <c r="A186" s="6" t="s">
        <v>735</v>
      </c>
      <c r="B186" s="6" t="s">
        <v>1132</v>
      </c>
      <c r="C186" s="14" t="s">
        <v>1133</v>
      </c>
      <c r="D186" s="15" t="s">
        <v>1318</v>
      </c>
    </row>
    <row r="187" customFormat="false" ht="46.25" hidden="false" customHeight="false" outlineLevel="0" collapsed="false">
      <c r="A187" s="6" t="s">
        <v>741</v>
      </c>
      <c r="B187" s="6" t="s">
        <v>1127</v>
      </c>
      <c r="C187" s="18" t="s">
        <v>1148</v>
      </c>
      <c r="D187" s="15" t="s">
        <v>1319</v>
      </c>
    </row>
    <row r="188" customFormat="false" ht="23.85" hidden="false" customHeight="false" outlineLevel="0" collapsed="false">
      <c r="A188" s="6" t="s">
        <v>741</v>
      </c>
      <c r="B188" s="6" t="s">
        <v>1130</v>
      </c>
      <c r="C188" s="14" t="s">
        <v>1133</v>
      </c>
      <c r="D188" s="15" t="s">
        <v>1320</v>
      </c>
    </row>
    <row r="189" customFormat="false" ht="23.85" hidden="false" customHeight="false" outlineLevel="0" collapsed="false">
      <c r="A189" s="6" t="s">
        <v>741</v>
      </c>
      <c r="B189" s="6" t="s">
        <v>1132</v>
      </c>
      <c r="C189" s="14" t="s">
        <v>1133</v>
      </c>
      <c r="D189" s="15" t="s">
        <v>1321</v>
      </c>
    </row>
    <row r="190" customFormat="false" ht="35.05" hidden="false" customHeight="false" outlineLevel="0" collapsed="false">
      <c r="A190" s="6" t="s">
        <v>748</v>
      </c>
      <c r="B190" s="6" t="s">
        <v>1127</v>
      </c>
      <c r="C190" s="14" t="s">
        <v>1135</v>
      </c>
      <c r="D190" s="15" t="s">
        <v>1322</v>
      </c>
    </row>
    <row r="191" customFormat="false" ht="23.85" hidden="false" customHeight="false" outlineLevel="0" collapsed="false">
      <c r="A191" s="6" t="s">
        <v>748</v>
      </c>
      <c r="B191" s="6" t="s">
        <v>1132</v>
      </c>
      <c r="C191" s="14" t="s">
        <v>1133</v>
      </c>
      <c r="D191" s="15" t="s">
        <v>1323</v>
      </c>
    </row>
    <row r="192" customFormat="false" ht="68.65" hidden="false" customHeight="false" outlineLevel="0" collapsed="false">
      <c r="A192" s="6" t="s">
        <v>755</v>
      </c>
      <c r="B192" s="6" t="s">
        <v>1127</v>
      </c>
      <c r="C192" s="14" t="s">
        <v>1135</v>
      </c>
      <c r="D192" s="13" t="s">
        <v>1324</v>
      </c>
    </row>
    <row r="193" customFormat="false" ht="46.25" hidden="false" customHeight="false" outlineLevel="0" collapsed="false">
      <c r="A193" s="6" t="s">
        <v>755</v>
      </c>
      <c r="B193" s="6" t="s">
        <v>1130</v>
      </c>
      <c r="C193" s="12" t="s">
        <v>1128</v>
      </c>
      <c r="D193" s="13" t="s">
        <v>1325</v>
      </c>
    </row>
    <row r="194" customFormat="false" ht="57.45" hidden="false" customHeight="false" outlineLevel="0" collapsed="false">
      <c r="A194" s="6" t="s">
        <v>755</v>
      </c>
      <c r="B194" s="6" t="s">
        <v>1132</v>
      </c>
      <c r="C194" s="18" t="s">
        <v>1148</v>
      </c>
      <c r="D194" s="16" t="s">
        <v>1326</v>
      </c>
    </row>
    <row r="195" customFormat="false" ht="68.65" hidden="false" customHeight="false" outlineLevel="0" collapsed="false">
      <c r="A195" s="6" t="s">
        <v>762</v>
      </c>
      <c r="B195" s="6" t="s">
        <v>1132</v>
      </c>
      <c r="C195" s="14" t="s">
        <v>1135</v>
      </c>
      <c r="D195" s="15" t="s">
        <v>1327</v>
      </c>
    </row>
    <row r="196" customFormat="false" ht="57.45" hidden="false" customHeight="false" outlineLevel="0" collapsed="false">
      <c r="A196" s="6" t="s">
        <v>767</v>
      </c>
      <c r="B196" s="6" t="s">
        <v>1127</v>
      </c>
      <c r="C196" s="18" t="s">
        <v>1148</v>
      </c>
      <c r="D196" s="15" t="s">
        <v>1328</v>
      </c>
    </row>
    <row r="197" customFormat="false" ht="23.85" hidden="false" customHeight="false" outlineLevel="0" collapsed="false">
      <c r="A197" s="6" t="s">
        <v>767</v>
      </c>
      <c r="B197" s="6" t="s">
        <v>1130</v>
      </c>
      <c r="C197" s="14" t="s">
        <v>1133</v>
      </c>
      <c r="D197" s="15" t="s">
        <v>1329</v>
      </c>
    </row>
    <row r="198" customFormat="false" ht="46.25" hidden="false" customHeight="false" outlineLevel="0" collapsed="false">
      <c r="A198" s="6" t="s">
        <v>767</v>
      </c>
      <c r="B198" s="6" t="s">
        <v>1132</v>
      </c>
      <c r="C198" s="14" t="s">
        <v>1133</v>
      </c>
      <c r="D198" s="15" t="s">
        <v>1330</v>
      </c>
    </row>
    <row r="199" customFormat="false" ht="35.05" hidden="false" customHeight="false" outlineLevel="0" collapsed="false">
      <c r="A199" s="6" t="s">
        <v>774</v>
      </c>
      <c r="B199" s="6" t="s">
        <v>1132</v>
      </c>
      <c r="C199" s="12" t="s">
        <v>1128</v>
      </c>
      <c r="D199" s="17" t="s">
        <v>1331</v>
      </c>
    </row>
    <row r="200" customFormat="false" ht="46.25" hidden="false" customHeight="false" outlineLevel="0" collapsed="false">
      <c r="A200" s="6" t="s">
        <v>782</v>
      </c>
      <c r="B200" s="6" t="s">
        <v>1127</v>
      </c>
      <c r="C200" s="12" t="s">
        <v>1128</v>
      </c>
      <c r="D200" s="15" t="s">
        <v>1332</v>
      </c>
    </row>
    <row r="201" customFormat="false" ht="23.85" hidden="false" customHeight="false" outlineLevel="0" collapsed="false">
      <c r="A201" s="6" t="s">
        <v>782</v>
      </c>
      <c r="B201" s="6" t="s">
        <v>1130</v>
      </c>
      <c r="C201" s="14" t="s">
        <v>1133</v>
      </c>
      <c r="D201" s="15" t="s">
        <v>1333</v>
      </c>
    </row>
    <row r="202" customFormat="false" ht="23.85" hidden="false" customHeight="false" outlineLevel="0" collapsed="false">
      <c r="A202" s="6" t="s">
        <v>782</v>
      </c>
      <c r="B202" s="6" t="s">
        <v>1132</v>
      </c>
      <c r="C202" s="14" t="s">
        <v>1133</v>
      </c>
      <c r="D202" s="15" t="s">
        <v>1334</v>
      </c>
    </row>
    <row r="203" customFormat="false" ht="124.6" hidden="false" customHeight="false" outlineLevel="0" collapsed="false">
      <c r="A203" s="6" t="s">
        <v>787</v>
      </c>
      <c r="B203" s="6" t="s">
        <v>1132</v>
      </c>
      <c r="C203" s="14" t="s">
        <v>1135</v>
      </c>
      <c r="D203" s="15" t="s">
        <v>1335</v>
      </c>
    </row>
    <row r="204" customFormat="false" ht="35.05" hidden="false" customHeight="false" outlineLevel="0" collapsed="false">
      <c r="A204" s="6" t="s">
        <v>795</v>
      </c>
      <c r="B204" s="6" t="s">
        <v>1127</v>
      </c>
      <c r="C204" s="12" t="s">
        <v>1128</v>
      </c>
      <c r="D204" s="15" t="s">
        <v>1336</v>
      </c>
    </row>
    <row r="205" customFormat="false" ht="23.85" hidden="false" customHeight="false" outlineLevel="0" collapsed="false">
      <c r="A205" s="6" t="s">
        <v>795</v>
      </c>
      <c r="B205" s="6" t="s">
        <v>1130</v>
      </c>
      <c r="C205" s="14" t="s">
        <v>1133</v>
      </c>
      <c r="D205" s="15" t="s">
        <v>1337</v>
      </c>
    </row>
    <row r="206" customFormat="false" ht="147" hidden="false" customHeight="false" outlineLevel="0" collapsed="false">
      <c r="A206" s="6" t="s">
        <v>795</v>
      </c>
      <c r="B206" s="6" t="s">
        <v>1132</v>
      </c>
      <c r="C206" s="14" t="s">
        <v>1135</v>
      </c>
      <c r="D206" s="16" t="s">
        <v>1338</v>
      </c>
    </row>
    <row r="207" customFormat="false" ht="91" hidden="false" customHeight="false" outlineLevel="0" collapsed="false">
      <c r="A207" s="6" t="s">
        <v>802</v>
      </c>
      <c r="B207" s="6" t="s">
        <v>1132</v>
      </c>
      <c r="C207" s="18" t="s">
        <v>1148</v>
      </c>
      <c r="D207" s="16" t="s">
        <v>1339</v>
      </c>
    </row>
    <row r="208" customFormat="false" ht="23.85" hidden="false" customHeight="false" outlineLevel="0" collapsed="false">
      <c r="A208" s="6" t="s">
        <v>807</v>
      </c>
      <c r="B208" s="6" t="s">
        <v>1127</v>
      </c>
      <c r="C208" s="18" t="s">
        <v>1148</v>
      </c>
      <c r="D208" s="16" t="s">
        <v>1340</v>
      </c>
    </row>
    <row r="209" customFormat="false" ht="23.85" hidden="false" customHeight="false" outlineLevel="0" collapsed="false">
      <c r="A209" s="6" t="s">
        <v>821</v>
      </c>
      <c r="B209" s="6" t="s">
        <v>1127</v>
      </c>
      <c r="C209" s="18" t="s">
        <v>1148</v>
      </c>
      <c r="D209" s="16" t="s">
        <v>1341</v>
      </c>
    </row>
    <row r="210" customFormat="false" ht="35.05" hidden="false" customHeight="false" outlineLevel="0" collapsed="false">
      <c r="A210" s="6" t="s">
        <v>821</v>
      </c>
      <c r="B210" s="6" t="s">
        <v>1130</v>
      </c>
      <c r="C210" s="12" t="s">
        <v>1128</v>
      </c>
      <c r="D210" s="17" t="s">
        <v>1342</v>
      </c>
    </row>
    <row r="211" customFormat="false" ht="57.45" hidden="false" customHeight="false" outlineLevel="0" collapsed="false">
      <c r="A211" s="6" t="s">
        <v>821</v>
      </c>
      <c r="B211" s="6" t="s">
        <v>1132</v>
      </c>
      <c r="C211" s="14" t="s">
        <v>1133</v>
      </c>
      <c r="D211" s="15" t="s">
        <v>1343</v>
      </c>
    </row>
    <row r="212" customFormat="false" ht="35.05" hidden="false" customHeight="false" outlineLevel="0" collapsed="false">
      <c r="A212" s="6" t="s">
        <v>826</v>
      </c>
      <c r="B212" s="6" t="s">
        <v>1127</v>
      </c>
      <c r="C212" s="14" t="s">
        <v>1133</v>
      </c>
      <c r="D212" s="15" t="s">
        <v>1344</v>
      </c>
    </row>
    <row r="213" customFormat="false" ht="23.85" hidden="false" customHeight="false" outlineLevel="0" collapsed="false">
      <c r="A213" s="6" t="s">
        <v>826</v>
      </c>
      <c r="B213" s="6" t="s">
        <v>1130</v>
      </c>
      <c r="C213" s="14" t="s">
        <v>1133</v>
      </c>
      <c r="D213" s="15" t="s">
        <v>1345</v>
      </c>
    </row>
    <row r="214" customFormat="false" ht="68.65" hidden="false" customHeight="false" outlineLevel="0" collapsed="false">
      <c r="A214" s="6" t="s">
        <v>826</v>
      </c>
      <c r="B214" s="6" t="s">
        <v>1132</v>
      </c>
      <c r="C214" s="12" t="s">
        <v>1128</v>
      </c>
      <c r="D214" s="13" t="s">
        <v>1346</v>
      </c>
    </row>
    <row r="215" customFormat="false" ht="23.85" hidden="false" customHeight="false" outlineLevel="0" collapsed="false">
      <c r="A215" s="6" t="s">
        <v>832</v>
      </c>
      <c r="B215" s="6" t="s">
        <v>1127</v>
      </c>
      <c r="C215" s="14" t="s">
        <v>1133</v>
      </c>
      <c r="D215" s="15" t="s">
        <v>1347</v>
      </c>
    </row>
    <row r="216" customFormat="false" ht="79.85" hidden="false" customHeight="false" outlineLevel="0" collapsed="false">
      <c r="A216" s="6" t="s">
        <v>839</v>
      </c>
      <c r="B216" s="6" t="s">
        <v>1127</v>
      </c>
      <c r="C216" s="14" t="s">
        <v>1135</v>
      </c>
      <c r="D216" s="13" t="s">
        <v>1348</v>
      </c>
    </row>
    <row r="217" customFormat="false" ht="23.85" hidden="false" customHeight="false" outlineLevel="0" collapsed="false">
      <c r="A217" s="6" t="s">
        <v>839</v>
      </c>
      <c r="B217" s="6" t="s">
        <v>1132</v>
      </c>
      <c r="C217" s="18" t="s">
        <v>1148</v>
      </c>
      <c r="D217" s="16" t="s">
        <v>1349</v>
      </c>
    </row>
    <row r="218" customFormat="false" ht="35.05" hidden="false" customHeight="false" outlineLevel="0" collapsed="false">
      <c r="A218" s="6" t="s">
        <v>845</v>
      </c>
      <c r="B218" s="6" t="s">
        <v>1127</v>
      </c>
      <c r="C218" s="18" t="s">
        <v>1148</v>
      </c>
      <c r="D218" s="15" t="s">
        <v>1350</v>
      </c>
    </row>
    <row r="219" customFormat="false" ht="23.85" hidden="false" customHeight="false" outlineLevel="0" collapsed="false">
      <c r="A219" s="6" t="s">
        <v>845</v>
      </c>
      <c r="B219" s="6" t="s">
        <v>1130</v>
      </c>
      <c r="C219" s="14" t="s">
        <v>1133</v>
      </c>
      <c r="D219" s="15" t="s">
        <v>1351</v>
      </c>
    </row>
    <row r="220" customFormat="false" ht="57.45" hidden="false" customHeight="false" outlineLevel="0" collapsed="false">
      <c r="A220" s="6" t="s">
        <v>845</v>
      </c>
      <c r="B220" s="6" t="s">
        <v>1132</v>
      </c>
      <c r="C220" s="14" t="s">
        <v>1135</v>
      </c>
      <c r="D220" s="13" t="s">
        <v>1352</v>
      </c>
    </row>
    <row r="221" customFormat="false" ht="35.05" hidden="false" customHeight="false" outlineLevel="0" collapsed="false">
      <c r="A221" s="6" t="s">
        <v>851</v>
      </c>
      <c r="B221" s="6" t="s">
        <v>1127</v>
      </c>
      <c r="C221" s="14" t="s">
        <v>1135</v>
      </c>
      <c r="D221" s="13" t="s">
        <v>1353</v>
      </c>
    </row>
    <row r="222" customFormat="false" ht="23.85" hidden="false" customHeight="false" outlineLevel="0" collapsed="false">
      <c r="A222" s="6" t="s">
        <v>851</v>
      </c>
      <c r="B222" s="6" t="s">
        <v>1132</v>
      </c>
      <c r="C222" s="14" t="s">
        <v>1133</v>
      </c>
      <c r="D222" s="15" t="s">
        <v>1354</v>
      </c>
    </row>
    <row r="223" customFormat="false" ht="35.05" hidden="false" customHeight="false" outlineLevel="0" collapsed="false">
      <c r="A223" s="6" t="s">
        <v>858</v>
      </c>
      <c r="B223" s="6" t="s">
        <v>1127</v>
      </c>
      <c r="C223" s="18" t="s">
        <v>1148</v>
      </c>
      <c r="D223" s="15" t="s">
        <v>1355</v>
      </c>
    </row>
    <row r="224" customFormat="false" ht="46.25" hidden="false" customHeight="false" outlineLevel="0" collapsed="false">
      <c r="A224" s="6" t="s">
        <v>865</v>
      </c>
      <c r="B224" s="6" t="s">
        <v>1132</v>
      </c>
      <c r="C224" s="14" t="s">
        <v>1135</v>
      </c>
      <c r="D224" s="15" t="s">
        <v>1356</v>
      </c>
    </row>
    <row r="225" customFormat="false" ht="35.05" hidden="false" customHeight="false" outlineLevel="0" collapsed="false">
      <c r="A225" s="6" t="s">
        <v>871</v>
      </c>
      <c r="B225" s="6" t="s">
        <v>1127</v>
      </c>
      <c r="C225" s="18" t="s">
        <v>1148</v>
      </c>
      <c r="D225" s="15" t="s">
        <v>1357</v>
      </c>
    </row>
    <row r="226" customFormat="false" ht="57.45" hidden="false" customHeight="false" outlineLevel="0" collapsed="false">
      <c r="A226" s="6" t="s">
        <v>876</v>
      </c>
      <c r="B226" s="6" t="s">
        <v>1132</v>
      </c>
      <c r="C226" s="14" t="s">
        <v>1133</v>
      </c>
      <c r="D226" s="15" t="s">
        <v>1358</v>
      </c>
    </row>
    <row r="227" customFormat="false" ht="46.25" hidden="false" customHeight="false" outlineLevel="0" collapsed="false">
      <c r="A227" s="6" t="s">
        <v>885</v>
      </c>
      <c r="B227" s="6" t="s">
        <v>1127</v>
      </c>
      <c r="C227" s="14" t="s">
        <v>1135</v>
      </c>
      <c r="D227" s="16" t="s">
        <v>1359</v>
      </c>
    </row>
    <row r="228" customFormat="false" ht="23.85" hidden="false" customHeight="false" outlineLevel="0" collapsed="false">
      <c r="A228" s="6" t="s">
        <v>885</v>
      </c>
      <c r="B228" s="6" t="s">
        <v>1130</v>
      </c>
      <c r="C228" s="14" t="s">
        <v>1133</v>
      </c>
      <c r="D228" s="15" t="s">
        <v>1360</v>
      </c>
    </row>
    <row r="229" customFormat="false" ht="35.05" hidden="false" customHeight="false" outlineLevel="0" collapsed="false">
      <c r="A229" s="6" t="s">
        <v>892</v>
      </c>
      <c r="B229" s="6" t="s">
        <v>1132</v>
      </c>
      <c r="C229" s="18" t="s">
        <v>1148</v>
      </c>
      <c r="D229" s="15" t="s">
        <v>1361</v>
      </c>
    </row>
    <row r="230" customFormat="false" ht="68.65" hidden="false" customHeight="false" outlineLevel="0" collapsed="false">
      <c r="A230" s="6" t="s">
        <v>899</v>
      </c>
      <c r="B230" s="6" t="s">
        <v>1132</v>
      </c>
      <c r="C230" s="14" t="s">
        <v>1135</v>
      </c>
      <c r="D230" s="15" t="s">
        <v>1362</v>
      </c>
    </row>
    <row r="231" customFormat="false" ht="23.85" hidden="false" customHeight="false" outlineLevel="0" collapsed="false">
      <c r="A231" s="6" t="s">
        <v>904</v>
      </c>
      <c r="B231" s="6" t="s">
        <v>1127</v>
      </c>
      <c r="C231" s="12" t="s">
        <v>1128</v>
      </c>
      <c r="D231" s="13" t="s">
        <v>1363</v>
      </c>
    </row>
    <row r="232" customFormat="false" ht="23.85" hidden="false" customHeight="false" outlineLevel="0" collapsed="false">
      <c r="A232" s="6" t="s">
        <v>904</v>
      </c>
      <c r="B232" s="6" t="s">
        <v>1130</v>
      </c>
      <c r="C232" s="12" t="s">
        <v>1128</v>
      </c>
      <c r="D232" s="13" t="s">
        <v>1364</v>
      </c>
    </row>
    <row r="233" customFormat="false" ht="68.65" hidden="false" customHeight="false" outlineLevel="0" collapsed="false">
      <c r="A233" s="6" t="s">
        <v>911</v>
      </c>
      <c r="B233" s="6" t="s">
        <v>1127</v>
      </c>
      <c r="C233" s="12" t="s">
        <v>1128</v>
      </c>
      <c r="D233" s="15" t="s">
        <v>1365</v>
      </c>
    </row>
    <row r="234" customFormat="false" ht="23.85" hidden="false" customHeight="false" outlineLevel="0" collapsed="false">
      <c r="A234" s="6" t="s">
        <v>911</v>
      </c>
      <c r="B234" s="6" t="s">
        <v>1130</v>
      </c>
      <c r="C234" s="14" t="s">
        <v>1133</v>
      </c>
      <c r="D234" s="15" t="s">
        <v>1366</v>
      </c>
    </row>
    <row r="235" customFormat="false" ht="46.25" hidden="false" customHeight="false" outlineLevel="0" collapsed="false">
      <c r="A235" s="6" t="s">
        <v>917</v>
      </c>
      <c r="B235" s="6" t="s">
        <v>1127</v>
      </c>
      <c r="C235" s="12" t="s">
        <v>1128</v>
      </c>
      <c r="D235" s="13" t="s">
        <v>1367</v>
      </c>
    </row>
    <row r="236" customFormat="false" ht="68.65" hidden="false" customHeight="false" outlineLevel="0" collapsed="false">
      <c r="A236" s="6" t="s">
        <v>924</v>
      </c>
      <c r="B236" s="6" t="s">
        <v>1132</v>
      </c>
      <c r="C236" s="14" t="s">
        <v>1135</v>
      </c>
      <c r="D236" s="15" t="s">
        <v>1368</v>
      </c>
    </row>
    <row r="237" customFormat="false" ht="23.85" hidden="false" customHeight="false" outlineLevel="0" collapsed="false">
      <c r="A237" s="6" t="s">
        <v>930</v>
      </c>
      <c r="B237" s="6" t="s">
        <v>1127</v>
      </c>
      <c r="C237" s="18" t="s">
        <v>1148</v>
      </c>
      <c r="D237" s="16" t="s">
        <v>1369</v>
      </c>
    </row>
    <row r="238" customFormat="false" ht="68.65" hidden="false" customHeight="false" outlineLevel="0" collapsed="false">
      <c r="A238" s="6" t="s">
        <v>930</v>
      </c>
      <c r="B238" s="6" t="s">
        <v>1132</v>
      </c>
      <c r="C238" s="12" t="s">
        <v>1128</v>
      </c>
      <c r="D238" s="13" t="s">
        <v>1370</v>
      </c>
    </row>
    <row r="239" customFormat="false" ht="35.05" hidden="false" customHeight="false" outlineLevel="0" collapsed="false">
      <c r="A239" s="6" t="s">
        <v>937</v>
      </c>
      <c r="B239" s="6" t="s">
        <v>1132</v>
      </c>
      <c r="C239" s="14" t="s">
        <v>1133</v>
      </c>
      <c r="D239" s="15" t="s">
        <v>1371</v>
      </c>
    </row>
    <row r="240" customFormat="false" ht="23.85" hidden="false" customHeight="false" outlineLevel="0" collapsed="false">
      <c r="A240" s="6" t="s">
        <v>943</v>
      </c>
      <c r="B240" s="6" t="s">
        <v>1127</v>
      </c>
      <c r="C240" s="14" t="s">
        <v>1133</v>
      </c>
      <c r="D240" s="15" t="s">
        <v>1372</v>
      </c>
    </row>
    <row r="241" customFormat="false" ht="35.05" hidden="false" customHeight="false" outlineLevel="0" collapsed="false">
      <c r="A241" s="6" t="s">
        <v>943</v>
      </c>
      <c r="B241" s="6" t="s">
        <v>1130</v>
      </c>
      <c r="C241" s="12" t="s">
        <v>1128</v>
      </c>
      <c r="D241" s="13" t="s">
        <v>1373</v>
      </c>
    </row>
    <row r="242" customFormat="false" ht="23.85" hidden="false" customHeight="false" outlineLevel="0" collapsed="false">
      <c r="A242" s="6" t="s">
        <v>943</v>
      </c>
      <c r="B242" s="6" t="s">
        <v>1132</v>
      </c>
      <c r="C242" s="14" t="s">
        <v>1133</v>
      </c>
      <c r="D242" s="15" t="s">
        <v>1374</v>
      </c>
    </row>
    <row r="243" customFormat="false" ht="23.85" hidden="false" customHeight="false" outlineLevel="0" collapsed="false">
      <c r="A243" s="6" t="s">
        <v>951</v>
      </c>
      <c r="B243" s="6" t="s">
        <v>1130</v>
      </c>
      <c r="C243" s="14" t="s">
        <v>1133</v>
      </c>
      <c r="D243" s="15" t="s">
        <v>1375</v>
      </c>
    </row>
    <row r="244" customFormat="false" ht="35.05" hidden="false" customHeight="false" outlineLevel="0" collapsed="false">
      <c r="A244" s="6" t="s">
        <v>951</v>
      </c>
      <c r="B244" s="6" t="s">
        <v>1132</v>
      </c>
      <c r="C244" s="12" t="s">
        <v>1128</v>
      </c>
      <c r="D244" s="15" t="s">
        <v>1376</v>
      </c>
    </row>
    <row r="245" customFormat="false" ht="35.05" hidden="false" customHeight="false" outlineLevel="0" collapsed="false">
      <c r="A245" s="6" t="s">
        <v>958</v>
      </c>
      <c r="B245" s="6" t="s">
        <v>1132</v>
      </c>
      <c r="C245" s="18" t="s">
        <v>1148</v>
      </c>
      <c r="D245" s="15" t="s">
        <v>1377</v>
      </c>
    </row>
    <row r="246" customFormat="false" ht="57.45" hidden="false" customHeight="false" outlineLevel="0" collapsed="false">
      <c r="A246" s="6" t="s">
        <v>965</v>
      </c>
      <c r="B246" s="6" t="s">
        <v>1132</v>
      </c>
      <c r="C246" s="14" t="s">
        <v>1135</v>
      </c>
      <c r="D246" s="15" t="s">
        <v>1378</v>
      </c>
    </row>
    <row r="247" customFormat="false" ht="23.85" hidden="false" customHeight="false" outlineLevel="0" collapsed="false">
      <c r="A247" s="6" t="s">
        <v>971</v>
      </c>
      <c r="B247" s="6" t="s">
        <v>1127</v>
      </c>
      <c r="C247" s="14" t="s">
        <v>1133</v>
      </c>
      <c r="D247" s="15" t="s">
        <v>1379</v>
      </c>
    </row>
    <row r="248" customFormat="false" ht="35.05" hidden="false" customHeight="false" outlineLevel="0" collapsed="false">
      <c r="A248" s="6" t="s">
        <v>971</v>
      </c>
      <c r="B248" s="6" t="s">
        <v>1130</v>
      </c>
      <c r="C248" s="12" t="s">
        <v>1128</v>
      </c>
      <c r="D248" s="17" t="s">
        <v>1380</v>
      </c>
    </row>
    <row r="249" customFormat="false" ht="68.65" hidden="false" customHeight="false" outlineLevel="0" collapsed="false">
      <c r="A249" s="6" t="s">
        <v>971</v>
      </c>
      <c r="B249" s="6" t="s">
        <v>1132</v>
      </c>
      <c r="C249" s="14" t="s">
        <v>1133</v>
      </c>
      <c r="D249" s="15" t="s">
        <v>1381</v>
      </c>
    </row>
    <row r="250" customFormat="false" ht="46.25" hidden="false" customHeight="false" outlineLevel="0" collapsed="false">
      <c r="A250" s="6" t="s">
        <v>977</v>
      </c>
      <c r="B250" s="6" t="s">
        <v>1132</v>
      </c>
      <c r="C250" s="18" t="s">
        <v>1148</v>
      </c>
      <c r="D250" s="15" t="s">
        <v>1382</v>
      </c>
    </row>
    <row r="251" customFormat="false" ht="68.65" hidden="false" customHeight="false" outlineLevel="0" collapsed="false">
      <c r="A251" s="6" t="s">
        <v>983</v>
      </c>
      <c r="B251" s="6" t="s">
        <v>1132</v>
      </c>
      <c r="C251" s="14" t="s">
        <v>1135</v>
      </c>
      <c r="D251" s="15" t="s">
        <v>1383</v>
      </c>
    </row>
    <row r="252" customFormat="false" ht="46.25" hidden="false" customHeight="false" outlineLevel="0" collapsed="false">
      <c r="A252" s="6" t="s">
        <v>988</v>
      </c>
      <c r="B252" s="6" t="s">
        <v>1132</v>
      </c>
      <c r="C252" s="14" t="s">
        <v>1135</v>
      </c>
      <c r="D252" s="13" t="s">
        <v>1384</v>
      </c>
    </row>
    <row r="253" customFormat="false" ht="23.85" hidden="false" customHeight="false" outlineLevel="0" collapsed="false">
      <c r="A253" s="6" t="s">
        <v>994</v>
      </c>
      <c r="B253" s="6" t="s">
        <v>1132</v>
      </c>
      <c r="C253" s="18" t="s">
        <v>1148</v>
      </c>
      <c r="D253" s="15" t="s">
        <v>1385</v>
      </c>
    </row>
    <row r="254" customFormat="false" ht="102.2" hidden="false" customHeight="false" outlineLevel="0" collapsed="false">
      <c r="A254" s="6" t="s">
        <v>999</v>
      </c>
      <c r="B254" s="6" t="s">
        <v>1132</v>
      </c>
      <c r="C254" s="14" t="s">
        <v>1135</v>
      </c>
      <c r="D254" s="13" t="s">
        <v>1386</v>
      </c>
    </row>
    <row r="255" customFormat="false" ht="23.85" hidden="false" customHeight="false" outlineLevel="0" collapsed="false">
      <c r="A255" s="6" t="s">
        <v>1006</v>
      </c>
      <c r="B255" s="6" t="s">
        <v>1132</v>
      </c>
      <c r="C255" s="14" t="s">
        <v>1133</v>
      </c>
      <c r="D255" s="15" t="s">
        <v>1387</v>
      </c>
    </row>
    <row r="256" customFormat="false" ht="79.85" hidden="false" customHeight="false" outlineLevel="0" collapsed="false">
      <c r="A256" s="6" t="s">
        <v>1011</v>
      </c>
      <c r="B256" s="6" t="s">
        <v>1132</v>
      </c>
      <c r="C256" s="12" t="s">
        <v>1128</v>
      </c>
      <c r="D256" s="17" t="s">
        <v>1388</v>
      </c>
    </row>
    <row r="257" customFormat="false" ht="79.85" hidden="false" customHeight="false" outlineLevel="0" collapsed="false">
      <c r="A257" s="6" t="s">
        <v>1017</v>
      </c>
      <c r="B257" s="6" t="s">
        <v>1132</v>
      </c>
      <c r="C257" s="14" t="s">
        <v>1135</v>
      </c>
      <c r="D257" s="15" t="s">
        <v>1389</v>
      </c>
    </row>
    <row r="258" customFormat="false" ht="35.05" hidden="false" customHeight="false" outlineLevel="0" collapsed="false">
      <c r="A258" s="6" t="s">
        <v>1024</v>
      </c>
      <c r="B258" s="6" t="s">
        <v>1127</v>
      </c>
      <c r="C258" s="18" t="s">
        <v>1148</v>
      </c>
      <c r="D258" s="16" t="s">
        <v>1390</v>
      </c>
    </row>
    <row r="259" customFormat="false" ht="35.05" hidden="false" customHeight="false" outlineLevel="0" collapsed="false">
      <c r="A259" s="6" t="s">
        <v>1024</v>
      </c>
      <c r="B259" s="6" t="s">
        <v>1132</v>
      </c>
      <c r="C259" s="14" t="s">
        <v>1133</v>
      </c>
      <c r="D259" s="15" t="s">
        <v>1391</v>
      </c>
    </row>
    <row r="260" customFormat="false" ht="158.2" hidden="false" customHeight="false" outlineLevel="0" collapsed="false">
      <c r="A260" s="6" t="s">
        <v>1031</v>
      </c>
      <c r="B260" s="6" t="s">
        <v>1132</v>
      </c>
      <c r="C260" s="14" t="s">
        <v>1135</v>
      </c>
      <c r="D260" s="15" t="s">
        <v>1392</v>
      </c>
    </row>
    <row r="261" customFormat="false" ht="23.85" hidden="false" customHeight="false" outlineLevel="0" collapsed="false">
      <c r="A261" s="6" t="s">
        <v>1037</v>
      </c>
      <c r="B261" s="6" t="s">
        <v>1127</v>
      </c>
      <c r="C261" s="12" t="s">
        <v>1128</v>
      </c>
      <c r="D261" s="13" t="s">
        <v>1393</v>
      </c>
    </row>
    <row r="262" customFormat="false" ht="23.85" hidden="false" customHeight="false" outlineLevel="0" collapsed="false">
      <c r="A262" s="6" t="s">
        <v>1037</v>
      </c>
      <c r="B262" s="6" t="s">
        <v>1130</v>
      </c>
      <c r="C262" s="14" t="s">
        <v>1133</v>
      </c>
      <c r="D262" s="15" t="s">
        <v>1394</v>
      </c>
    </row>
    <row r="263" customFormat="false" ht="23.85" hidden="false" customHeight="false" outlineLevel="0" collapsed="false">
      <c r="A263" s="6" t="s">
        <v>1037</v>
      </c>
      <c r="B263" s="6" t="s">
        <v>1132</v>
      </c>
      <c r="C263" s="14" t="s">
        <v>1133</v>
      </c>
      <c r="D263" s="15" t="s">
        <v>1395</v>
      </c>
    </row>
    <row r="264" customFormat="false" ht="35.05" hidden="false" customHeight="false" outlineLevel="0" collapsed="false">
      <c r="A264" s="6" t="s">
        <v>1045</v>
      </c>
      <c r="B264" s="6" t="s">
        <v>1127</v>
      </c>
      <c r="C264" s="12" t="s">
        <v>1128</v>
      </c>
      <c r="D264" s="15" t="s">
        <v>1396</v>
      </c>
    </row>
    <row r="265" customFormat="false" ht="23.85" hidden="false" customHeight="false" outlineLevel="0" collapsed="false">
      <c r="A265" s="6" t="s">
        <v>1045</v>
      </c>
      <c r="B265" s="6" t="s">
        <v>1132</v>
      </c>
      <c r="C265" s="14" t="s">
        <v>1133</v>
      </c>
      <c r="D265" s="15" t="s">
        <v>1397</v>
      </c>
    </row>
    <row r="266" customFormat="false" ht="57.45" hidden="false" customHeight="false" outlineLevel="0" collapsed="false">
      <c r="A266" s="6" t="s">
        <v>1052</v>
      </c>
      <c r="B266" s="6" t="s">
        <v>1132</v>
      </c>
      <c r="C266" s="14" t="s">
        <v>1135</v>
      </c>
      <c r="D266" s="15" t="s">
        <v>1398</v>
      </c>
    </row>
    <row r="267" customFormat="false" ht="23.85" hidden="false" customHeight="false" outlineLevel="0" collapsed="false">
      <c r="A267" s="6" t="s">
        <v>1058</v>
      </c>
      <c r="B267" s="6" t="s">
        <v>1127</v>
      </c>
      <c r="C267" s="14" t="s">
        <v>1133</v>
      </c>
      <c r="D267" s="15" t="s">
        <v>1399</v>
      </c>
    </row>
    <row r="268" customFormat="false" ht="46.25" hidden="false" customHeight="false" outlineLevel="0" collapsed="false">
      <c r="A268" s="6" t="s">
        <v>1058</v>
      </c>
      <c r="B268" s="6" t="s">
        <v>1132</v>
      </c>
      <c r="C268" s="14" t="s">
        <v>1135</v>
      </c>
      <c r="D268" s="15" t="s">
        <v>1400</v>
      </c>
    </row>
    <row r="269" customFormat="false" ht="46.25" hidden="false" customHeight="false" outlineLevel="0" collapsed="false">
      <c r="A269" s="6" t="s">
        <v>1065</v>
      </c>
      <c r="B269" s="6" t="s">
        <v>1132</v>
      </c>
      <c r="C269" s="14" t="s">
        <v>1135</v>
      </c>
      <c r="D269" s="15" t="s">
        <v>1401</v>
      </c>
    </row>
    <row r="270" customFormat="false" ht="23.85" hidden="false" customHeight="false" outlineLevel="0" collapsed="false">
      <c r="A270" s="6" t="s">
        <v>1071</v>
      </c>
      <c r="B270" s="6" t="s">
        <v>1132</v>
      </c>
      <c r="C270" s="14" t="s">
        <v>1133</v>
      </c>
      <c r="D270" s="15" t="s">
        <v>1402</v>
      </c>
    </row>
    <row r="271" customFormat="false" ht="23.85" hidden="false" customHeight="false" outlineLevel="0" collapsed="false">
      <c r="A271" s="6" t="s">
        <v>1076</v>
      </c>
      <c r="B271" s="6" t="s">
        <v>1127</v>
      </c>
      <c r="C271" s="12" t="s">
        <v>1128</v>
      </c>
      <c r="D271" s="13" t="s">
        <v>1403</v>
      </c>
    </row>
    <row r="272" customFormat="false" ht="23.85" hidden="false" customHeight="false" outlineLevel="0" collapsed="false">
      <c r="A272" s="6" t="s">
        <v>1076</v>
      </c>
      <c r="B272" s="6" t="s">
        <v>1132</v>
      </c>
      <c r="C272" s="14" t="s">
        <v>1133</v>
      </c>
      <c r="D272" s="15" t="s">
        <v>1397</v>
      </c>
    </row>
    <row r="273" customFormat="false" ht="135.8" hidden="false" customHeight="false" outlineLevel="0" collapsed="false">
      <c r="A273" s="6" t="s">
        <v>1082</v>
      </c>
      <c r="B273" s="6" t="s">
        <v>1132</v>
      </c>
      <c r="C273" s="14" t="s">
        <v>1135</v>
      </c>
      <c r="D273" s="15" t="s">
        <v>1404</v>
      </c>
    </row>
    <row r="274" customFormat="false" ht="23.85" hidden="false" customHeight="false" outlineLevel="0" collapsed="false">
      <c r="A274" s="6" t="s">
        <v>1087</v>
      </c>
      <c r="B274" s="6" t="s">
        <v>1130</v>
      </c>
      <c r="C274" s="14" t="s">
        <v>1133</v>
      </c>
      <c r="D274" s="15" t="s">
        <v>1405</v>
      </c>
    </row>
    <row r="275" customFormat="false" ht="35.05" hidden="false" customHeight="false" outlineLevel="0" collapsed="false">
      <c r="A275" s="6" t="s">
        <v>1087</v>
      </c>
      <c r="B275" s="6" t="s">
        <v>1132</v>
      </c>
      <c r="C275" s="12" t="s">
        <v>1128</v>
      </c>
      <c r="D275" s="13" t="s">
        <v>1406</v>
      </c>
    </row>
    <row r="276" customFormat="false" ht="46.25" hidden="false" customHeight="false" outlineLevel="0" collapsed="false">
      <c r="A276" s="6" t="s">
        <v>1092</v>
      </c>
      <c r="B276" s="6" t="s">
        <v>1132</v>
      </c>
      <c r="C276" s="14" t="s">
        <v>1135</v>
      </c>
      <c r="D276" s="15" t="s">
        <v>1407</v>
      </c>
    </row>
    <row r="277" customFormat="false" ht="46.25" hidden="false" customHeight="false" outlineLevel="0" collapsed="false">
      <c r="A277" s="6" t="s">
        <v>1097</v>
      </c>
      <c r="B277" s="6" t="s">
        <v>1132</v>
      </c>
      <c r="C277" s="14" t="s">
        <v>1135</v>
      </c>
      <c r="D277" s="15" t="s">
        <v>1408</v>
      </c>
    </row>
    <row r="278" customFormat="false" ht="35.05" hidden="false" customHeight="false" outlineLevel="0" collapsed="false">
      <c r="A278" s="6" t="s">
        <v>1103</v>
      </c>
      <c r="B278" s="6" t="s">
        <v>1132</v>
      </c>
      <c r="C278" s="14" t="s">
        <v>1135</v>
      </c>
      <c r="D278" s="15" t="s">
        <v>1409</v>
      </c>
    </row>
    <row r="279" customFormat="false" ht="57.45" hidden="false" customHeight="false" outlineLevel="0" collapsed="false">
      <c r="A279" s="6" t="s">
        <v>1110</v>
      </c>
      <c r="B279" s="6" t="s">
        <v>1132</v>
      </c>
      <c r="C279" s="14" t="s">
        <v>1135</v>
      </c>
      <c r="D279" s="15" t="s">
        <v>1410</v>
      </c>
    </row>
    <row r="280" customFormat="false" ht="57.45" hidden="false" customHeight="false" outlineLevel="0" collapsed="false">
      <c r="A280" s="6" t="s">
        <v>1117</v>
      </c>
      <c r="B280" s="6" t="s">
        <v>1132</v>
      </c>
      <c r="C280" s="14" t="s">
        <v>1135</v>
      </c>
      <c r="D280" s="15" t="s">
        <v>1411</v>
      </c>
    </row>
  </sheetData>
  <autoFilter ref="A1:D28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3" min="3" style="0" width="22"/>
    <col collapsed="false" customWidth="true" hidden="false" outlineLevel="0" max="4" min="4" style="0" width="150"/>
  </cols>
  <sheetData>
    <row r="1" customFormat="false" ht="27.75" hidden="false" customHeight="true" outlineLevel="0" collapsed="false">
      <c r="A1" s="4" t="s">
        <v>41</v>
      </c>
      <c r="B1" s="4" t="s">
        <v>1412</v>
      </c>
      <c r="C1" s="4" t="s">
        <v>1413</v>
      </c>
      <c r="D1" s="4" t="s">
        <v>1414</v>
      </c>
    </row>
    <row r="2" customFormat="false" ht="23.85" hidden="false" customHeight="false" outlineLevel="0" collapsed="false">
      <c r="A2" s="6" t="s">
        <v>275</v>
      </c>
      <c r="B2" s="6" t="s">
        <v>156</v>
      </c>
      <c r="C2" s="6" t="s">
        <v>1415</v>
      </c>
      <c r="D2" s="6" t="s">
        <v>1416</v>
      </c>
    </row>
    <row r="3" customFormat="false" ht="35.05" hidden="false" customHeight="false" outlineLevel="0" collapsed="false">
      <c r="A3" s="6" t="s">
        <v>275</v>
      </c>
      <c r="B3" s="6" t="s">
        <v>156</v>
      </c>
      <c r="C3" s="6" t="s">
        <v>1415</v>
      </c>
      <c r="D3" s="6" t="s">
        <v>1417</v>
      </c>
    </row>
    <row r="4" customFormat="false" ht="35.05" hidden="false" customHeight="false" outlineLevel="0" collapsed="false">
      <c r="A4" s="6" t="s">
        <v>275</v>
      </c>
      <c r="B4" s="6" t="s">
        <v>156</v>
      </c>
      <c r="C4" s="6" t="s">
        <v>1415</v>
      </c>
      <c r="D4" s="6" t="s">
        <v>1418</v>
      </c>
    </row>
    <row r="5" customFormat="false" ht="15" hidden="false" customHeight="false" outlineLevel="0" collapsed="false">
      <c r="A5" s="6" t="s">
        <v>275</v>
      </c>
      <c r="B5" s="6" t="s">
        <v>156</v>
      </c>
      <c r="C5" s="6" t="s">
        <v>1415</v>
      </c>
      <c r="D5" s="6" t="s">
        <v>1419</v>
      </c>
    </row>
    <row r="6" customFormat="false" ht="15" hidden="false" customHeight="false" outlineLevel="0" collapsed="false">
      <c r="A6" s="6" t="s">
        <v>275</v>
      </c>
      <c r="B6" s="6" t="s">
        <v>131</v>
      </c>
      <c r="C6" s="6" t="s">
        <v>1415</v>
      </c>
      <c r="D6" s="6" t="s">
        <v>1420</v>
      </c>
    </row>
    <row r="7" customFormat="false" ht="23.85" hidden="false" customHeight="false" outlineLevel="0" collapsed="false">
      <c r="A7" s="6" t="s">
        <v>275</v>
      </c>
      <c r="B7" s="6" t="s">
        <v>378</v>
      </c>
      <c r="C7" s="6" t="s">
        <v>1415</v>
      </c>
      <c r="D7" s="6" t="s">
        <v>1421</v>
      </c>
    </row>
    <row r="8" customFormat="false" ht="23.85" hidden="false" customHeight="false" outlineLevel="0" collapsed="false">
      <c r="A8" s="6" t="s">
        <v>275</v>
      </c>
      <c r="B8" s="6" t="s">
        <v>378</v>
      </c>
      <c r="C8" s="6" t="s">
        <v>1415</v>
      </c>
      <c r="D8" s="6" t="s">
        <v>1422</v>
      </c>
    </row>
    <row r="9" customFormat="false" ht="15" hidden="false" customHeight="false" outlineLevel="0" collapsed="false">
      <c r="A9" s="6" t="s">
        <v>275</v>
      </c>
      <c r="B9" s="6" t="s">
        <v>378</v>
      </c>
      <c r="C9" s="6" t="s">
        <v>1415</v>
      </c>
      <c r="D9" s="6" t="s">
        <v>1423</v>
      </c>
    </row>
    <row r="10" customFormat="false" ht="15" hidden="false" customHeight="false" outlineLevel="0" collapsed="false">
      <c r="A10" s="6" t="s">
        <v>275</v>
      </c>
      <c r="B10" s="6" t="s">
        <v>224</v>
      </c>
      <c r="C10" s="6" t="s">
        <v>1415</v>
      </c>
      <c r="D10" s="6" t="s">
        <v>1424</v>
      </c>
    </row>
    <row r="11" customFormat="false" ht="23.85" hidden="false" customHeight="false" outlineLevel="0" collapsed="false">
      <c r="A11" s="6" t="s">
        <v>275</v>
      </c>
      <c r="B11" s="6" t="s">
        <v>138</v>
      </c>
      <c r="C11" s="6" t="s">
        <v>1415</v>
      </c>
      <c r="D11" s="6" t="s">
        <v>1425</v>
      </c>
    </row>
    <row r="12" customFormat="false" ht="35.05" hidden="false" customHeight="false" outlineLevel="0" collapsed="false">
      <c r="A12" s="6" t="s">
        <v>275</v>
      </c>
      <c r="B12" s="6" t="s">
        <v>95</v>
      </c>
      <c r="C12" s="6" t="s">
        <v>1415</v>
      </c>
      <c r="D12" s="6" t="s">
        <v>96</v>
      </c>
    </row>
    <row r="13" customFormat="false" ht="35.05" hidden="false" customHeight="false" outlineLevel="0" collapsed="false">
      <c r="A13" s="6" t="s">
        <v>275</v>
      </c>
      <c r="B13" s="6" t="s">
        <v>95</v>
      </c>
      <c r="C13" s="6" t="s">
        <v>1415</v>
      </c>
      <c r="D13" s="6" t="s">
        <v>1426</v>
      </c>
    </row>
    <row r="14" customFormat="false" ht="23.85" hidden="false" customHeight="false" outlineLevel="0" collapsed="false">
      <c r="A14" s="6" t="s">
        <v>275</v>
      </c>
      <c r="B14" s="6" t="s">
        <v>95</v>
      </c>
      <c r="C14" s="6" t="s">
        <v>1415</v>
      </c>
      <c r="D14" s="6" t="s">
        <v>123</v>
      </c>
    </row>
    <row r="15" customFormat="false" ht="23.85" hidden="false" customHeight="false" outlineLevel="0" collapsed="false">
      <c r="A15" s="6" t="s">
        <v>275</v>
      </c>
      <c r="B15" s="6" t="s">
        <v>104</v>
      </c>
      <c r="C15" s="6" t="s">
        <v>1415</v>
      </c>
      <c r="D15" s="6" t="s">
        <v>364</v>
      </c>
    </row>
    <row r="16" customFormat="false" ht="35.05" hidden="false" customHeight="false" outlineLevel="0" collapsed="false">
      <c r="A16" s="6" t="s">
        <v>275</v>
      </c>
      <c r="B16" s="6" t="s">
        <v>104</v>
      </c>
      <c r="C16" s="6" t="s">
        <v>1415</v>
      </c>
      <c r="D16" s="6" t="s">
        <v>312</v>
      </c>
    </row>
    <row r="17" customFormat="false" ht="35.05" hidden="false" customHeight="false" outlineLevel="0" collapsed="false">
      <c r="A17" s="6" t="s">
        <v>275</v>
      </c>
      <c r="B17" s="6" t="s">
        <v>104</v>
      </c>
      <c r="C17" s="6" t="s">
        <v>1415</v>
      </c>
      <c r="D17" s="6" t="s">
        <v>202</v>
      </c>
    </row>
    <row r="18" customFormat="false" ht="247.75" hidden="false" customHeight="false" outlineLevel="0" collapsed="false">
      <c r="A18" s="6" t="s">
        <v>275</v>
      </c>
      <c r="B18" s="6" t="s">
        <v>104</v>
      </c>
      <c r="C18" s="6" t="s">
        <v>1427</v>
      </c>
      <c r="D18" s="6" t="s">
        <v>1428</v>
      </c>
    </row>
    <row r="19" customFormat="false" ht="23.85" hidden="false" customHeight="false" outlineLevel="0" collapsed="false">
      <c r="A19" s="6" t="s">
        <v>59</v>
      </c>
      <c r="B19" s="6" t="s">
        <v>69</v>
      </c>
      <c r="C19" s="6" t="s">
        <v>1415</v>
      </c>
      <c r="D19" s="6" t="s">
        <v>1429</v>
      </c>
    </row>
    <row r="20" customFormat="false" ht="35.05" hidden="false" customHeight="false" outlineLevel="0" collapsed="false">
      <c r="A20" s="6" t="s">
        <v>59</v>
      </c>
      <c r="B20" s="6" t="s">
        <v>69</v>
      </c>
      <c r="C20" s="6" t="s">
        <v>1415</v>
      </c>
      <c r="D20" s="6" t="s">
        <v>1430</v>
      </c>
    </row>
    <row r="21" customFormat="false" ht="15" hidden="false" customHeight="false" outlineLevel="0" collapsed="false">
      <c r="A21" s="6" t="s">
        <v>59</v>
      </c>
      <c r="B21" s="6" t="s">
        <v>69</v>
      </c>
      <c r="C21" s="6" t="s">
        <v>1415</v>
      </c>
      <c r="D21" s="6" t="s">
        <v>1431</v>
      </c>
    </row>
    <row r="22" customFormat="false" ht="35.05" hidden="false" customHeight="false" outlineLevel="0" collapsed="false">
      <c r="A22" s="6" t="s">
        <v>59</v>
      </c>
      <c r="B22" s="6" t="s">
        <v>69</v>
      </c>
      <c r="C22" s="6" t="s">
        <v>1415</v>
      </c>
      <c r="D22" s="6" t="s">
        <v>1432</v>
      </c>
    </row>
    <row r="23" customFormat="false" ht="23.85" hidden="false" customHeight="false" outlineLevel="0" collapsed="false">
      <c r="A23" s="6" t="s">
        <v>59</v>
      </c>
      <c r="B23" s="6" t="s">
        <v>114</v>
      </c>
      <c r="C23" s="6" t="s">
        <v>1415</v>
      </c>
      <c r="D23" s="6" t="s">
        <v>1433</v>
      </c>
    </row>
    <row r="24" customFormat="false" ht="15" hidden="false" customHeight="false" outlineLevel="0" collapsed="false">
      <c r="A24" s="6" t="s">
        <v>59</v>
      </c>
      <c r="B24" s="6" t="s">
        <v>114</v>
      </c>
      <c r="C24" s="6" t="s">
        <v>1415</v>
      </c>
      <c r="D24" s="6" t="s">
        <v>1434</v>
      </c>
    </row>
    <row r="25" customFormat="false" ht="35.05" hidden="false" customHeight="false" outlineLevel="0" collapsed="false">
      <c r="A25" s="6" t="s">
        <v>59</v>
      </c>
      <c r="B25" s="6" t="s">
        <v>296</v>
      </c>
      <c r="C25" s="6" t="s">
        <v>1415</v>
      </c>
      <c r="D25" s="6" t="s">
        <v>1435</v>
      </c>
    </row>
    <row r="26" customFormat="false" ht="15" hidden="false" customHeight="false" outlineLevel="0" collapsed="false">
      <c r="A26" s="6" t="s">
        <v>59</v>
      </c>
      <c r="B26" s="6" t="s">
        <v>304</v>
      </c>
      <c r="C26" s="6" t="s">
        <v>1415</v>
      </c>
      <c r="D26" s="6" t="s">
        <v>1436</v>
      </c>
    </row>
    <row r="27" customFormat="false" ht="35.05" hidden="false" customHeight="false" outlineLevel="0" collapsed="false">
      <c r="A27" s="6" t="s">
        <v>59</v>
      </c>
      <c r="B27" s="6" t="s">
        <v>224</v>
      </c>
      <c r="C27" s="6" t="s">
        <v>1415</v>
      </c>
      <c r="D27" s="6" t="s">
        <v>225</v>
      </c>
    </row>
    <row r="28" customFormat="false" ht="23.85" hidden="false" customHeight="false" outlineLevel="0" collapsed="false">
      <c r="A28" s="6" t="s">
        <v>59</v>
      </c>
      <c r="B28" s="6" t="s">
        <v>224</v>
      </c>
      <c r="C28" s="6" t="s">
        <v>1415</v>
      </c>
      <c r="D28" s="6" t="s">
        <v>1437</v>
      </c>
    </row>
    <row r="29" customFormat="false" ht="23.85" hidden="false" customHeight="false" outlineLevel="0" collapsed="false">
      <c r="A29" s="6" t="s">
        <v>59</v>
      </c>
      <c r="B29" s="6" t="s">
        <v>224</v>
      </c>
      <c r="C29" s="6" t="s">
        <v>1438</v>
      </c>
      <c r="D29" s="6" t="s">
        <v>1439</v>
      </c>
    </row>
    <row r="30" customFormat="false" ht="23.85" hidden="false" customHeight="false" outlineLevel="0" collapsed="false">
      <c r="A30" s="6" t="s">
        <v>59</v>
      </c>
      <c r="B30" s="6" t="s">
        <v>138</v>
      </c>
      <c r="C30" s="6" t="s">
        <v>1415</v>
      </c>
      <c r="D30" s="6" t="s">
        <v>1440</v>
      </c>
    </row>
    <row r="31" customFormat="false" ht="35.05" hidden="false" customHeight="false" outlineLevel="0" collapsed="false">
      <c r="A31" s="6" t="s">
        <v>59</v>
      </c>
      <c r="B31" s="6" t="s">
        <v>70</v>
      </c>
      <c r="C31" s="6" t="s">
        <v>1415</v>
      </c>
      <c r="D31" s="6" t="s">
        <v>71</v>
      </c>
    </row>
    <row r="32" customFormat="false" ht="23.85" hidden="false" customHeight="false" outlineLevel="0" collapsed="false">
      <c r="A32" s="6" t="s">
        <v>561</v>
      </c>
      <c r="B32" s="6" t="s">
        <v>568</v>
      </c>
      <c r="C32" s="6" t="s">
        <v>1415</v>
      </c>
      <c r="D32" s="6" t="s">
        <v>603</v>
      </c>
    </row>
    <row r="33" customFormat="false" ht="23.85" hidden="false" customHeight="false" outlineLevel="0" collapsed="false">
      <c r="A33" s="6" t="s">
        <v>561</v>
      </c>
      <c r="B33" s="6" t="s">
        <v>304</v>
      </c>
      <c r="C33" s="6" t="s">
        <v>1415</v>
      </c>
      <c r="D33" s="6" t="s">
        <v>621</v>
      </c>
    </row>
    <row r="34" customFormat="false" ht="23.85" hidden="false" customHeight="false" outlineLevel="0" collapsed="false">
      <c r="A34" s="6" t="s">
        <v>561</v>
      </c>
      <c r="B34" s="6" t="s">
        <v>104</v>
      </c>
      <c r="C34" s="6" t="s">
        <v>1415</v>
      </c>
      <c r="D34" s="6" t="s">
        <v>1441</v>
      </c>
    </row>
    <row r="35" customFormat="false" ht="46.25" hidden="false" customHeight="false" outlineLevel="0" collapsed="false">
      <c r="A35" s="6" t="s">
        <v>561</v>
      </c>
      <c r="B35" s="6" t="s">
        <v>104</v>
      </c>
      <c r="C35" s="6" t="s">
        <v>1415</v>
      </c>
      <c r="D35" s="6" t="s">
        <v>576</v>
      </c>
    </row>
    <row r="36" customFormat="false" ht="15" hidden="false" customHeight="false" outlineLevel="0" collapsed="false">
      <c r="A36" s="6" t="s">
        <v>561</v>
      </c>
      <c r="B36" s="6" t="s">
        <v>104</v>
      </c>
      <c r="C36" s="6" t="s">
        <v>1415</v>
      </c>
      <c r="D36" s="6" t="s">
        <v>1442</v>
      </c>
    </row>
    <row r="37" customFormat="false" ht="23.85" hidden="false" customHeight="false" outlineLevel="0" collapsed="false">
      <c r="A37" s="6" t="s">
        <v>561</v>
      </c>
      <c r="B37" s="6" t="s">
        <v>104</v>
      </c>
      <c r="C37" s="6" t="s">
        <v>1415</v>
      </c>
      <c r="D37" s="6" t="s">
        <v>1443</v>
      </c>
    </row>
    <row r="38" customFormat="false" ht="23.85" hidden="false" customHeight="false" outlineLevel="0" collapsed="false">
      <c r="A38" s="6" t="s">
        <v>561</v>
      </c>
      <c r="B38" s="6" t="s">
        <v>104</v>
      </c>
      <c r="C38" s="6" t="s">
        <v>1415</v>
      </c>
      <c r="D38" s="6" t="s">
        <v>1444</v>
      </c>
    </row>
    <row r="39" customFormat="false" ht="35.05" hidden="false" customHeight="false" outlineLevel="0" collapsed="false">
      <c r="A39" s="6" t="s">
        <v>561</v>
      </c>
      <c r="B39" s="6" t="s">
        <v>104</v>
      </c>
      <c r="C39" s="6" t="s">
        <v>1415</v>
      </c>
      <c r="D39" s="6" t="s">
        <v>569</v>
      </c>
    </row>
    <row r="40" customFormat="false" ht="68.65" hidden="false" customHeight="false" outlineLevel="0" collapsed="false">
      <c r="A40" s="6" t="s">
        <v>561</v>
      </c>
      <c r="B40" s="6" t="s">
        <v>104</v>
      </c>
      <c r="C40" s="6" t="s">
        <v>1445</v>
      </c>
      <c r="D40" s="6" t="s">
        <v>1446</v>
      </c>
    </row>
    <row r="41" customFormat="false" ht="35.05" hidden="false" customHeight="false" outlineLevel="0" collapsed="false">
      <c r="A41" s="6" t="s">
        <v>188</v>
      </c>
      <c r="B41" s="6" t="s">
        <v>114</v>
      </c>
      <c r="C41" s="6" t="s">
        <v>1415</v>
      </c>
      <c r="D41" s="6" t="s">
        <v>1447</v>
      </c>
    </row>
    <row r="42" customFormat="false" ht="15" hidden="false" customHeight="false" outlineLevel="0" collapsed="false">
      <c r="A42" s="6" t="s">
        <v>188</v>
      </c>
      <c r="B42" s="6" t="s">
        <v>378</v>
      </c>
      <c r="C42" s="6" t="s">
        <v>1415</v>
      </c>
      <c r="D42" s="6" t="s">
        <v>1448</v>
      </c>
    </row>
    <row r="43" customFormat="false" ht="15" hidden="false" customHeight="false" outlineLevel="0" collapsed="false">
      <c r="A43" s="6" t="s">
        <v>188</v>
      </c>
      <c r="B43" s="6" t="s">
        <v>378</v>
      </c>
      <c r="C43" s="6" t="s">
        <v>1415</v>
      </c>
      <c r="D43" s="6" t="s">
        <v>1449</v>
      </c>
    </row>
    <row r="44" customFormat="false" ht="15" hidden="false" customHeight="false" outlineLevel="0" collapsed="false">
      <c r="A44" s="6" t="s">
        <v>188</v>
      </c>
      <c r="B44" s="6" t="s">
        <v>378</v>
      </c>
      <c r="C44" s="6" t="s">
        <v>1415</v>
      </c>
      <c r="D44" s="6" t="s">
        <v>1450</v>
      </c>
    </row>
    <row r="45" customFormat="false" ht="46.25" hidden="false" customHeight="false" outlineLevel="0" collapsed="false">
      <c r="A45" s="6" t="s">
        <v>188</v>
      </c>
      <c r="B45" s="6" t="s">
        <v>378</v>
      </c>
      <c r="C45" s="6" t="s">
        <v>1415</v>
      </c>
      <c r="D45" s="6" t="s">
        <v>1451</v>
      </c>
    </row>
    <row r="46" customFormat="false" ht="35.05" hidden="false" customHeight="false" outlineLevel="0" collapsed="false">
      <c r="A46" s="6" t="s">
        <v>188</v>
      </c>
      <c r="B46" s="6" t="s">
        <v>264</v>
      </c>
      <c r="C46" s="6" t="s">
        <v>1415</v>
      </c>
      <c r="D46" s="6" t="s">
        <v>1452</v>
      </c>
    </row>
    <row r="47" customFormat="false" ht="46.25" hidden="false" customHeight="false" outlineLevel="0" collapsed="false">
      <c r="A47" s="6" t="s">
        <v>188</v>
      </c>
      <c r="B47" s="6" t="s">
        <v>264</v>
      </c>
      <c r="C47" s="6" t="s">
        <v>1415</v>
      </c>
      <c r="D47" s="6" t="s">
        <v>446</v>
      </c>
    </row>
    <row r="48" customFormat="false" ht="35.05" hidden="false" customHeight="false" outlineLevel="0" collapsed="false">
      <c r="A48" s="6" t="s">
        <v>188</v>
      </c>
      <c r="B48" s="6" t="s">
        <v>304</v>
      </c>
      <c r="C48" s="6" t="s">
        <v>1415</v>
      </c>
      <c r="D48" s="6" t="s">
        <v>1453</v>
      </c>
    </row>
    <row r="49" customFormat="false" ht="35.05" hidden="false" customHeight="false" outlineLevel="0" collapsed="false">
      <c r="A49" s="6" t="s">
        <v>188</v>
      </c>
      <c r="B49" s="6" t="s">
        <v>224</v>
      </c>
      <c r="C49" s="6" t="s">
        <v>1415</v>
      </c>
      <c r="D49" s="6" t="s">
        <v>250</v>
      </c>
    </row>
    <row r="50" customFormat="false" ht="15" hidden="false" customHeight="false" outlineLevel="0" collapsed="false">
      <c r="A50" s="6" t="s">
        <v>188</v>
      </c>
      <c r="B50" s="6" t="s">
        <v>224</v>
      </c>
      <c r="C50" s="6" t="s">
        <v>1415</v>
      </c>
      <c r="D50" s="6" t="s">
        <v>1454</v>
      </c>
    </row>
    <row r="51" customFormat="false" ht="23.85" hidden="false" customHeight="false" outlineLevel="0" collapsed="false">
      <c r="A51" s="6" t="s">
        <v>188</v>
      </c>
      <c r="B51" s="6" t="s">
        <v>224</v>
      </c>
      <c r="C51" s="6" t="s">
        <v>1415</v>
      </c>
      <c r="D51" s="6" t="s">
        <v>1455</v>
      </c>
    </row>
    <row r="52" customFormat="false" ht="23.85" hidden="false" customHeight="false" outlineLevel="0" collapsed="false">
      <c r="A52" s="6" t="s">
        <v>188</v>
      </c>
      <c r="B52" s="6" t="s">
        <v>224</v>
      </c>
      <c r="C52" s="6" t="s">
        <v>1415</v>
      </c>
      <c r="D52" s="6" t="s">
        <v>916</v>
      </c>
    </row>
    <row r="53" customFormat="false" ht="35.05" hidden="false" customHeight="false" outlineLevel="0" collapsed="false">
      <c r="A53" s="6" t="s">
        <v>188</v>
      </c>
      <c r="B53" s="6" t="s">
        <v>265</v>
      </c>
      <c r="C53" s="6" t="s">
        <v>1415</v>
      </c>
      <c r="D53" s="6" t="s">
        <v>1456</v>
      </c>
    </row>
    <row r="54" customFormat="false" ht="23.85" hidden="false" customHeight="false" outlineLevel="0" collapsed="false">
      <c r="A54" s="6" t="s">
        <v>188</v>
      </c>
      <c r="B54" s="6" t="s">
        <v>138</v>
      </c>
      <c r="C54" s="6" t="s">
        <v>1415</v>
      </c>
      <c r="D54" s="6" t="s">
        <v>1425</v>
      </c>
    </row>
    <row r="55" customFormat="false" ht="23.85" hidden="false" customHeight="false" outlineLevel="0" collapsed="false">
      <c r="A55" s="6" t="s">
        <v>188</v>
      </c>
      <c r="B55" s="6" t="s">
        <v>138</v>
      </c>
      <c r="C55" s="6" t="s">
        <v>1457</v>
      </c>
      <c r="D55" s="6" t="s">
        <v>1458</v>
      </c>
    </row>
    <row r="56" customFormat="false" ht="35.05" hidden="false" customHeight="false" outlineLevel="0" collapsed="false">
      <c r="A56" s="6" t="s">
        <v>188</v>
      </c>
      <c r="B56" s="6" t="s">
        <v>104</v>
      </c>
      <c r="C56" s="6" t="s">
        <v>1415</v>
      </c>
      <c r="D56" s="6" t="s">
        <v>312</v>
      </c>
    </row>
    <row r="57" customFormat="false" ht="35.05" hidden="false" customHeight="false" outlineLevel="0" collapsed="false">
      <c r="A57" s="6" t="s">
        <v>188</v>
      </c>
      <c r="B57" s="6" t="s">
        <v>104</v>
      </c>
      <c r="C57" s="6" t="s">
        <v>1415</v>
      </c>
      <c r="D57" s="6" t="s">
        <v>320</v>
      </c>
    </row>
    <row r="58" customFormat="false" ht="15" hidden="false" customHeight="false" outlineLevel="0" collapsed="false">
      <c r="A58" s="6" t="s">
        <v>188</v>
      </c>
      <c r="B58" s="6" t="s">
        <v>104</v>
      </c>
      <c r="C58" s="6" t="s">
        <v>1415</v>
      </c>
      <c r="D58" s="6" t="s">
        <v>1459</v>
      </c>
    </row>
    <row r="59" customFormat="false" ht="23.85" hidden="false" customHeight="false" outlineLevel="0" collapsed="false">
      <c r="A59" s="6" t="s">
        <v>188</v>
      </c>
      <c r="B59" s="6" t="s">
        <v>104</v>
      </c>
      <c r="C59" s="6" t="s">
        <v>1415</v>
      </c>
      <c r="D59" s="6" t="s">
        <v>1460</v>
      </c>
    </row>
    <row r="60" customFormat="false" ht="23.85" hidden="false" customHeight="false" outlineLevel="0" collapsed="false">
      <c r="A60" s="6" t="s">
        <v>188</v>
      </c>
      <c r="B60" s="6" t="s">
        <v>104</v>
      </c>
      <c r="C60" s="6" t="s">
        <v>1415</v>
      </c>
      <c r="D60" s="6" t="s">
        <v>195</v>
      </c>
    </row>
    <row r="61" customFormat="false" ht="79.85" hidden="false" customHeight="false" outlineLevel="0" collapsed="false">
      <c r="A61" s="6" t="s">
        <v>188</v>
      </c>
      <c r="B61" s="6" t="s">
        <v>104</v>
      </c>
      <c r="C61" s="6" t="s">
        <v>1461</v>
      </c>
      <c r="D61" s="6" t="s">
        <v>1462</v>
      </c>
    </row>
    <row r="62" customFormat="false" ht="35.05" hidden="false" customHeight="false" outlineLevel="0" collapsed="false">
      <c r="A62" s="6" t="s">
        <v>188</v>
      </c>
      <c r="B62" s="6" t="s">
        <v>104</v>
      </c>
      <c r="C62" s="6" t="s">
        <v>1463</v>
      </c>
      <c r="D62" s="6" t="s">
        <v>1464</v>
      </c>
    </row>
    <row r="63" customFormat="false" ht="15" hidden="false" customHeight="false" outlineLevel="0" collapsed="false">
      <c r="A63" s="6" t="s">
        <v>1045</v>
      </c>
      <c r="B63" s="6" t="s">
        <v>378</v>
      </c>
      <c r="C63" s="6" t="s">
        <v>1415</v>
      </c>
      <c r="D63" s="6" t="s">
        <v>1465</v>
      </c>
    </row>
    <row r="64" customFormat="false" ht="35.05" hidden="false" customHeight="false" outlineLevel="0" collapsed="false">
      <c r="A64" s="6" t="s">
        <v>1045</v>
      </c>
      <c r="B64" s="6" t="s">
        <v>378</v>
      </c>
      <c r="C64" s="6" t="s">
        <v>1415</v>
      </c>
      <c r="D64" s="6" t="s">
        <v>1051</v>
      </c>
    </row>
    <row r="65" customFormat="false" ht="35.05" hidden="false" customHeight="false" outlineLevel="0" collapsed="false">
      <c r="A65" s="6" t="s">
        <v>999</v>
      </c>
      <c r="B65" s="6" t="s">
        <v>95</v>
      </c>
      <c r="C65" s="6" t="s">
        <v>1415</v>
      </c>
      <c r="D65" s="6" t="s">
        <v>1466</v>
      </c>
    </row>
    <row r="66" customFormat="false" ht="35.05" hidden="false" customHeight="false" outlineLevel="0" collapsed="false">
      <c r="A66" s="6" t="s">
        <v>999</v>
      </c>
      <c r="B66" s="6" t="s">
        <v>95</v>
      </c>
      <c r="C66" s="6" t="s">
        <v>1415</v>
      </c>
      <c r="D66" s="6" t="s">
        <v>683</v>
      </c>
    </row>
    <row r="67" customFormat="false" ht="15" hidden="false" customHeight="false" outlineLevel="0" collapsed="false">
      <c r="A67" s="6" t="s">
        <v>999</v>
      </c>
      <c r="B67" s="6" t="s">
        <v>104</v>
      </c>
      <c r="C67" s="6" t="s">
        <v>1415</v>
      </c>
      <c r="D67" s="6" t="s">
        <v>1442</v>
      </c>
    </row>
    <row r="68" customFormat="false" ht="15" hidden="false" customHeight="false" outlineLevel="0" collapsed="false">
      <c r="A68" s="6" t="s">
        <v>999</v>
      </c>
      <c r="B68" s="6" t="s">
        <v>104</v>
      </c>
      <c r="C68" s="6" t="s">
        <v>1415</v>
      </c>
      <c r="D68" s="6" t="s">
        <v>1467</v>
      </c>
    </row>
    <row r="69" customFormat="false" ht="35.05" hidden="false" customHeight="false" outlineLevel="0" collapsed="false">
      <c r="A69" s="6" t="s">
        <v>999</v>
      </c>
      <c r="B69" s="6" t="s">
        <v>104</v>
      </c>
      <c r="C69" s="6" t="s">
        <v>1415</v>
      </c>
      <c r="D69" s="6" t="s">
        <v>233</v>
      </c>
    </row>
    <row r="70" customFormat="false" ht="135.8" hidden="false" customHeight="false" outlineLevel="0" collapsed="false">
      <c r="A70" s="6" t="s">
        <v>999</v>
      </c>
      <c r="B70" s="6" t="s">
        <v>104</v>
      </c>
      <c r="C70" s="6" t="s">
        <v>1468</v>
      </c>
      <c r="D70" s="6" t="s">
        <v>1469</v>
      </c>
    </row>
    <row r="71" customFormat="false" ht="46.25" hidden="false" customHeight="false" outlineLevel="0" collapsed="false">
      <c r="A71" s="6" t="s">
        <v>283</v>
      </c>
      <c r="B71" s="6" t="s">
        <v>114</v>
      </c>
      <c r="C71" s="6" t="s">
        <v>1415</v>
      </c>
      <c r="D71" s="6" t="s">
        <v>1470</v>
      </c>
    </row>
    <row r="72" customFormat="false" ht="46.25" hidden="false" customHeight="false" outlineLevel="0" collapsed="false">
      <c r="A72" s="6" t="s">
        <v>283</v>
      </c>
      <c r="B72" s="6" t="s">
        <v>114</v>
      </c>
      <c r="C72" s="6" t="s">
        <v>1415</v>
      </c>
      <c r="D72" s="6" t="s">
        <v>1471</v>
      </c>
    </row>
    <row r="73" customFormat="false" ht="35.05" hidden="false" customHeight="false" outlineLevel="0" collapsed="false">
      <c r="A73" s="6" t="s">
        <v>283</v>
      </c>
      <c r="B73" s="6" t="s">
        <v>264</v>
      </c>
      <c r="C73" s="6" t="s">
        <v>1415</v>
      </c>
      <c r="D73" s="6" t="s">
        <v>1472</v>
      </c>
    </row>
    <row r="74" customFormat="false" ht="23.85" hidden="false" customHeight="false" outlineLevel="0" collapsed="false">
      <c r="A74" s="6" t="s">
        <v>283</v>
      </c>
      <c r="B74" s="6" t="s">
        <v>264</v>
      </c>
      <c r="C74" s="6" t="s">
        <v>1415</v>
      </c>
      <c r="D74" s="6" t="s">
        <v>289</v>
      </c>
    </row>
    <row r="75" customFormat="false" ht="15" hidden="false" customHeight="false" outlineLevel="0" collapsed="false">
      <c r="A75" s="6" t="s">
        <v>196</v>
      </c>
      <c r="B75" s="6" t="s">
        <v>69</v>
      </c>
      <c r="C75" s="6" t="s">
        <v>1415</v>
      </c>
      <c r="D75" s="6" t="s">
        <v>1473</v>
      </c>
    </row>
    <row r="76" customFormat="false" ht="23.85" hidden="false" customHeight="false" outlineLevel="0" collapsed="false">
      <c r="A76" s="6" t="s">
        <v>196</v>
      </c>
      <c r="B76" s="6" t="s">
        <v>156</v>
      </c>
      <c r="C76" s="6" t="s">
        <v>1415</v>
      </c>
      <c r="D76" s="6" t="s">
        <v>1474</v>
      </c>
    </row>
    <row r="77" customFormat="false" ht="46.25" hidden="false" customHeight="false" outlineLevel="0" collapsed="false">
      <c r="A77" s="6" t="s">
        <v>196</v>
      </c>
      <c r="B77" s="6" t="s">
        <v>156</v>
      </c>
      <c r="C77" s="6" t="s">
        <v>1415</v>
      </c>
      <c r="D77" s="6" t="s">
        <v>1475</v>
      </c>
    </row>
    <row r="78" customFormat="false" ht="35.05" hidden="false" customHeight="false" outlineLevel="0" collapsed="false">
      <c r="A78" s="6" t="s">
        <v>196</v>
      </c>
      <c r="B78" s="6" t="s">
        <v>156</v>
      </c>
      <c r="C78" s="6" t="s">
        <v>1415</v>
      </c>
      <c r="D78" s="6" t="s">
        <v>1418</v>
      </c>
    </row>
    <row r="79" customFormat="false" ht="15" hidden="false" customHeight="false" outlineLevel="0" collapsed="false">
      <c r="A79" s="6" t="s">
        <v>196</v>
      </c>
      <c r="B79" s="6" t="s">
        <v>156</v>
      </c>
      <c r="C79" s="6" t="s">
        <v>1415</v>
      </c>
      <c r="D79" s="6" t="s">
        <v>1419</v>
      </c>
    </row>
    <row r="80" customFormat="false" ht="15" hidden="false" customHeight="false" outlineLevel="0" collapsed="false">
      <c r="A80" s="6" t="s">
        <v>196</v>
      </c>
      <c r="B80" s="6" t="s">
        <v>131</v>
      </c>
      <c r="C80" s="6" t="s">
        <v>1415</v>
      </c>
      <c r="D80" s="6" t="s">
        <v>1420</v>
      </c>
    </row>
    <row r="81" customFormat="false" ht="23.85" hidden="false" customHeight="false" outlineLevel="0" collapsed="false">
      <c r="A81" s="6" t="s">
        <v>196</v>
      </c>
      <c r="B81" s="6" t="s">
        <v>378</v>
      </c>
      <c r="C81" s="6" t="s">
        <v>1415</v>
      </c>
      <c r="D81" s="6" t="s">
        <v>1421</v>
      </c>
    </row>
    <row r="82" customFormat="false" ht="23.85" hidden="false" customHeight="false" outlineLevel="0" collapsed="false">
      <c r="A82" s="6" t="s">
        <v>196</v>
      </c>
      <c r="B82" s="6" t="s">
        <v>378</v>
      </c>
      <c r="C82" s="6" t="s">
        <v>1415</v>
      </c>
      <c r="D82" s="6" t="s">
        <v>1422</v>
      </c>
    </row>
    <row r="83" customFormat="false" ht="15" hidden="false" customHeight="false" outlineLevel="0" collapsed="false">
      <c r="A83" s="6" t="s">
        <v>196</v>
      </c>
      <c r="B83" s="6" t="s">
        <v>378</v>
      </c>
      <c r="C83" s="6" t="s">
        <v>1415</v>
      </c>
      <c r="D83" s="6" t="s">
        <v>1423</v>
      </c>
    </row>
    <row r="84" customFormat="false" ht="35.05" hidden="false" customHeight="false" outlineLevel="0" collapsed="false">
      <c r="A84" s="6" t="s">
        <v>196</v>
      </c>
      <c r="B84" s="6" t="s">
        <v>264</v>
      </c>
      <c r="C84" s="6" t="s">
        <v>1415</v>
      </c>
      <c r="D84" s="6" t="s">
        <v>1452</v>
      </c>
    </row>
    <row r="85" customFormat="false" ht="46.25" hidden="false" customHeight="false" outlineLevel="0" collapsed="false">
      <c r="A85" s="6" t="s">
        <v>196</v>
      </c>
      <c r="B85" s="6" t="s">
        <v>264</v>
      </c>
      <c r="C85" s="6" t="s">
        <v>1415</v>
      </c>
      <c r="D85" s="6" t="s">
        <v>446</v>
      </c>
    </row>
    <row r="86" customFormat="false" ht="23.85" hidden="false" customHeight="false" outlineLevel="0" collapsed="false">
      <c r="A86" s="6" t="s">
        <v>196</v>
      </c>
      <c r="B86" s="6" t="s">
        <v>224</v>
      </c>
      <c r="C86" s="6" t="s">
        <v>1415</v>
      </c>
      <c r="D86" s="6" t="s">
        <v>1476</v>
      </c>
    </row>
    <row r="87" customFormat="false" ht="15" hidden="false" customHeight="false" outlineLevel="0" collapsed="false">
      <c r="A87" s="6" t="s">
        <v>196</v>
      </c>
      <c r="B87" s="6" t="s">
        <v>224</v>
      </c>
      <c r="C87" s="6" t="s">
        <v>1415</v>
      </c>
      <c r="D87" s="6" t="s">
        <v>1424</v>
      </c>
    </row>
    <row r="88" customFormat="false" ht="23.85" hidden="false" customHeight="false" outlineLevel="0" collapsed="false">
      <c r="A88" s="6" t="s">
        <v>196</v>
      </c>
      <c r="B88" s="6" t="s">
        <v>138</v>
      </c>
      <c r="C88" s="6" t="s">
        <v>1415</v>
      </c>
      <c r="D88" s="6" t="s">
        <v>1425</v>
      </c>
    </row>
    <row r="89" customFormat="false" ht="46.25" hidden="false" customHeight="false" outlineLevel="0" collapsed="false">
      <c r="A89" s="6" t="s">
        <v>196</v>
      </c>
      <c r="B89" s="6" t="s">
        <v>70</v>
      </c>
      <c r="C89" s="6" t="s">
        <v>1415</v>
      </c>
      <c r="D89" s="6" t="s">
        <v>407</v>
      </c>
    </row>
    <row r="90" customFormat="false" ht="35.05" hidden="false" customHeight="false" outlineLevel="0" collapsed="false">
      <c r="A90" s="6" t="s">
        <v>196</v>
      </c>
      <c r="B90" s="6" t="s">
        <v>104</v>
      </c>
      <c r="C90" s="6" t="s">
        <v>1415</v>
      </c>
      <c r="D90" s="6" t="s">
        <v>202</v>
      </c>
    </row>
    <row r="91" customFormat="false" ht="35.05" hidden="false" customHeight="false" outlineLevel="0" collapsed="false">
      <c r="A91" s="6" t="s">
        <v>106</v>
      </c>
      <c r="B91" s="6" t="s">
        <v>114</v>
      </c>
      <c r="C91" s="6" t="s">
        <v>1415</v>
      </c>
      <c r="D91" s="6" t="s">
        <v>1477</v>
      </c>
    </row>
    <row r="92" customFormat="false" ht="23.85" hidden="false" customHeight="false" outlineLevel="0" collapsed="false">
      <c r="A92" s="6" t="s">
        <v>106</v>
      </c>
      <c r="B92" s="6" t="s">
        <v>114</v>
      </c>
      <c r="C92" s="6" t="s">
        <v>1415</v>
      </c>
      <c r="D92" s="6" t="s">
        <v>1478</v>
      </c>
    </row>
    <row r="93" customFormat="false" ht="23.85" hidden="false" customHeight="false" outlineLevel="0" collapsed="false">
      <c r="A93" s="6" t="s">
        <v>106</v>
      </c>
      <c r="B93" s="6" t="s">
        <v>114</v>
      </c>
      <c r="C93" s="6" t="s">
        <v>1415</v>
      </c>
      <c r="D93" s="6" t="s">
        <v>1479</v>
      </c>
    </row>
    <row r="94" customFormat="false" ht="35.05" hidden="false" customHeight="false" outlineLevel="0" collapsed="false">
      <c r="A94" s="6" t="s">
        <v>106</v>
      </c>
      <c r="B94" s="6" t="s">
        <v>224</v>
      </c>
      <c r="C94" s="6" t="s">
        <v>1415</v>
      </c>
      <c r="D94" s="6" t="s">
        <v>1480</v>
      </c>
    </row>
    <row r="95" customFormat="false" ht="23.85" hidden="false" customHeight="false" outlineLevel="0" collapsed="false">
      <c r="A95" s="6" t="s">
        <v>106</v>
      </c>
      <c r="B95" s="6" t="s">
        <v>138</v>
      </c>
      <c r="C95" s="6" t="s">
        <v>1415</v>
      </c>
      <c r="D95" s="6" t="s">
        <v>1440</v>
      </c>
    </row>
    <row r="96" customFormat="false" ht="35.05" hidden="false" customHeight="false" outlineLevel="0" collapsed="false">
      <c r="A96" s="6" t="s">
        <v>106</v>
      </c>
      <c r="B96" s="6" t="s">
        <v>138</v>
      </c>
      <c r="C96" s="6" t="s">
        <v>1415</v>
      </c>
      <c r="D96" s="6" t="s">
        <v>371</v>
      </c>
    </row>
    <row r="97" customFormat="false" ht="23.85" hidden="false" customHeight="false" outlineLevel="0" collapsed="false">
      <c r="A97" s="6" t="s">
        <v>106</v>
      </c>
      <c r="B97" s="6" t="s">
        <v>138</v>
      </c>
      <c r="C97" s="6" t="s">
        <v>1415</v>
      </c>
      <c r="D97" s="6" t="s">
        <v>1481</v>
      </c>
    </row>
    <row r="98" customFormat="false" ht="46.25" hidden="false" customHeight="false" outlineLevel="0" collapsed="false">
      <c r="A98" s="6" t="s">
        <v>106</v>
      </c>
      <c r="B98" s="6" t="s">
        <v>70</v>
      </c>
      <c r="C98" s="6" t="s">
        <v>1415</v>
      </c>
      <c r="D98" s="6" t="s">
        <v>1482</v>
      </c>
    </row>
    <row r="99" customFormat="false" ht="46.25" hidden="false" customHeight="false" outlineLevel="0" collapsed="false">
      <c r="A99" s="6" t="s">
        <v>106</v>
      </c>
      <c r="B99" s="6" t="s">
        <v>70</v>
      </c>
      <c r="C99" s="6" t="s">
        <v>1415</v>
      </c>
      <c r="D99" s="6" t="s">
        <v>1483</v>
      </c>
    </row>
    <row r="100" customFormat="false" ht="23.85" hidden="false" customHeight="false" outlineLevel="0" collapsed="false">
      <c r="A100" s="6" t="s">
        <v>106</v>
      </c>
      <c r="B100" s="6" t="s">
        <v>95</v>
      </c>
      <c r="C100" s="6" t="s">
        <v>1415</v>
      </c>
      <c r="D100" s="6" t="s">
        <v>123</v>
      </c>
    </row>
    <row r="101" customFormat="false" ht="23.85" hidden="false" customHeight="false" outlineLevel="0" collapsed="false">
      <c r="A101" s="6" t="s">
        <v>106</v>
      </c>
      <c r="B101" s="6" t="s">
        <v>95</v>
      </c>
      <c r="C101" s="6" t="s">
        <v>1415</v>
      </c>
      <c r="D101" s="6" t="s">
        <v>1484</v>
      </c>
    </row>
    <row r="102" customFormat="false" ht="15" hidden="false" customHeight="false" outlineLevel="0" collapsed="false">
      <c r="A102" s="6" t="s">
        <v>106</v>
      </c>
      <c r="B102" s="6" t="s">
        <v>104</v>
      </c>
      <c r="C102" s="6" t="s">
        <v>1415</v>
      </c>
      <c r="D102" s="6" t="s">
        <v>1485</v>
      </c>
    </row>
    <row r="103" customFormat="false" ht="79.85" hidden="false" customHeight="false" outlineLevel="0" collapsed="false">
      <c r="A103" s="6" t="s">
        <v>106</v>
      </c>
      <c r="B103" s="6" t="s">
        <v>104</v>
      </c>
      <c r="C103" s="6" t="s">
        <v>1415</v>
      </c>
      <c r="D103" s="6" t="s">
        <v>115</v>
      </c>
    </row>
    <row r="104" customFormat="false" ht="46.25" hidden="false" customHeight="false" outlineLevel="0" collapsed="false">
      <c r="A104" s="6" t="s">
        <v>203</v>
      </c>
      <c r="B104" s="6" t="s">
        <v>114</v>
      </c>
      <c r="C104" s="6" t="s">
        <v>1415</v>
      </c>
      <c r="D104" s="6" t="s">
        <v>1486</v>
      </c>
    </row>
    <row r="105" customFormat="false" ht="23.85" hidden="false" customHeight="false" outlineLevel="0" collapsed="false">
      <c r="A105" s="6" t="s">
        <v>203</v>
      </c>
      <c r="B105" s="6" t="s">
        <v>264</v>
      </c>
      <c r="C105" s="6" t="s">
        <v>1415</v>
      </c>
      <c r="D105" s="6" t="s">
        <v>1487</v>
      </c>
    </row>
    <row r="106" customFormat="false" ht="23.85" hidden="false" customHeight="false" outlineLevel="0" collapsed="false">
      <c r="A106" s="6" t="s">
        <v>203</v>
      </c>
      <c r="B106" s="6" t="s">
        <v>264</v>
      </c>
      <c r="C106" s="6" t="s">
        <v>1415</v>
      </c>
      <c r="D106" s="6" t="s">
        <v>209</v>
      </c>
    </row>
    <row r="107" customFormat="false" ht="23.85" hidden="false" customHeight="false" outlineLevel="0" collapsed="false">
      <c r="A107" s="6" t="s">
        <v>203</v>
      </c>
      <c r="B107" s="6" t="s">
        <v>138</v>
      </c>
      <c r="C107" s="6" t="s">
        <v>1488</v>
      </c>
      <c r="D107" s="6" t="s">
        <v>1489</v>
      </c>
    </row>
    <row r="108" customFormat="false" ht="15" hidden="false" customHeight="false" outlineLevel="0" collapsed="false">
      <c r="A108" s="6" t="s">
        <v>365</v>
      </c>
      <c r="B108" s="6" t="s">
        <v>224</v>
      </c>
      <c r="C108" s="6" t="s">
        <v>1415</v>
      </c>
      <c r="D108" s="6" t="s">
        <v>1454</v>
      </c>
    </row>
    <row r="109" customFormat="false" ht="23.85" hidden="false" customHeight="false" outlineLevel="0" collapsed="false">
      <c r="A109" s="6" t="s">
        <v>365</v>
      </c>
      <c r="B109" s="6" t="s">
        <v>224</v>
      </c>
      <c r="C109" s="6" t="s">
        <v>1415</v>
      </c>
      <c r="D109" s="6" t="s">
        <v>1490</v>
      </c>
    </row>
    <row r="110" customFormat="false" ht="23.85" hidden="false" customHeight="false" outlineLevel="0" collapsed="false">
      <c r="A110" s="6" t="s">
        <v>365</v>
      </c>
      <c r="B110" s="6" t="s">
        <v>138</v>
      </c>
      <c r="C110" s="6" t="s">
        <v>1415</v>
      </c>
      <c r="D110" s="6" t="s">
        <v>1491</v>
      </c>
    </row>
    <row r="111" customFormat="false" ht="35.05" hidden="false" customHeight="false" outlineLevel="0" collapsed="false">
      <c r="A111" s="6" t="s">
        <v>365</v>
      </c>
      <c r="B111" s="6" t="s">
        <v>138</v>
      </c>
      <c r="C111" s="6" t="s">
        <v>1415</v>
      </c>
      <c r="D111" s="6" t="s">
        <v>371</v>
      </c>
    </row>
    <row r="112" customFormat="false" ht="23.85" hidden="false" customHeight="false" outlineLevel="0" collapsed="false">
      <c r="A112" s="6" t="s">
        <v>365</v>
      </c>
      <c r="B112" s="6" t="s">
        <v>138</v>
      </c>
      <c r="C112" s="6" t="s">
        <v>1457</v>
      </c>
      <c r="D112" s="6" t="s">
        <v>1458</v>
      </c>
    </row>
    <row r="113" customFormat="false" ht="23.85" hidden="false" customHeight="false" outlineLevel="0" collapsed="false">
      <c r="A113" s="6" t="s">
        <v>72</v>
      </c>
      <c r="B113" s="6" t="s">
        <v>69</v>
      </c>
      <c r="C113" s="6" t="s">
        <v>1415</v>
      </c>
      <c r="D113" s="6" t="s">
        <v>1429</v>
      </c>
    </row>
    <row r="114" customFormat="false" ht="15" hidden="false" customHeight="false" outlineLevel="0" collapsed="false">
      <c r="A114" s="6" t="s">
        <v>72</v>
      </c>
      <c r="B114" s="6" t="s">
        <v>69</v>
      </c>
      <c r="C114" s="6" t="s">
        <v>1415</v>
      </c>
      <c r="D114" s="6" t="s">
        <v>1492</v>
      </c>
    </row>
    <row r="115" customFormat="false" ht="15" hidden="false" customHeight="false" outlineLevel="0" collapsed="false">
      <c r="A115" s="6" t="s">
        <v>72</v>
      </c>
      <c r="B115" s="6" t="s">
        <v>156</v>
      </c>
      <c r="C115" s="6" t="s">
        <v>1415</v>
      </c>
      <c r="D115" s="6" t="s">
        <v>1493</v>
      </c>
    </row>
    <row r="116" customFormat="false" ht="57.45" hidden="false" customHeight="false" outlineLevel="0" collapsed="false">
      <c r="A116" s="6" t="s">
        <v>72</v>
      </c>
      <c r="B116" s="6" t="s">
        <v>156</v>
      </c>
      <c r="C116" s="6" t="s">
        <v>1415</v>
      </c>
      <c r="D116" s="6" t="s">
        <v>1494</v>
      </c>
    </row>
    <row r="117" customFormat="false" ht="35.05" hidden="false" customHeight="false" outlineLevel="0" collapsed="false">
      <c r="A117" s="6" t="s">
        <v>72</v>
      </c>
      <c r="B117" s="6" t="s">
        <v>156</v>
      </c>
      <c r="C117" s="6" t="s">
        <v>1415</v>
      </c>
      <c r="D117" s="6" t="s">
        <v>1495</v>
      </c>
    </row>
    <row r="118" customFormat="false" ht="91" hidden="false" customHeight="false" outlineLevel="0" collapsed="false">
      <c r="A118" s="6" t="s">
        <v>72</v>
      </c>
      <c r="B118" s="6" t="s">
        <v>156</v>
      </c>
      <c r="C118" s="6" t="s">
        <v>1415</v>
      </c>
      <c r="D118" s="6" t="s">
        <v>1496</v>
      </c>
    </row>
    <row r="119" customFormat="false" ht="57.45" hidden="false" customHeight="false" outlineLevel="0" collapsed="false">
      <c r="A119" s="6" t="s">
        <v>72</v>
      </c>
      <c r="B119" s="6" t="s">
        <v>156</v>
      </c>
      <c r="C119" s="6" t="s">
        <v>1415</v>
      </c>
      <c r="D119" s="6" t="s">
        <v>1497</v>
      </c>
    </row>
    <row r="120" customFormat="false" ht="35.05" hidden="false" customHeight="false" outlineLevel="0" collapsed="false">
      <c r="A120" s="6" t="s">
        <v>72</v>
      </c>
      <c r="B120" s="6" t="s">
        <v>131</v>
      </c>
      <c r="C120" s="6" t="s">
        <v>1415</v>
      </c>
      <c r="D120" s="6" t="s">
        <v>1498</v>
      </c>
    </row>
    <row r="121" customFormat="false" ht="46.25" hidden="false" customHeight="false" outlineLevel="0" collapsed="false">
      <c r="A121" s="6" t="s">
        <v>72</v>
      </c>
      <c r="B121" s="6" t="s">
        <v>131</v>
      </c>
      <c r="C121" s="6" t="s">
        <v>1415</v>
      </c>
      <c r="D121" s="6" t="s">
        <v>1499</v>
      </c>
    </row>
    <row r="122" customFormat="false" ht="23.85" hidden="false" customHeight="false" outlineLevel="0" collapsed="false">
      <c r="A122" s="6" t="s">
        <v>72</v>
      </c>
      <c r="B122" s="6" t="s">
        <v>131</v>
      </c>
      <c r="C122" s="6" t="s">
        <v>1415</v>
      </c>
      <c r="D122" s="6" t="s">
        <v>1500</v>
      </c>
    </row>
    <row r="123" customFormat="false" ht="35.05" hidden="false" customHeight="false" outlineLevel="0" collapsed="false">
      <c r="A123" s="6" t="s">
        <v>72</v>
      </c>
      <c r="B123" s="6" t="s">
        <v>224</v>
      </c>
      <c r="C123" s="6" t="s">
        <v>1415</v>
      </c>
      <c r="D123" s="6" t="s">
        <v>225</v>
      </c>
    </row>
    <row r="124" customFormat="false" ht="35.05" hidden="false" customHeight="false" outlineLevel="0" collapsed="false">
      <c r="A124" s="6" t="s">
        <v>72</v>
      </c>
      <c r="B124" s="6" t="s">
        <v>224</v>
      </c>
      <c r="C124" s="6" t="s">
        <v>1415</v>
      </c>
      <c r="D124" s="6" t="s">
        <v>1501</v>
      </c>
    </row>
    <row r="125" customFormat="false" ht="35.05" hidden="false" customHeight="false" outlineLevel="0" collapsed="false">
      <c r="A125" s="6" t="s">
        <v>72</v>
      </c>
      <c r="B125" s="6" t="s">
        <v>224</v>
      </c>
      <c r="C125" s="6" t="s">
        <v>1415</v>
      </c>
      <c r="D125" s="6" t="s">
        <v>1502</v>
      </c>
    </row>
    <row r="126" customFormat="false" ht="23.85" hidden="false" customHeight="false" outlineLevel="0" collapsed="false">
      <c r="A126" s="6" t="s">
        <v>72</v>
      </c>
      <c r="B126" s="6" t="s">
        <v>224</v>
      </c>
      <c r="C126" s="6" t="s">
        <v>1415</v>
      </c>
      <c r="D126" s="6" t="s">
        <v>976</v>
      </c>
    </row>
    <row r="127" customFormat="false" ht="23.85" hidden="false" customHeight="false" outlineLevel="0" collapsed="false">
      <c r="A127" s="6" t="s">
        <v>72</v>
      </c>
      <c r="B127" s="6" t="s">
        <v>224</v>
      </c>
      <c r="C127" s="6" t="s">
        <v>1438</v>
      </c>
      <c r="D127" s="6" t="s">
        <v>1439</v>
      </c>
    </row>
    <row r="128" customFormat="false" ht="35.05" hidden="false" customHeight="false" outlineLevel="0" collapsed="false">
      <c r="A128" s="6" t="s">
        <v>72</v>
      </c>
      <c r="B128" s="6" t="s">
        <v>138</v>
      </c>
      <c r="C128" s="6" t="s">
        <v>1415</v>
      </c>
      <c r="D128" s="6" t="s">
        <v>1503</v>
      </c>
    </row>
    <row r="129" customFormat="false" ht="15" hidden="false" customHeight="false" outlineLevel="0" collapsed="false">
      <c r="A129" s="6" t="s">
        <v>72</v>
      </c>
      <c r="B129" s="6" t="s">
        <v>138</v>
      </c>
      <c r="C129" s="6" t="s">
        <v>1415</v>
      </c>
      <c r="D129" s="6" t="s">
        <v>1504</v>
      </c>
    </row>
    <row r="130" customFormat="false" ht="15" hidden="false" customHeight="false" outlineLevel="0" collapsed="false">
      <c r="A130" s="6" t="s">
        <v>72</v>
      </c>
      <c r="B130" s="6" t="s">
        <v>138</v>
      </c>
      <c r="C130" s="6" t="s">
        <v>1415</v>
      </c>
      <c r="D130" s="6" t="s">
        <v>1505</v>
      </c>
    </row>
    <row r="131" customFormat="false" ht="23.85" hidden="false" customHeight="false" outlineLevel="0" collapsed="false">
      <c r="A131" s="6" t="s">
        <v>72</v>
      </c>
      <c r="B131" s="6" t="s">
        <v>138</v>
      </c>
      <c r="C131" s="6" t="s">
        <v>1415</v>
      </c>
      <c r="D131" s="6" t="s">
        <v>1440</v>
      </c>
    </row>
    <row r="132" customFormat="false" ht="35.05" hidden="false" customHeight="false" outlineLevel="0" collapsed="false">
      <c r="A132" s="6" t="s">
        <v>72</v>
      </c>
      <c r="B132" s="6" t="s">
        <v>138</v>
      </c>
      <c r="C132" s="6" t="s">
        <v>1415</v>
      </c>
      <c r="D132" s="6" t="s">
        <v>1506</v>
      </c>
    </row>
    <row r="133" customFormat="false" ht="46.25" hidden="false" customHeight="false" outlineLevel="0" collapsed="false">
      <c r="A133" s="6" t="s">
        <v>72</v>
      </c>
      <c r="B133" s="6" t="s">
        <v>138</v>
      </c>
      <c r="C133" s="6" t="s">
        <v>1415</v>
      </c>
      <c r="D133" s="6" t="s">
        <v>1507</v>
      </c>
    </row>
    <row r="134" customFormat="false" ht="15" hidden="false" customHeight="false" outlineLevel="0" collapsed="false">
      <c r="A134" s="6" t="s">
        <v>72</v>
      </c>
      <c r="B134" s="6" t="s">
        <v>138</v>
      </c>
      <c r="C134" s="6" t="s">
        <v>1415</v>
      </c>
      <c r="D134" s="6" t="s">
        <v>1508</v>
      </c>
    </row>
    <row r="135" customFormat="false" ht="23.85" hidden="false" customHeight="false" outlineLevel="0" collapsed="false">
      <c r="A135" s="6" t="s">
        <v>72</v>
      </c>
      <c r="B135" s="6" t="s">
        <v>70</v>
      </c>
      <c r="C135" s="6" t="s">
        <v>1415</v>
      </c>
      <c r="D135" s="6" t="s">
        <v>79</v>
      </c>
    </row>
    <row r="136" customFormat="false" ht="15" hidden="false" customHeight="false" outlineLevel="0" collapsed="false">
      <c r="A136" s="6" t="s">
        <v>72</v>
      </c>
      <c r="B136" s="6" t="s">
        <v>70</v>
      </c>
      <c r="C136" s="6" t="s">
        <v>1415</v>
      </c>
      <c r="D136" s="6" t="s">
        <v>1509</v>
      </c>
    </row>
    <row r="137" customFormat="false" ht="46.25" hidden="false" customHeight="false" outlineLevel="0" collapsed="false">
      <c r="A137" s="6" t="s">
        <v>290</v>
      </c>
      <c r="B137" s="6" t="s">
        <v>296</v>
      </c>
      <c r="C137" s="6" t="s">
        <v>1415</v>
      </c>
      <c r="D137" s="6" t="s">
        <v>1510</v>
      </c>
    </row>
    <row r="138" customFormat="false" ht="23.85" hidden="false" customHeight="false" outlineLevel="0" collapsed="false">
      <c r="A138" s="6" t="s">
        <v>290</v>
      </c>
      <c r="B138" s="6" t="s">
        <v>296</v>
      </c>
      <c r="C138" s="6" t="s">
        <v>1415</v>
      </c>
      <c r="D138" s="6" t="s">
        <v>1511</v>
      </c>
    </row>
    <row r="139" customFormat="false" ht="35.05" hidden="false" customHeight="false" outlineLevel="0" collapsed="false">
      <c r="A139" s="6" t="s">
        <v>290</v>
      </c>
      <c r="B139" s="6" t="s">
        <v>296</v>
      </c>
      <c r="C139" s="6" t="s">
        <v>1415</v>
      </c>
      <c r="D139" s="6" t="s">
        <v>1512</v>
      </c>
    </row>
    <row r="140" customFormat="false" ht="23.85" hidden="false" customHeight="false" outlineLevel="0" collapsed="false">
      <c r="A140" s="6" t="s">
        <v>290</v>
      </c>
      <c r="B140" s="6" t="s">
        <v>264</v>
      </c>
      <c r="C140" s="6" t="s">
        <v>1415</v>
      </c>
      <c r="D140" s="6" t="s">
        <v>1044</v>
      </c>
    </row>
    <row r="141" customFormat="false" ht="35.05" hidden="false" customHeight="false" outlineLevel="0" collapsed="false">
      <c r="A141" s="6" t="s">
        <v>290</v>
      </c>
      <c r="B141" s="6" t="s">
        <v>264</v>
      </c>
      <c r="C141" s="6" t="s">
        <v>1415</v>
      </c>
      <c r="D141" s="6" t="s">
        <v>1472</v>
      </c>
    </row>
    <row r="142" customFormat="false" ht="23.85" hidden="false" customHeight="false" outlineLevel="0" collapsed="false">
      <c r="A142" s="6" t="s">
        <v>290</v>
      </c>
      <c r="B142" s="6" t="s">
        <v>264</v>
      </c>
      <c r="C142" s="6" t="s">
        <v>1415</v>
      </c>
      <c r="D142" s="6" t="s">
        <v>289</v>
      </c>
    </row>
    <row r="143" customFormat="false" ht="35.05" hidden="false" customHeight="false" outlineLevel="0" collapsed="false">
      <c r="A143" s="6" t="s">
        <v>297</v>
      </c>
      <c r="B143" s="6" t="s">
        <v>156</v>
      </c>
      <c r="C143" s="6" t="s">
        <v>1415</v>
      </c>
      <c r="D143" s="6" t="s">
        <v>1495</v>
      </c>
    </row>
    <row r="144" customFormat="false" ht="15" hidden="false" customHeight="false" outlineLevel="0" collapsed="false">
      <c r="A144" s="6" t="s">
        <v>297</v>
      </c>
      <c r="B144" s="6" t="s">
        <v>264</v>
      </c>
      <c r="C144" s="6" t="s">
        <v>1415</v>
      </c>
      <c r="D144" s="6" t="s">
        <v>1513</v>
      </c>
    </row>
    <row r="145" customFormat="false" ht="23.85" hidden="false" customHeight="false" outlineLevel="0" collapsed="false">
      <c r="A145" s="6" t="s">
        <v>297</v>
      </c>
      <c r="B145" s="6" t="s">
        <v>264</v>
      </c>
      <c r="C145" s="6" t="s">
        <v>1415</v>
      </c>
      <c r="D145" s="6" t="s">
        <v>1514</v>
      </c>
    </row>
    <row r="146" customFormat="false" ht="23.85" hidden="false" customHeight="false" outlineLevel="0" collapsed="false">
      <c r="A146" s="6" t="s">
        <v>297</v>
      </c>
      <c r="B146" s="6" t="s">
        <v>264</v>
      </c>
      <c r="C146" s="6" t="s">
        <v>1415</v>
      </c>
      <c r="D146" s="6" t="s">
        <v>1044</v>
      </c>
    </row>
    <row r="147" customFormat="false" ht="35.05" hidden="false" customHeight="false" outlineLevel="0" collapsed="false">
      <c r="A147" s="6" t="s">
        <v>297</v>
      </c>
      <c r="B147" s="6" t="s">
        <v>264</v>
      </c>
      <c r="C147" s="6" t="s">
        <v>1415</v>
      </c>
      <c r="D147" s="6" t="s">
        <v>1515</v>
      </c>
    </row>
    <row r="148" customFormat="false" ht="35.05" hidden="false" customHeight="false" outlineLevel="0" collapsed="false">
      <c r="A148" s="6" t="s">
        <v>297</v>
      </c>
      <c r="B148" s="6" t="s">
        <v>264</v>
      </c>
      <c r="C148" s="6" t="s">
        <v>1415</v>
      </c>
      <c r="D148" s="6" t="s">
        <v>1472</v>
      </c>
    </row>
    <row r="149" customFormat="false" ht="23.85" hidden="false" customHeight="false" outlineLevel="0" collapsed="false">
      <c r="A149" s="6" t="s">
        <v>297</v>
      </c>
      <c r="B149" s="6" t="s">
        <v>264</v>
      </c>
      <c r="C149" s="6" t="s">
        <v>1415</v>
      </c>
      <c r="D149" s="6" t="s">
        <v>1516</v>
      </c>
    </row>
    <row r="150" customFormat="false" ht="23.85" hidden="false" customHeight="false" outlineLevel="0" collapsed="false">
      <c r="A150" s="6" t="s">
        <v>297</v>
      </c>
      <c r="B150" s="6" t="s">
        <v>264</v>
      </c>
      <c r="C150" s="6" t="s">
        <v>1415</v>
      </c>
      <c r="D150" s="6" t="s">
        <v>1517</v>
      </c>
    </row>
    <row r="151" customFormat="false" ht="23.85" hidden="false" customHeight="false" outlineLevel="0" collapsed="false">
      <c r="A151" s="6" t="s">
        <v>297</v>
      </c>
      <c r="B151" s="6" t="s">
        <v>264</v>
      </c>
      <c r="C151" s="6" t="s">
        <v>1415</v>
      </c>
      <c r="D151" s="6" t="s">
        <v>289</v>
      </c>
    </row>
    <row r="152" customFormat="false" ht="23.85" hidden="false" customHeight="false" outlineLevel="0" collapsed="false">
      <c r="A152" s="6" t="s">
        <v>297</v>
      </c>
      <c r="B152" s="6" t="s">
        <v>304</v>
      </c>
      <c r="C152" s="6" t="s">
        <v>1415</v>
      </c>
      <c r="D152" s="6" t="s">
        <v>305</v>
      </c>
    </row>
    <row r="153" customFormat="false" ht="35.05" hidden="false" customHeight="false" outlineLevel="0" collapsed="false">
      <c r="A153" s="6" t="s">
        <v>708</v>
      </c>
      <c r="B153" s="6" t="s">
        <v>156</v>
      </c>
      <c r="C153" s="6" t="s">
        <v>1415</v>
      </c>
      <c r="D153" s="6" t="s">
        <v>1418</v>
      </c>
    </row>
    <row r="154" customFormat="false" ht="15" hidden="false" customHeight="false" outlineLevel="0" collapsed="false">
      <c r="A154" s="6" t="s">
        <v>708</v>
      </c>
      <c r="B154" s="6" t="s">
        <v>156</v>
      </c>
      <c r="C154" s="6" t="s">
        <v>1415</v>
      </c>
      <c r="D154" s="6" t="s">
        <v>1419</v>
      </c>
    </row>
    <row r="155" customFormat="false" ht="15" hidden="false" customHeight="false" outlineLevel="0" collapsed="false">
      <c r="A155" s="6" t="s">
        <v>708</v>
      </c>
      <c r="B155" s="6" t="s">
        <v>131</v>
      </c>
      <c r="C155" s="6" t="s">
        <v>1415</v>
      </c>
      <c r="D155" s="6" t="s">
        <v>1420</v>
      </c>
    </row>
    <row r="156" customFormat="false" ht="23.85" hidden="false" customHeight="false" outlineLevel="0" collapsed="false">
      <c r="A156" s="6" t="s">
        <v>708</v>
      </c>
      <c r="B156" s="6" t="s">
        <v>378</v>
      </c>
      <c r="C156" s="6" t="s">
        <v>1415</v>
      </c>
      <c r="D156" s="6" t="s">
        <v>1422</v>
      </c>
    </row>
    <row r="157" customFormat="false" ht="15" hidden="false" customHeight="false" outlineLevel="0" collapsed="false">
      <c r="A157" s="6" t="s">
        <v>708</v>
      </c>
      <c r="B157" s="6" t="s">
        <v>378</v>
      </c>
      <c r="C157" s="6" t="s">
        <v>1415</v>
      </c>
      <c r="D157" s="6" t="s">
        <v>1518</v>
      </c>
    </row>
    <row r="158" customFormat="false" ht="15" hidden="false" customHeight="false" outlineLevel="0" collapsed="false">
      <c r="A158" s="6" t="s">
        <v>708</v>
      </c>
      <c r="B158" s="6" t="s">
        <v>378</v>
      </c>
      <c r="C158" s="6" t="s">
        <v>1415</v>
      </c>
      <c r="D158" s="6" t="s">
        <v>1423</v>
      </c>
    </row>
    <row r="159" customFormat="false" ht="57.45" hidden="false" customHeight="false" outlineLevel="0" collapsed="false">
      <c r="A159" s="6" t="s">
        <v>708</v>
      </c>
      <c r="B159" s="6" t="s">
        <v>378</v>
      </c>
      <c r="C159" s="6" t="s">
        <v>1415</v>
      </c>
      <c r="D159" s="6" t="s">
        <v>923</v>
      </c>
    </row>
    <row r="160" customFormat="false" ht="35.05" hidden="false" customHeight="false" outlineLevel="0" collapsed="false">
      <c r="A160" s="6" t="s">
        <v>708</v>
      </c>
      <c r="B160" s="6" t="s">
        <v>378</v>
      </c>
      <c r="C160" s="6" t="s">
        <v>1415</v>
      </c>
      <c r="D160" s="6" t="s">
        <v>1519</v>
      </c>
    </row>
    <row r="161" customFormat="false" ht="23.85" hidden="false" customHeight="false" outlineLevel="0" collapsed="false">
      <c r="A161" s="6" t="s">
        <v>708</v>
      </c>
      <c r="B161" s="6" t="s">
        <v>378</v>
      </c>
      <c r="C161" s="6" t="s">
        <v>1415</v>
      </c>
      <c r="D161" s="6" t="s">
        <v>1520</v>
      </c>
    </row>
    <row r="162" customFormat="false" ht="23.85" hidden="false" customHeight="false" outlineLevel="0" collapsed="false">
      <c r="A162" s="6" t="s">
        <v>708</v>
      </c>
      <c r="B162" s="6" t="s">
        <v>378</v>
      </c>
      <c r="C162" s="6" t="s">
        <v>1415</v>
      </c>
      <c r="D162" s="6" t="s">
        <v>1421</v>
      </c>
    </row>
    <row r="163" customFormat="false" ht="15" hidden="false" customHeight="false" outlineLevel="0" collapsed="false">
      <c r="A163" s="6" t="s">
        <v>708</v>
      </c>
      <c r="B163" s="6" t="s">
        <v>224</v>
      </c>
      <c r="C163" s="6" t="s">
        <v>1415</v>
      </c>
      <c r="D163" s="6" t="s">
        <v>1424</v>
      </c>
    </row>
    <row r="164" customFormat="false" ht="23.85" hidden="false" customHeight="false" outlineLevel="0" collapsed="false">
      <c r="A164" s="6" t="s">
        <v>708</v>
      </c>
      <c r="B164" s="6" t="s">
        <v>138</v>
      </c>
      <c r="C164" s="6" t="s">
        <v>1415</v>
      </c>
      <c r="D164" s="6" t="s">
        <v>1425</v>
      </c>
    </row>
    <row r="165" customFormat="false" ht="35.05" hidden="false" customHeight="false" outlineLevel="0" collapsed="false">
      <c r="A165" s="6" t="s">
        <v>708</v>
      </c>
      <c r="B165" s="6" t="s">
        <v>104</v>
      </c>
      <c r="C165" s="6" t="s">
        <v>1415</v>
      </c>
      <c r="D165" s="6" t="s">
        <v>202</v>
      </c>
    </row>
    <row r="166" customFormat="false" ht="236.55" hidden="false" customHeight="false" outlineLevel="0" collapsed="false">
      <c r="A166" s="6" t="s">
        <v>708</v>
      </c>
      <c r="B166" s="6" t="s">
        <v>68</v>
      </c>
      <c r="C166" s="6" t="s">
        <v>1521</v>
      </c>
      <c r="D166" s="6" t="s">
        <v>1522</v>
      </c>
    </row>
    <row r="167" customFormat="false" ht="15" hidden="false" customHeight="false" outlineLevel="0" collapsed="false">
      <c r="A167" s="6" t="s">
        <v>570</v>
      </c>
      <c r="B167" s="6" t="s">
        <v>138</v>
      </c>
      <c r="C167" s="6" t="s">
        <v>1415</v>
      </c>
      <c r="D167" s="6" t="s">
        <v>1523</v>
      </c>
    </row>
    <row r="168" customFormat="false" ht="15" hidden="false" customHeight="false" outlineLevel="0" collapsed="false">
      <c r="A168" s="6" t="s">
        <v>570</v>
      </c>
      <c r="B168" s="6" t="s">
        <v>138</v>
      </c>
      <c r="C168" s="6" t="s">
        <v>1415</v>
      </c>
      <c r="D168" s="6" t="s">
        <v>1524</v>
      </c>
    </row>
    <row r="169" customFormat="false" ht="15" hidden="false" customHeight="false" outlineLevel="0" collapsed="false">
      <c r="A169" s="6" t="s">
        <v>570</v>
      </c>
      <c r="B169" s="6" t="s">
        <v>70</v>
      </c>
      <c r="C169" s="6" t="s">
        <v>1415</v>
      </c>
      <c r="D169" s="6" t="s">
        <v>1525</v>
      </c>
    </row>
    <row r="170" customFormat="false" ht="23.85" hidden="false" customHeight="false" outlineLevel="0" collapsed="false">
      <c r="A170" s="6" t="s">
        <v>570</v>
      </c>
      <c r="B170" s="6" t="s">
        <v>70</v>
      </c>
      <c r="C170" s="6" t="s">
        <v>1415</v>
      </c>
      <c r="D170" s="6" t="s">
        <v>1526</v>
      </c>
    </row>
    <row r="171" customFormat="false" ht="23.85" hidden="false" customHeight="false" outlineLevel="0" collapsed="false">
      <c r="A171" s="6" t="s">
        <v>570</v>
      </c>
      <c r="B171" s="6" t="s">
        <v>70</v>
      </c>
      <c r="C171" s="6" t="s">
        <v>1415</v>
      </c>
      <c r="D171" s="6" t="s">
        <v>554</v>
      </c>
    </row>
    <row r="172" customFormat="false" ht="23.85" hidden="false" customHeight="false" outlineLevel="0" collapsed="false">
      <c r="A172" s="6" t="s">
        <v>570</v>
      </c>
      <c r="B172" s="6" t="s">
        <v>95</v>
      </c>
      <c r="C172" s="6" t="s">
        <v>1415</v>
      </c>
      <c r="D172" s="6" t="s">
        <v>1527</v>
      </c>
    </row>
    <row r="173" customFormat="false" ht="46.25" hidden="false" customHeight="false" outlineLevel="0" collapsed="false">
      <c r="A173" s="6" t="s">
        <v>570</v>
      </c>
      <c r="B173" s="6" t="s">
        <v>95</v>
      </c>
      <c r="C173" s="6" t="s">
        <v>1415</v>
      </c>
      <c r="D173" s="6" t="s">
        <v>1528</v>
      </c>
    </row>
    <row r="174" customFormat="false" ht="57.45" hidden="false" customHeight="false" outlineLevel="0" collapsed="false">
      <c r="A174" s="6" t="s">
        <v>570</v>
      </c>
      <c r="B174" s="6" t="s">
        <v>95</v>
      </c>
      <c r="C174" s="6" t="s">
        <v>1415</v>
      </c>
      <c r="D174" s="6" t="s">
        <v>1529</v>
      </c>
    </row>
    <row r="175" customFormat="false" ht="15" hidden="false" customHeight="false" outlineLevel="0" collapsed="false">
      <c r="A175" s="6" t="s">
        <v>570</v>
      </c>
      <c r="B175" s="6" t="s">
        <v>104</v>
      </c>
      <c r="C175" s="6" t="s">
        <v>1415</v>
      </c>
      <c r="D175" s="6" t="s">
        <v>1530</v>
      </c>
    </row>
    <row r="176" customFormat="false" ht="46.25" hidden="false" customHeight="false" outlineLevel="0" collapsed="false">
      <c r="A176" s="6" t="s">
        <v>570</v>
      </c>
      <c r="B176" s="6" t="s">
        <v>104</v>
      </c>
      <c r="C176" s="6" t="s">
        <v>1415</v>
      </c>
      <c r="D176" s="6" t="s">
        <v>576</v>
      </c>
    </row>
    <row r="177" customFormat="false" ht="23.85" hidden="false" customHeight="false" outlineLevel="0" collapsed="false">
      <c r="A177" s="6" t="s">
        <v>116</v>
      </c>
      <c r="B177" s="6" t="s">
        <v>114</v>
      </c>
      <c r="C177" s="6" t="s">
        <v>1415</v>
      </c>
      <c r="D177" s="6" t="s">
        <v>1531</v>
      </c>
    </row>
    <row r="178" customFormat="false" ht="15" hidden="false" customHeight="false" outlineLevel="0" collapsed="false">
      <c r="A178" s="6" t="s">
        <v>116</v>
      </c>
      <c r="B178" s="6" t="s">
        <v>114</v>
      </c>
      <c r="C178" s="6" t="s">
        <v>1415</v>
      </c>
      <c r="D178" s="6" t="s">
        <v>1532</v>
      </c>
    </row>
    <row r="179" customFormat="false" ht="23.85" hidden="false" customHeight="false" outlineLevel="0" collapsed="false">
      <c r="A179" s="6" t="s">
        <v>116</v>
      </c>
      <c r="B179" s="6" t="s">
        <v>114</v>
      </c>
      <c r="C179" s="6" t="s">
        <v>1415</v>
      </c>
      <c r="D179" s="6" t="s">
        <v>1533</v>
      </c>
    </row>
    <row r="180" customFormat="false" ht="46.25" hidden="false" customHeight="false" outlineLevel="0" collapsed="false">
      <c r="A180" s="6" t="s">
        <v>116</v>
      </c>
      <c r="B180" s="6" t="s">
        <v>114</v>
      </c>
      <c r="C180" s="6" t="s">
        <v>1415</v>
      </c>
      <c r="D180" s="6" t="s">
        <v>1534</v>
      </c>
    </row>
    <row r="181" customFormat="false" ht="35.05" hidden="false" customHeight="false" outlineLevel="0" collapsed="false">
      <c r="A181" s="6" t="s">
        <v>116</v>
      </c>
      <c r="B181" s="6" t="s">
        <v>114</v>
      </c>
      <c r="C181" s="6" t="s">
        <v>1415</v>
      </c>
      <c r="D181" s="6" t="s">
        <v>1535</v>
      </c>
    </row>
    <row r="182" customFormat="false" ht="46.25" hidden="false" customHeight="false" outlineLevel="0" collapsed="false">
      <c r="A182" s="6" t="s">
        <v>116</v>
      </c>
      <c r="B182" s="6" t="s">
        <v>114</v>
      </c>
      <c r="C182" s="6" t="s">
        <v>1415</v>
      </c>
      <c r="D182" s="6" t="s">
        <v>1536</v>
      </c>
    </row>
    <row r="183" customFormat="false" ht="35.05" hidden="false" customHeight="false" outlineLevel="0" collapsed="false">
      <c r="A183" s="6" t="s">
        <v>116</v>
      </c>
      <c r="B183" s="6" t="s">
        <v>114</v>
      </c>
      <c r="C183" s="6" t="s">
        <v>1415</v>
      </c>
      <c r="D183" s="6" t="s">
        <v>1537</v>
      </c>
    </row>
    <row r="184" customFormat="false" ht="46.25" hidden="false" customHeight="false" outlineLevel="0" collapsed="false">
      <c r="A184" s="6" t="s">
        <v>116</v>
      </c>
      <c r="B184" s="6" t="s">
        <v>114</v>
      </c>
      <c r="C184" s="6" t="s">
        <v>1415</v>
      </c>
      <c r="D184" s="6" t="s">
        <v>1538</v>
      </c>
    </row>
    <row r="185" customFormat="false" ht="15" hidden="false" customHeight="false" outlineLevel="0" collapsed="false">
      <c r="A185" s="6" t="s">
        <v>116</v>
      </c>
      <c r="B185" s="6" t="s">
        <v>114</v>
      </c>
      <c r="C185" s="6" t="s">
        <v>1415</v>
      </c>
      <c r="D185" s="6" t="s">
        <v>1539</v>
      </c>
    </row>
    <row r="186" customFormat="false" ht="35.05" hidden="false" customHeight="false" outlineLevel="0" collapsed="false">
      <c r="A186" s="6" t="s">
        <v>116</v>
      </c>
      <c r="B186" s="6" t="s">
        <v>114</v>
      </c>
      <c r="C186" s="6" t="s">
        <v>1415</v>
      </c>
      <c r="D186" s="6" t="s">
        <v>1540</v>
      </c>
    </row>
    <row r="187" customFormat="false" ht="35.05" hidden="false" customHeight="false" outlineLevel="0" collapsed="false">
      <c r="A187" s="6" t="s">
        <v>116</v>
      </c>
      <c r="B187" s="6" t="s">
        <v>114</v>
      </c>
      <c r="C187" s="6" t="s">
        <v>1415</v>
      </c>
      <c r="D187" s="6" t="s">
        <v>1541</v>
      </c>
    </row>
    <row r="188" customFormat="false" ht="23.85" hidden="false" customHeight="false" outlineLevel="0" collapsed="false">
      <c r="A188" s="6" t="s">
        <v>116</v>
      </c>
      <c r="B188" s="6" t="s">
        <v>114</v>
      </c>
      <c r="C188" s="6" t="s">
        <v>1415</v>
      </c>
      <c r="D188" s="6" t="s">
        <v>1542</v>
      </c>
    </row>
    <row r="189" customFormat="false" ht="23.85" hidden="false" customHeight="false" outlineLevel="0" collapsed="false">
      <c r="A189" s="6" t="s">
        <v>116</v>
      </c>
      <c r="B189" s="6" t="s">
        <v>114</v>
      </c>
      <c r="C189" s="6" t="s">
        <v>1415</v>
      </c>
      <c r="D189" s="6" t="s">
        <v>1543</v>
      </c>
    </row>
    <row r="190" customFormat="false" ht="57.45" hidden="false" customHeight="false" outlineLevel="0" collapsed="false">
      <c r="A190" s="6" t="s">
        <v>116</v>
      </c>
      <c r="B190" s="6" t="s">
        <v>156</v>
      </c>
      <c r="C190" s="6" t="s">
        <v>1415</v>
      </c>
      <c r="D190" s="6" t="s">
        <v>1494</v>
      </c>
    </row>
    <row r="191" customFormat="false" ht="15" hidden="false" customHeight="false" outlineLevel="0" collapsed="false">
      <c r="A191" s="6" t="s">
        <v>116</v>
      </c>
      <c r="B191" s="6" t="s">
        <v>224</v>
      </c>
      <c r="C191" s="6" t="s">
        <v>1415</v>
      </c>
      <c r="D191" s="6" t="s">
        <v>1544</v>
      </c>
    </row>
    <row r="192" customFormat="false" ht="35.05" hidden="false" customHeight="false" outlineLevel="0" collapsed="false">
      <c r="A192" s="6" t="s">
        <v>116</v>
      </c>
      <c r="B192" s="6" t="s">
        <v>224</v>
      </c>
      <c r="C192" s="6" t="s">
        <v>1415</v>
      </c>
      <c r="D192" s="6" t="s">
        <v>250</v>
      </c>
    </row>
    <row r="193" customFormat="false" ht="23.85" hidden="false" customHeight="false" outlineLevel="0" collapsed="false">
      <c r="A193" s="6" t="s">
        <v>116</v>
      </c>
      <c r="B193" s="6" t="s">
        <v>265</v>
      </c>
      <c r="C193" s="6" t="s">
        <v>1415</v>
      </c>
      <c r="D193" s="6" t="s">
        <v>266</v>
      </c>
    </row>
    <row r="194" customFormat="false" ht="23.85" hidden="false" customHeight="false" outlineLevel="0" collapsed="false">
      <c r="A194" s="6" t="s">
        <v>116</v>
      </c>
      <c r="B194" s="6" t="s">
        <v>265</v>
      </c>
      <c r="C194" s="6" t="s">
        <v>1545</v>
      </c>
      <c r="D194" s="6" t="s">
        <v>1546</v>
      </c>
    </row>
    <row r="195" customFormat="false" ht="23.85" hidden="false" customHeight="false" outlineLevel="0" collapsed="false">
      <c r="A195" s="6" t="s">
        <v>116</v>
      </c>
      <c r="B195" s="6" t="s">
        <v>95</v>
      </c>
      <c r="C195" s="6" t="s">
        <v>1415</v>
      </c>
      <c r="D195" s="6" t="s">
        <v>123</v>
      </c>
    </row>
    <row r="196" customFormat="false" ht="35.05" hidden="false" customHeight="false" outlineLevel="0" collapsed="false">
      <c r="A196" s="6" t="s">
        <v>210</v>
      </c>
      <c r="B196" s="6" t="s">
        <v>156</v>
      </c>
      <c r="C196" s="6" t="s">
        <v>1415</v>
      </c>
      <c r="D196" s="6" t="s">
        <v>1418</v>
      </c>
    </row>
    <row r="197" customFormat="false" ht="23.85" hidden="false" customHeight="false" outlineLevel="0" collapsed="false">
      <c r="A197" s="6" t="s">
        <v>210</v>
      </c>
      <c r="B197" s="6" t="s">
        <v>156</v>
      </c>
      <c r="C197" s="6" t="s">
        <v>1415</v>
      </c>
      <c r="D197" s="6" t="s">
        <v>1474</v>
      </c>
    </row>
    <row r="198" customFormat="false" ht="46.25" hidden="false" customHeight="false" outlineLevel="0" collapsed="false">
      <c r="A198" s="6" t="s">
        <v>210</v>
      </c>
      <c r="B198" s="6" t="s">
        <v>156</v>
      </c>
      <c r="C198" s="6" t="s">
        <v>1415</v>
      </c>
      <c r="D198" s="6" t="s">
        <v>1475</v>
      </c>
    </row>
    <row r="199" customFormat="false" ht="35.05" hidden="false" customHeight="false" outlineLevel="0" collapsed="false">
      <c r="A199" s="6" t="s">
        <v>210</v>
      </c>
      <c r="B199" s="6" t="s">
        <v>378</v>
      </c>
      <c r="C199" s="6" t="s">
        <v>1415</v>
      </c>
      <c r="D199" s="6" t="s">
        <v>1547</v>
      </c>
    </row>
    <row r="200" customFormat="false" ht="23.85" hidden="false" customHeight="false" outlineLevel="0" collapsed="false">
      <c r="A200" s="6" t="s">
        <v>210</v>
      </c>
      <c r="B200" s="6" t="s">
        <v>378</v>
      </c>
      <c r="C200" s="6" t="s">
        <v>1415</v>
      </c>
      <c r="D200" s="6" t="s">
        <v>1548</v>
      </c>
    </row>
    <row r="201" customFormat="false" ht="15" hidden="false" customHeight="false" outlineLevel="0" collapsed="false">
      <c r="A201" s="6" t="s">
        <v>210</v>
      </c>
      <c r="B201" s="6" t="s">
        <v>568</v>
      </c>
      <c r="C201" s="6" t="s">
        <v>1415</v>
      </c>
      <c r="D201" s="6" t="s">
        <v>1549</v>
      </c>
    </row>
    <row r="202" customFormat="false" ht="23.85" hidden="false" customHeight="false" outlineLevel="0" collapsed="false">
      <c r="A202" s="6" t="s">
        <v>210</v>
      </c>
      <c r="B202" s="6" t="s">
        <v>568</v>
      </c>
      <c r="C202" s="6" t="s">
        <v>1415</v>
      </c>
      <c r="D202" s="6" t="s">
        <v>1550</v>
      </c>
    </row>
    <row r="203" customFormat="false" ht="46.25" hidden="false" customHeight="false" outlineLevel="0" collapsed="false">
      <c r="A203" s="6" t="s">
        <v>210</v>
      </c>
      <c r="B203" s="6" t="s">
        <v>568</v>
      </c>
      <c r="C203" s="6" t="s">
        <v>1415</v>
      </c>
      <c r="D203" s="6" t="s">
        <v>1551</v>
      </c>
    </row>
    <row r="204" customFormat="false" ht="23.85" hidden="false" customHeight="false" outlineLevel="0" collapsed="false">
      <c r="A204" s="6" t="s">
        <v>210</v>
      </c>
      <c r="B204" s="6" t="s">
        <v>264</v>
      </c>
      <c r="C204" s="6" t="s">
        <v>1415</v>
      </c>
      <c r="D204" s="6" t="s">
        <v>1552</v>
      </c>
    </row>
    <row r="205" customFormat="false" ht="35.05" hidden="false" customHeight="false" outlineLevel="0" collapsed="false">
      <c r="A205" s="6" t="s">
        <v>210</v>
      </c>
      <c r="B205" s="6" t="s">
        <v>264</v>
      </c>
      <c r="C205" s="6" t="s">
        <v>1415</v>
      </c>
      <c r="D205" s="6" t="s">
        <v>1553</v>
      </c>
    </row>
    <row r="206" customFormat="false" ht="35.05" hidden="false" customHeight="false" outlineLevel="0" collapsed="false">
      <c r="A206" s="6" t="s">
        <v>210</v>
      </c>
      <c r="B206" s="6" t="s">
        <v>264</v>
      </c>
      <c r="C206" s="6" t="s">
        <v>1415</v>
      </c>
      <c r="D206" s="6" t="s">
        <v>1554</v>
      </c>
    </row>
    <row r="207" customFormat="false" ht="46.25" hidden="false" customHeight="false" outlineLevel="0" collapsed="false">
      <c r="A207" s="6" t="s">
        <v>210</v>
      </c>
      <c r="B207" s="6" t="s">
        <v>264</v>
      </c>
      <c r="C207" s="6" t="s">
        <v>1415</v>
      </c>
      <c r="D207" s="6" t="s">
        <v>446</v>
      </c>
    </row>
    <row r="208" customFormat="false" ht="23.85" hidden="false" customHeight="false" outlineLevel="0" collapsed="false">
      <c r="A208" s="6" t="s">
        <v>210</v>
      </c>
      <c r="B208" s="6" t="s">
        <v>264</v>
      </c>
      <c r="C208" s="6" t="s">
        <v>1415</v>
      </c>
      <c r="D208" s="6" t="s">
        <v>1555</v>
      </c>
    </row>
    <row r="209" customFormat="false" ht="46.25" hidden="false" customHeight="false" outlineLevel="0" collapsed="false">
      <c r="A209" s="6" t="s">
        <v>210</v>
      </c>
      <c r="B209" s="6" t="s">
        <v>264</v>
      </c>
      <c r="C209" s="6" t="s">
        <v>1415</v>
      </c>
      <c r="D209" s="6" t="s">
        <v>1556</v>
      </c>
    </row>
    <row r="210" customFormat="false" ht="23.85" hidden="false" customHeight="false" outlineLevel="0" collapsed="false">
      <c r="A210" s="6" t="s">
        <v>210</v>
      </c>
      <c r="B210" s="6" t="s">
        <v>264</v>
      </c>
      <c r="C210" s="6" t="s">
        <v>1415</v>
      </c>
      <c r="D210" s="6" t="s">
        <v>1557</v>
      </c>
    </row>
    <row r="211" customFormat="false" ht="35.05" hidden="false" customHeight="false" outlineLevel="0" collapsed="false">
      <c r="A211" s="6" t="s">
        <v>210</v>
      </c>
      <c r="B211" s="6" t="s">
        <v>264</v>
      </c>
      <c r="C211" s="6" t="s">
        <v>1415</v>
      </c>
      <c r="D211" s="6" t="s">
        <v>1558</v>
      </c>
    </row>
    <row r="212" customFormat="false" ht="35.05" hidden="false" customHeight="false" outlineLevel="0" collapsed="false">
      <c r="A212" s="6" t="s">
        <v>210</v>
      </c>
      <c r="B212" s="6" t="s">
        <v>304</v>
      </c>
      <c r="C212" s="6" t="s">
        <v>1415</v>
      </c>
      <c r="D212" s="6" t="s">
        <v>1559</v>
      </c>
    </row>
    <row r="213" customFormat="false" ht="35.05" hidden="false" customHeight="false" outlineLevel="0" collapsed="false">
      <c r="A213" s="6" t="s">
        <v>210</v>
      </c>
      <c r="B213" s="6" t="s">
        <v>304</v>
      </c>
      <c r="C213" s="6" t="s">
        <v>1415</v>
      </c>
      <c r="D213" s="6" t="s">
        <v>1560</v>
      </c>
    </row>
    <row r="214" customFormat="false" ht="23.85" hidden="false" customHeight="false" outlineLevel="0" collapsed="false">
      <c r="A214" s="6" t="s">
        <v>210</v>
      </c>
      <c r="B214" s="6" t="s">
        <v>304</v>
      </c>
      <c r="C214" s="6" t="s">
        <v>1415</v>
      </c>
      <c r="D214" s="6" t="s">
        <v>1561</v>
      </c>
    </row>
    <row r="215" customFormat="false" ht="23.85" hidden="false" customHeight="false" outlineLevel="0" collapsed="false">
      <c r="A215" s="6" t="s">
        <v>210</v>
      </c>
      <c r="B215" s="6" t="s">
        <v>224</v>
      </c>
      <c r="C215" s="6" t="s">
        <v>1415</v>
      </c>
      <c r="D215" s="6" t="s">
        <v>1562</v>
      </c>
    </row>
    <row r="216" customFormat="false" ht="23.85" hidden="false" customHeight="false" outlineLevel="0" collapsed="false">
      <c r="A216" s="6" t="s">
        <v>210</v>
      </c>
      <c r="B216" s="6" t="s">
        <v>224</v>
      </c>
      <c r="C216" s="6" t="s">
        <v>1415</v>
      </c>
      <c r="D216" s="6" t="s">
        <v>1437</v>
      </c>
    </row>
    <row r="217" customFormat="false" ht="23.85" hidden="false" customHeight="false" outlineLevel="0" collapsed="false">
      <c r="A217" s="6" t="s">
        <v>210</v>
      </c>
      <c r="B217" s="6" t="s">
        <v>224</v>
      </c>
      <c r="C217" s="6" t="s">
        <v>1415</v>
      </c>
      <c r="D217" s="6" t="s">
        <v>1476</v>
      </c>
    </row>
    <row r="218" customFormat="false" ht="23.85" hidden="false" customHeight="false" outlineLevel="0" collapsed="false">
      <c r="A218" s="6" t="s">
        <v>210</v>
      </c>
      <c r="B218" s="6" t="s">
        <v>224</v>
      </c>
      <c r="C218" s="6" t="s">
        <v>1415</v>
      </c>
      <c r="D218" s="6" t="s">
        <v>423</v>
      </c>
    </row>
    <row r="219" customFormat="false" ht="35.05" hidden="false" customHeight="false" outlineLevel="0" collapsed="false">
      <c r="A219" s="6" t="s">
        <v>210</v>
      </c>
      <c r="B219" s="6" t="s">
        <v>224</v>
      </c>
      <c r="C219" s="6" t="s">
        <v>1415</v>
      </c>
      <c r="D219" s="6" t="s">
        <v>1563</v>
      </c>
    </row>
    <row r="220" customFormat="false" ht="23.85" hidden="false" customHeight="false" outlineLevel="0" collapsed="false">
      <c r="A220" s="6" t="s">
        <v>210</v>
      </c>
      <c r="B220" s="6" t="s">
        <v>224</v>
      </c>
      <c r="C220" s="6" t="s">
        <v>1415</v>
      </c>
      <c r="D220" s="6" t="s">
        <v>1564</v>
      </c>
    </row>
    <row r="221" customFormat="false" ht="35.05" hidden="false" customHeight="false" outlineLevel="0" collapsed="false">
      <c r="A221" s="6" t="s">
        <v>210</v>
      </c>
      <c r="B221" s="6" t="s">
        <v>224</v>
      </c>
      <c r="C221" s="6" t="s">
        <v>1415</v>
      </c>
      <c r="D221" s="6" t="s">
        <v>1565</v>
      </c>
    </row>
    <row r="222" customFormat="false" ht="15" hidden="false" customHeight="false" outlineLevel="0" collapsed="false">
      <c r="A222" s="6" t="s">
        <v>210</v>
      </c>
      <c r="B222" s="6" t="s">
        <v>224</v>
      </c>
      <c r="C222" s="6" t="s">
        <v>1415</v>
      </c>
      <c r="D222" s="6" t="s">
        <v>1566</v>
      </c>
    </row>
    <row r="223" customFormat="false" ht="23.85" hidden="false" customHeight="false" outlineLevel="0" collapsed="false">
      <c r="A223" s="6" t="s">
        <v>210</v>
      </c>
      <c r="B223" s="6" t="s">
        <v>224</v>
      </c>
      <c r="C223" s="6" t="s">
        <v>1415</v>
      </c>
      <c r="D223" s="6" t="s">
        <v>1567</v>
      </c>
    </row>
    <row r="224" customFormat="false" ht="35.05" hidden="false" customHeight="false" outlineLevel="0" collapsed="false">
      <c r="A224" s="6" t="s">
        <v>210</v>
      </c>
      <c r="B224" s="6" t="s">
        <v>70</v>
      </c>
      <c r="C224" s="6" t="s">
        <v>1415</v>
      </c>
      <c r="D224" s="6" t="s">
        <v>217</v>
      </c>
    </row>
    <row r="225" customFormat="false" ht="23.85" hidden="false" customHeight="false" outlineLevel="0" collapsed="false">
      <c r="A225" s="6" t="s">
        <v>447</v>
      </c>
      <c r="B225" s="6" t="s">
        <v>114</v>
      </c>
      <c r="C225" s="6" t="s">
        <v>1415</v>
      </c>
      <c r="D225" s="6" t="s">
        <v>1531</v>
      </c>
    </row>
    <row r="226" customFormat="false" ht="46.25" hidden="false" customHeight="false" outlineLevel="0" collapsed="false">
      <c r="A226" s="6" t="s">
        <v>447</v>
      </c>
      <c r="B226" s="6" t="s">
        <v>114</v>
      </c>
      <c r="C226" s="6" t="s">
        <v>1415</v>
      </c>
      <c r="D226" s="6" t="s">
        <v>1486</v>
      </c>
    </row>
    <row r="227" customFormat="false" ht="23.85" hidden="false" customHeight="false" outlineLevel="0" collapsed="false">
      <c r="A227" s="6" t="s">
        <v>447</v>
      </c>
      <c r="B227" s="6" t="s">
        <v>114</v>
      </c>
      <c r="C227" s="6" t="s">
        <v>1415</v>
      </c>
      <c r="D227" s="6" t="s">
        <v>1568</v>
      </c>
    </row>
    <row r="228" customFormat="false" ht="23.85" hidden="false" customHeight="false" outlineLevel="0" collapsed="false">
      <c r="A228" s="6" t="s">
        <v>447</v>
      </c>
      <c r="B228" s="6" t="s">
        <v>114</v>
      </c>
      <c r="C228" s="6" t="s">
        <v>1415</v>
      </c>
      <c r="D228" s="6" t="s">
        <v>1533</v>
      </c>
    </row>
    <row r="229" customFormat="false" ht="35.05" hidden="false" customHeight="false" outlineLevel="0" collapsed="false">
      <c r="A229" s="6" t="s">
        <v>447</v>
      </c>
      <c r="B229" s="6" t="s">
        <v>114</v>
      </c>
      <c r="C229" s="6" t="s">
        <v>1415</v>
      </c>
      <c r="D229" s="6" t="s">
        <v>1540</v>
      </c>
    </row>
    <row r="230" customFormat="false" ht="23.85" hidden="false" customHeight="false" outlineLevel="0" collapsed="false">
      <c r="A230" s="6" t="s">
        <v>447</v>
      </c>
      <c r="B230" s="6" t="s">
        <v>114</v>
      </c>
      <c r="C230" s="6" t="s">
        <v>1415</v>
      </c>
      <c r="D230" s="6" t="s">
        <v>1542</v>
      </c>
    </row>
    <row r="231" customFormat="false" ht="23.85" hidden="false" customHeight="false" outlineLevel="0" collapsed="false">
      <c r="A231" s="6" t="s">
        <v>447</v>
      </c>
      <c r="B231" s="6" t="s">
        <v>114</v>
      </c>
      <c r="C231" s="6" t="s">
        <v>1415</v>
      </c>
      <c r="D231" s="6" t="s">
        <v>1543</v>
      </c>
    </row>
    <row r="232" customFormat="false" ht="23.85" hidden="false" customHeight="false" outlineLevel="0" collapsed="false">
      <c r="A232" s="6" t="s">
        <v>447</v>
      </c>
      <c r="B232" s="6" t="s">
        <v>131</v>
      </c>
      <c r="C232" s="6" t="s">
        <v>1415</v>
      </c>
      <c r="D232" s="6" t="s">
        <v>499</v>
      </c>
    </row>
    <row r="233" customFormat="false" ht="15" hidden="false" customHeight="false" outlineLevel="0" collapsed="false">
      <c r="A233" s="6" t="s">
        <v>447</v>
      </c>
      <c r="B233" s="6" t="s">
        <v>131</v>
      </c>
      <c r="C233" s="6" t="s">
        <v>1415</v>
      </c>
      <c r="D233" s="6" t="s">
        <v>1569</v>
      </c>
    </row>
    <row r="234" customFormat="false" ht="23.85" hidden="false" customHeight="false" outlineLevel="0" collapsed="false">
      <c r="A234" s="6" t="s">
        <v>447</v>
      </c>
      <c r="B234" s="6" t="s">
        <v>378</v>
      </c>
      <c r="C234" s="6" t="s">
        <v>1415</v>
      </c>
      <c r="D234" s="6" t="s">
        <v>463</v>
      </c>
    </row>
    <row r="235" customFormat="false" ht="23.85" hidden="false" customHeight="false" outlineLevel="0" collapsed="false">
      <c r="A235" s="6" t="s">
        <v>447</v>
      </c>
      <c r="B235" s="6" t="s">
        <v>265</v>
      </c>
      <c r="C235" s="6" t="s">
        <v>1415</v>
      </c>
      <c r="D235" s="6" t="s">
        <v>455</v>
      </c>
    </row>
    <row r="236" customFormat="false" ht="15" hidden="false" customHeight="false" outlineLevel="0" collapsed="false">
      <c r="A236" s="6" t="s">
        <v>447</v>
      </c>
      <c r="B236" s="6" t="s">
        <v>265</v>
      </c>
      <c r="C236" s="6" t="s">
        <v>1415</v>
      </c>
      <c r="D236" s="6" t="s">
        <v>1570</v>
      </c>
    </row>
    <row r="237" customFormat="false" ht="23.85" hidden="false" customHeight="false" outlineLevel="0" collapsed="false">
      <c r="A237" s="6" t="s">
        <v>492</v>
      </c>
      <c r="B237" s="6" t="s">
        <v>69</v>
      </c>
      <c r="C237" s="6" t="s">
        <v>1415</v>
      </c>
      <c r="D237" s="6" t="s">
        <v>1571</v>
      </c>
    </row>
    <row r="238" customFormat="false" ht="35.05" hidden="false" customHeight="false" outlineLevel="0" collapsed="false">
      <c r="A238" s="6" t="s">
        <v>492</v>
      </c>
      <c r="B238" s="6" t="s">
        <v>156</v>
      </c>
      <c r="C238" s="6" t="s">
        <v>1415</v>
      </c>
      <c r="D238" s="6" t="s">
        <v>1572</v>
      </c>
    </row>
    <row r="239" customFormat="false" ht="23.85" hidden="false" customHeight="false" outlineLevel="0" collapsed="false">
      <c r="A239" s="6" t="s">
        <v>492</v>
      </c>
      <c r="B239" s="6" t="s">
        <v>131</v>
      </c>
      <c r="C239" s="6" t="s">
        <v>1415</v>
      </c>
      <c r="D239" s="6" t="s">
        <v>499</v>
      </c>
    </row>
    <row r="240" customFormat="false" ht="15" hidden="false" customHeight="false" outlineLevel="0" collapsed="false">
      <c r="A240" s="6" t="s">
        <v>492</v>
      </c>
      <c r="B240" s="6" t="s">
        <v>131</v>
      </c>
      <c r="C240" s="6" t="s">
        <v>1415</v>
      </c>
      <c r="D240" s="6" t="s">
        <v>1573</v>
      </c>
    </row>
    <row r="241" customFormat="false" ht="23.85" hidden="false" customHeight="false" outlineLevel="0" collapsed="false">
      <c r="A241" s="6" t="s">
        <v>124</v>
      </c>
      <c r="B241" s="6" t="s">
        <v>131</v>
      </c>
      <c r="C241" s="6" t="s">
        <v>1415</v>
      </c>
      <c r="D241" s="6" t="s">
        <v>1574</v>
      </c>
    </row>
    <row r="242" customFormat="false" ht="23.85" hidden="false" customHeight="false" outlineLevel="0" collapsed="false">
      <c r="A242" s="6" t="s">
        <v>124</v>
      </c>
      <c r="B242" s="6" t="s">
        <v>264</v>
      </c>
      <c r="C242" s="6" t="s">
        <v>1415</v>
      </c>
      <c r="D242" s="6" t="s">
        <v>1044</v>
      </c>
    </row>
    <row r="243" customFormat="false" ht="15" hidden="false" customHeight="false" outlineLevel="0" collapsed="false">
      <c r="A243" s="6" t="s">
        <v>124</v>
      </c>
      <c r="B243" s="6" t="s">
        <v>224</v>
      </c>
      <c r="C243" s="6" t="s">
        <v>1415</v>
      </c>
      <c r="D243" s="6" t="s">
        <v>1575</v>
      </c>
    </row>
    <row r="244" customFormat="false" ht="23.85" hidden="false" customHeight="false" outlineLevel="0" collapsed="false">
      <c r="A244" s="6" t="s">
        <v>124</v>
      </c>
      <c r="B244" s="6" t="s">
        <v>224</v>
      </c>
      <c r="C244" s="6" t="s">
        <v>1415</v>
      </c>
      <c r="D244" s="6" t="s">
        <v>1476</v>
      </c>
    </row>
    <row r="245" customFormat="false" ht="23.85" hidden="false" customHeight="false" outlineLevel="0" collapsed="false">
      <c r="A245" s="6" t="s">
        <v>124</v>
      </c>
      <c r="B245" s="6" t="s">
        <v>95</v>
      </c>
      <c r="C245" s="6" t="s">
        <v>1415</v>
      </c>
      <c r="D245" s="6" t="s">
        <v>123</v>
      </c>
    </row>
    <row r="246" customFormat="false" ht="191.75" hidden="false" customHeight="false" outlineLevel="0" collapsed="false">
      <c r="A246" s="6" t="s">
        <v>500</v>
      </c>
      <c r="B246" s="6" t="s">
        <v>68</v>
      </c>
      <c r="C246" s="6" t="s">
        <v>1576</v>
      </c>
      <c r="D246" s="6" t="s">
        <v>1577</v>
      </c>
    </row>
    <row r="247" customFormat="false" ht="158.2" hidden="false" customHeight="false" outlineLevel="0" collapsed="false">
      <c r="A247" s="6" t="s">
        <v>500</v>
      </c>
      <c r="B247" s="6" t="s">
        <v>68</v>
      </c>
      <c r="C247" s="6" t="s">
        <v>1578</v>
      </c>
      <c r="D247" s="6" t="s">
        <v>1579</v>
      </c>
    </row>
    <row r="248" customFormat="false" ht="23.85" hidden="false" customHeight="false" outlineLevel="0" collapsed="false">
      <c r="A248" s="6" t="s">
        <v>306</v>
      </c>
      <c r="B248" s="6" t="s">
        <v>104</v>
      </c>
      <c r="C248" s="6" t="s">
        <v>1415</v>
      </c>
      <c r="D248" s="6" t="s">
        <v>364</v>
      </c>
    </row>
    <row r="249" customFormat="false" ht="23.85" hidden="false" customHeight="false" outlineLevel="0" collapsed="false">
      <c r="A249" s="6" t="s">
        <v>306</v>
      </c>
      <c r="B249" s="6" t="s">
        <v>104</v>
      </c>
      <c r="C249" s="6" t="s">
        <v>1415</v>
      </c>
      <c r="D249" s="6" t="s">
        <v>1580</v>
      </c>
    </row>
    <row r="250" customFormat="false" ht="35.05" hidden="false" customHeight="false" outlineLevel="0" collapsed="false">
      <c r="A250" s="6" t="s">
        <v>306</v>
      </c>
      <c r="B250" s="6" t="s">
        <v>104</v>
      </c>
      <c r="C250" s="6" t="s">
        <v>1415</v>
      </c>
      <c r="D250" s="6" t="s">
        <v>312</v>
      </c>
    </row>
    <row r="251" customFormat="false" ht="247.75" hidden="false" customHeight="false" outlineLevel="0" collapsed="false">
      <c r="A251" s="6" t="s">
        <v>306</v>
      </c>
      <c r="B251" s="6" t="s">
        <v>104</v>
      </c>
      <c r="C251" s="6" t="s">
        <v>1427</v>
      </c>
      <c r="D251" s="6" t="s">
        <v>1428</v>
      </c>
    </row>
    <row r="252" customFormat="false" ht="191.75" hidden="false" customHeight="false" outlineLevel="0" collapsed="false">
      <c r="A252" s="6" t="s">
        <v>306</v>
      </c>
      <c r="B252" s="6" t="s">
        <v>68</v>
      </c>
      <c r="C252" s="6" t="s">
        <v>1576</v>
      </c>
      <c r="D252" s="6" t="s">
        <v>1577</v>
      </c>
    </row>
    <row r="253" customFormat="false" ht="158.2" hidden="false" customHeight="false" outlineLevel="0" collapsed="false">
      <c r="A253" s="6" t="s">
        <v>306</v>
      </c>
      <c r="B253" s="6" t="s">
        <v>68</v>
      </c>
      <c r="C253" s="6" t="s">
        <v>1578</v>
      </c>
      <c r="D253" s="6" t="s">
        <v>1579</v>
      </c>
    </row>
    <row r="254" customFormat="false" ht="35.05" hidden="false" customHeight="false" outlineLevel="0" collapsed="false">
      <c r="A254" s="6" t="s">
        <v>876</v>
      </c>
      <c r="B254" s="6" t="s">
        <v>70</v>
      </c>
      <c r="C254" s="6" t="s">
        <v>1415</v>
      </c>
      <c r="D254" s="6" t="s">
        <v>1581</v>
      </c>
    </row>
    <row r="255" customFormat="false" ht="15" hidden="false" customHeight="false" outlineLevel="0" collapsed="false">
      <c r="A255" s="6" t="s">
        <v>876</v>
      </c>
      <c r="B255" s="6" t="s">
        <v>70</v>
      </c>
      <c r="C255" s="6" t="s">
        <v>1415</v>
      </c>
      <c r="D255" s="6" t="s">
        <v>1582</v>
      </c>
    </row>
    <row r="256" customFormat="false" ht="23.85" hidden="false" customHeight="false" outlineLevel="0" collapsed="false">
      <c r="A256" s="6" t="s">
        <v>876</v>
      </c>
      <c r="B256" s="6" t="s">
        <v>70</v>
      </c>
      <c r="C256" s="6" t="s">
        <v>1415</v>
      </c>
      <c r="D256" s="6" t="s">
        <v>884</v>
      </c>
    </row>
    <row r="257" customFormat="false" ht="68.65" hidden="false" customHeight="false" outlineLevel="0" collapsed="false">
      <c r="A257" s="6" t="s">
        <v>885</v>
      </c>
      <c r="B257" s="6" t="s">
        <v>378</v>
      </c>
      <c r="C257" s="6" t="s">
        <v>1415</v>
      </c>
      <c r="D257" s="6" t="s">
        <v>379</v>
      </c>
    </row>
    <row r="258" customFormat="false" ht="23.85" hidden="false" customHeight="false" outlineLevel="0" collapsed="false">
      <c r="A258" s="6" t="s">
        <v>885</v>
      </c>
      <c r="B258" s="6" t="s">
        <v>378</v>
      </c>
      <c r="C258" s="6" t="s">
        <v>1415</v>
      </c>
      <c r="D258" s="6" t="s">
        <v>891</v>
      </c>
    </row>
    <row r="259" customFormat="false" ht="15" hidden="false" customHeight="false" outlineLevel="0" collapsed="false">
      <c r="A259" s="6" t="s">
        <v>885</v>
      </c>
      <c r="B259" s="6" t="s">
        <v>265</v>
      </c>
      <c r="C259" s="6" t="s">
        <v>1415</v>
      </c>
      <c r="D259" s="6" t="s">
        <v>1583</v>
      </c>
    </row>
    <row r="260" customFormat="false" ht="23.85" hidden="false" customHeight="false" outlineLevel="0" collapsed="false">
      <c r="A260" s="6" t="s">
        <v>577</v>
      </c>
      <c r="B260" s="6" t="s">
        <v>114</v>
      </c>
      <c r="C260" s="6" t="s">
        <v>1415</v>
      </c>
      <c r="D260" s="6" t="s">
        <v>1584</v>
      </c>
    </row>
    <row r="261" customFormat="false" ht="23.85" hidden="false" customHeight="false" outlineLevel="0" collapsed="false">
      <c r="A261" s="6" t="s">
        <v>577</v>
      </c>
      <c r="B261" s="6" t="s">
        <v>114</v>
      </c>
      <c r="C261" s="6" t="s">
        <v>1415</v>
      </c>
      <c r="D261" s="6" t="s">
        <v>1585</v>
      </c>
    </row>
    <row r="262" customFormat="false" ht="35.05" hidden="false" customHeight="false" outlineLevel="0" collapsed="false">
      <c r="A262" s="6" t="s">
        <v>577</v>
      </c>
      <c r="B262" s="6" t="s">
        <v>114</v>
      </c>
      <c r="C262" s="6" t="s">
        <v>1415</v>
      </c>
      <c r="D262" s="6" t="s">
        <v>1586</v>
      </c>
    </row>
    <row r="263" customFormat="false" ht="57.45" hidden="false" customHeight="false" outlineLevel="0" collapsed="false">
      <c r="A263" s="6" t="s">
        <v>577</v>
      </c>
      <c r="B263" s="6" t="s">
        <v>114</v>
      </c>
      <c r="C263" s="6" t="s">
        <v>1415</v>
      </c>
      <c r="D263" s="6" t="s">
        <v>1587</v>
      </c>
    </row>
    <row r="264" customFormat="false" ht="23.85" hidden="false" customHeight="false" outlineLevel="0" collapsed="false">
      <c r="A264" s="6" t="s">
        <v>577</v>
      </c>
      <c r="B264" s="6" t="s">
        <v>114</v>
      </c>
      <c r="C264" s="6" t="s">
        <v>1415</v>
      </c>
      <c r="D264" s="6" t="s">
        <v>1588</v>
      </c>
    </row>
    <row r="265" customFormat="false" ht="15" hidden="false" customHeight="false" outlineLevel="0" collapsed="false">
      <c r="A265" s="6" t="s">
        <v>577</v>
      </c>
      <c r="B265" s="6" t="s">
        <v>156</v>
      </c>
      <c r="C265" s="6" t="s">
        <v>1415</v>
      </c>
      <c r="D265" s="6" t="s">
        <v>1589</v>
      </c>
    </row>
    <row r="266" customFormat="false" ht="35.05" hidden="false" customHeight="false" outlineLevel="0" collapsed="false">
      <c r="A266" s="6" t="s">
        <v>577</v>
      </c>
      <c r="B266" s="6" t="s">
        <v>156</v>
      </c>
      <c r="C266" s="6" t="s">
        <v>1415</v>
      </c>
      <c r="D266" s="6" t="s">
        <v>1590</v>
      </c>
    </row>
    <row r="267" customFormat="false" ht="23.85" hidden="false" customHeight="false" outlineLevel="0" collapsed="false">
      <c r="A267" s="6" t="s">
        <v>577</v>
      </c>
      <c r="B267" s="6" t="s">
        <v>156</v>
      </c>
      <c r="C267" s="6" t="s">
        <v>1415</v>
      </c>
      <c r="D267" s="6" t="s">
        <v>1591</v>
      </c>
    </row>
    <row r="268" customFormat="false" ht="35.05" hidden="false" customHeight="false" outlineLevel="0" collapsed="false">
      <c r="A268" s="6" t="s">
        <v>577</v>
      </c>
      <c r="B268" s="6" t="s">
        <v>156</v>
      </c>
      <c r="C268" s="6" t="s">
        <v>1415</v>
      </c>
      <c r="D268" s="6" t="s">
        <v>1417</v>
      </c>
    </row>
    <row r="269" customFormat="false" ht="23.85" hidden="false" customHeight="false" outlineLevel="0" collapsed="false">
      <c r="A269" s="6" t="s">
        <v>577</v>
      </c>
      <c r="B269" s="6" t="s">
        <v>156</v>
      </c>
      <c r="C269" s="6" t="s">
        <v>1415</v>
      </c>
      <c r="D269" s="6" t="s">
        <v>1592</v>
      </c>
    </row>
    <row r="270" customFormat="false" ht="35.05" hidden="false" customHeight="false" outlineLevel="0" collapsed="false">
      <c r="A270" s="6" t="s">
        <v>577</v>
      </c>
      <c r="B270" s="6" t="s">
        <v>156</v>
      </c>
      <c r="C270" s="6" t="s">
        <v>1415</v>
      </c>
      <c r="D270" s="6" t="s">
        <v>1572</v>
      </c>
    </row>
    <row r="271" customFormat="false" ht="23.85" hidden="false" customHeight="false" outlineLevel="0" collapsed="false">
      <c r="A271" s="6" t="s">
        <v>577</v>
      </c>
      <c r="B271" s="6" t="s">
        <v>224</v>
      </c>
      <c r="C271" s="6" t="s">
        <v>1415</v>
      </c>
      <c r="D271" s="6" t="s">
        <v>583</v>
      </c>
    </row>
    <row r="272" customFormat="false" ht="35.05" hidden="false" customHeight="false" outlineLevel="0" collapsed="false">
      <c r="A272" s="6" t="s">
        <v>577</v>
      </c>
      <c r="B272" s="6" t="s">
        <v>104</v>
      </c>
      <c r="C272" s="6" t="s">
        <v>1593</v>
      </c>
      <c r="D272" s="6" t="s">
        <v>1594</v>
      </c>
    </row>
    <row r="273" customFormat="false" ht="23.85" hidden="false" customHeight="false" outlineLevel="0" collapsed="false">
      <c r="A273" s="6" t="s">
        <v>892</v>
      </c>
      <c r="B273" s="6" t="s">
        <v>95</v>
      </c>
      <c r="C273" s="6" t="s">
        <v>1415</v>
      </c>
      <c r="D273" s="6" t="s">
        <v>898</v>
      </c>
    </row>
    <row r="274" customFormat="false" ht="15" hidden="false" customHeight="false" outlineLevel="0" collapsed="false">
      <c r="A274" s="6" t="s">
        <v>892</v>
      </c>
      <c r="B274" s="6" t="s">
        <v>95</v>
      </c>
      <c r="C274" s="6" t="s">
        <v>1415</v>
      </c>
      <c r="D274" s="6" t="s">
        <v>1595</v>
      </c>
    </row>
    <row r="275" customFormat="false" ht="23.85" hidden="false" customHeight="false" outlineLevel="0" collapsed="false">
      <c r="A275" s="6" t="s">
        <v>408</v>
      </c>
      <c r="B275" s="6" t="s">
        <v>114</v>
      </c>
      <c r="C275" s="6" t="s">
        <v>1415</v>
      </c>
      <c r="D275" s="6" t="s">
        <v>416</v>
      </c>
    </row>
    <row r="276" customFormat="false" ht="23.85" hidden="false" customHeight="false" outlineLevel="0" collapsed="false">
      <c r="A276" s="6" t="s">
        <v>716</v>
      </c>
      <c r="B276" s="6" t="s">
        <v>378</v>
      </c>
      <c r="C276" s="6" t="s">
        <v>1415</v>
      </c>
      <c r="D276" s="6" t="s">
        <v>1422</v>
      </c>
    </row>
    <row r="277" customFormat="false" ht="15" hidden="false" customHeight="false" outlineLevel="0" collapsed="false">
      <c r="A277" s="6" t="s">
        <v>716</v>
      </c>
      <c r="B277" s="6" t="s">
        <v>378</v>
      </c>
      <c r="C277" s="6" t="s">
        <v>1415</v>
      </c>
      <c r="D277" s="6" t="s">
        <v>1518</v>
      </c>
    </row>
    <row r="278" customFormat="false" ht="15" hidden="false" customHeight="false" outlineLevel="0" collapsed="false">
      <c r="A278" s="6" t="s">
        <v>716</v>
      </c>
      <c r="B278" s="6" t="s">
        <v>378</v>
      </c>
      <c r="C278" s="6" t="s">
        <v>1415</v>
      </c>
      <c r="D278" s="6" t="s">
        <v>1596</v>
      </c>
    </row>
    <row r="279" customFormat="false" ht="57.45" hidden="false" customHeight="false" outlineLevel="0" collapsed="false">
      <c r="A279" s="6" t="s">
        <v>716</v>
      </c>
      <c r="B279" s="6" t="s">
        <v>378</v>
      </c>
      <c r="C279" s="6" t="s">
        <v>1415</v>
      </c>
      <c r="D279" s="6" t="s">
        <v>923</v>
      </c>
    </row>
    <row r="280" customFormat="false" ht="35.05" hidden="false" customHeight="false" outlineLevel="0" collapsed="false">
      <c r="A280" s="6" t="s">
        <v>716</v>
      </c>
      <c r="B280" s="6" t="s">
        <v>378</v>
      </c>
      <c r="C280" s="6" t="s">
        <v>1415</v>
      </c>
      <c r="D280" s="6" t="s">
        <v>1519</v>
      </c>
    </row>
    <row r="281" customFormat="false" ht="35.05" hidden="false" customHeight="false" outlineLevel="0" collapsed="false">
      <c r="A281" s="6" t="s">
        <v>716</v>
      </c>
      <c r="B281" s="6" t="s">
        <v>104</v>
      </c>
      <c r="C281" s="6" t="s">
        <v>1415</v>
      </c>
      <c r="D281" s="6" t="s">
        <v>722</v>
      </c>
    </row>
    <row r="282" customFormat="false" ht="35.05" hidden="false" customHeight="false" outlineLevel="0" collapsed="false">
      <c r="A282" s="6" t="s">
        <v>313</v>
      </c>
      <c r="B282" s="6" t="s">
        <v>95</v>
      </c>
      <c r="C282" s="6" t="s">
        <v>1415</v>
      </c>
      <c r="D282" s="6" t="s">
        <v>96</v>
      </c>
    </row>
    <row r="283" customFormat="false" ht="35.05" hidden="false" customHeight="false" outlineLevel="0" collapsed="false">
      <c r="A283" s="6" t="s">
        <v>313</v>
      </c>
      <c r="B283" s="6" t="s">
        <v>95</v>
      </c>
      <c r="C283" s="6" t="s">
        <v>1415</v>
      </c>
      <c r="D283" s="6" t="s">
        <v>1426</v>
      </c>
    </row>
    <row r="284" customFormat="false" ht="46.25" hidden="false" customHeight="false" outlineLevel="0" collapsed="false">
      <c r="A284" s="6" t="s">
        <v>313</v>
      </c>
      <c r="B284" s="6" t="s">
        <v>95</v>
      </c>
      <c r="C284" s="6" t="s">
        <v>1415</v>
      </c>
      <c r="D284" s="6" t="s">
        <v>1597</v>
      </c>
    </row>
    <row r="285" customFormat="false" ht="23.85" hidden="false" customHeight="false" outlineLevel="0" collapsed="false">
      <c r="A285" s="6" t="s">
        <v>313</v>
      </c>
      <c r="B285" s="6" t="s">
        <v>104</v>
      </c>
      <c r="C285" s="6" t="s">
        <v>1415</v>
      </c>
      <c r="D285" s="6" t="s">
        <v>364</v>
      </c>
    </row>
    <row r="286" customFormat="false" ht="35.05" hidden="false" customHeight="false" outlineLevel="0" collapsed="false">
      <c r="A286" s="6" t="s">
        <v>313</v>
      </c>
      <c r="B286" s="6" t="s">
        <v>104</v>
      </c>
      <c r="C286" s="6" t="s">
        <v>1415</v>
      </c>
      <c r="D286" s="6" t="s">
        <v>1598</v>
      </c>
    </row>
    <row r="287" customFormat="false" ht="35.05" hidden="false" customHeight="false" outlineLevel="0" collapsed="false">
      <c r="A287" s="6" t="s">
        <v>313</v>
      </c>
      <c r="B287" s="6" t="s">
        <v>104</v>
      </c>
      <c r="C287" s="6" t="s">
        <v>1415</v>
      </c>
      <c r="D287" s="6" t="s">
        <v>312</v>
      </c>
    </row>
    <row r="288" customFormat="false" ht="35.05" hidden="false" customHeight="false" outlineLevel="0" collapsed="false">
      <c r="A288" s="6" t="s">
        <v>313</v>
      </c>
      <c r="B288" s="6" t="s">
        <v>104</v>
      </c>
      <c r="C288" s="6" t="s">
        <v>1415</v>
      </c>
      <c r="D288" s="6" t="s">
        <v>320</v>
      </c>
    </row>
    <row r="289" customFormat="false" ht="247.75" hidden="false" customHeight="false" outlineLevel="0" collapsed="false">
      <c r="A289" s="6" t="s">
        <v>313</v>
      </c>
      <c r="B289" s="6" t="s">
        <v>104</v>
      </c>
      <c r="C289" s="6" t="s">
        <v>1427</v>
      </c>
      <c r="D289" s="6" t="s">
        <v>1428</v>
      </c>
    </row>
    <row r="290" customFormat="false" ht="23.85" hidden="false" customHeight="false" outlineLevel="0" collapsed="false">
      <c r="A290" s="6" t="s">
        <v>723</v>
      </c>
      <c r="B290" s="6" t="s">
        <v>304</v>
      </c>
      <c r="C290" s="6" t="s">
        <v>1415</v>
      </c>
      <c r="D290" s="6" t="s">
        <v>1599</v>
      </c>
    </row>
    <row r="291" customFormat="false" ht="23.85" hidden="false" customHeight="false" outlineLevel="0" collapsed="false">
      <c r="A291" s="6" t="s">
        <v>723</v>
      </c>
      <c r="B291" s="6" t="s">
        <v>224</v>
      </c>
      <c r="C291" s="6" t="s">
        <v>1415</v>
      </c>
      <c r="D291" s="6" t="s">
        <v>1564</v>
      </c>
    </row>
    <row r="292" customFormat="false" ht="35.05" hidden="false" customHeight="false" outlineLevel="0" collapsed="false">
      <c r="A292" s="6" t="s">
        <v>723</v>
      </c>
      <c r="B292" s="6" t="s">
        <v>138</v>
      </c>
      <c r="C292" s="6" t="s">
        <v>1415</v>
      </c>
      <c r="D292" s="6" t="s">
        <v>1600</v>
      </c>
    </row>
    <row r="293" customFormat="false" ht="15" hidden="false" customHeight="false" outlineLevel="0" collapsed="false">
      <c r="A293" s="6" t="s">
        <v>723</v>
      </c>
      <c r="B293" s="6" t="s">
        <v>138</v>
      </c>
      <c r="C293" s="6" t="s">
        <v>1415</v>
      </c>
      <c r="D293" s="6" t="s">
        <v>1601</v>
      </c>
    </row>
    <row r="294" customFormat="false" ht="23.85" hidden="false" customHeight="false" outlineLevel="0" collapsed="false">
      <c r="A294" s="6" t="s">
        <v>723</v>
      </c>
      <c r="B294" s="6" t="s">
        <v>104</v>
      </c>
      <c r="C294" s="6" t="s">
        <v>1415</v>
      </c>
      <c r="D294" s="6" t="s">
        <v>1602</v>
      </c>
    </row>
    <row r="295" customFormat="false" ht="35.05" hidden="false" customHeight="false" outlineLevel="0" collapsed="false">
      <c r="A295" s="6" t="s">
        <v>723</v>
      </c>
      <c r="B295" s="6" t="s">
        <v>104</v>
      </c>
      <c r="C295" s="6" t="s">
        <v>1415</v>
      </c>
      <c r="D295" s="6" t="s">
        <v>1603</v>
      </c>
    </row>
    <row r="296" customFormat="false" ht="15" hidden="false" customHeight="false" outlineLevel="0" collapsed="false">
      <c r="A296" s="6" t="s">
        <v>723</v>
      </c>
      <c r="B296" s="6" t="s">
        <v>104</v>
      </c>
      <c r="C296" s="6" t="s">
        <v>1415</v>
      </c>
      <c r="D296" s="6" t="s">
        <v>1485</v>
      </c>
    </row>
    <row r="297" customFormat="false" ht="35.05" hidden="false" customHeight="false" outlineLevel="0" collapsed="false">
      <c r="A297" s="6" t="s">
        <v>723</v>
      </c>
      <c r="B297" s="6" t="s">
        <v>104</v>
      </c>
      <c r="C297" s="6" t="s">
        <v>1415</v>
      </c>
      <c r="D297" s="6" t="s">
        <v>722</v>
      </c>
    </row>
    <row r="298" customFormat="false" ht="15" hidden="false" customHeight="false" outlineLevel="0" collapsed="false">
      <c r="A298" s="6" t="s">
        <v>723</v>
      </c>
      <c r="B298" s="6" t="s">
        <v>104</v>
      </c>
      <c r="C298" s="6" t="s">
        <v>1415</v>
      </c>
      <c r="D298" s="6" t="s">
        <v>1604</v>
      </c>
    </row>
    <row r="299" customFormat="false" ht="68.65" hidden="false" customHeight="false" outlineLevel="0" collapsed="false">
      <c r="A299" s="6" t="s">
        <v>723</v>
      </c>
      <c r="B299" s="6" t="s">
        <v>104</v>
      </c>
      <c r="C299" s="6" t="s">
        <v>1445</v>
      </c>
      <c r="D299" s="6" t="s">
        <v>1446</v>
      </c>
    </row>
    <row r="300" customFormat="false" ht="79.85" hidden="false" customHeight="false" outlineLevel="0" collapsed="false">
      <c r="A300" s="6" t="s">
        <v>723</v>
      </c>
      <c r="B300" s="6" t="s">
        <v>104</v>
      </c>
      <c r="C300" s="6" t="s">
        <v>1461</v>
      </c>
      <c r="D300" s="6" t="s">
        <v>1462</v>
      </c>
    </row>
    <row r="301" customFormat="false" ht="35.05" hidden="false" customHeight="false" outlineLevel="0" collapsed="false">
      <c r="A301" s="6" t="s">
        <v>723</v>
      </c>
      <c r="B301" s="6" t="s">
        <v>104</v>
      </c>
      <c r="C301" s="6" t="s">
        <v>1463</v>
      </c>
      <c r="D301" s="6" t="s">
        <v>1464</v>
      </c>
    </row>
    <row r="302" customFormat="false" ht="236.55" hidden="false" customHeight="false" outlineLevel="0" collapsed="false">
      <c r="A302" s="6" t="s">
        <v>723</v>
      </c>
      <c r="B302" s="6" t="s">
        <v>68</v>
      </c>
      <c r="C302" s="6" t="s">
        <v>1521</v>
      </c>
      <c r="D302" s="6" t="s">
        <v>1522</v>
      </c>
    </row>
    <row r="303" customFormat="false" ht="46.25" hidden="false" customHeight="false" outlineLevel="0" collapsed="false">
      <c r="A303" s="6" t="s">
        <v>321</v>
      </c>
      <c r="B303" s="6" t="s">
        <v>114</v>
      </c>
      <c r="C303" s="6" t="s">
        <v>1415</v>
      </c>
      <c r="D303" s="6" t="s">
        <v>1470</v>
      </c>
    </row>
    <row r="304" customFormat="false" ht="46.25" hidden="false" customHeight="false" outlineLevel="0" collapsed="false">
      <c r="A304" s="6" t="s">
        <v>321</v>
      </c>
      <c r="B304" s="6" t="s">
        <v>114</v>
      </c>
      <c r="C304" s="6" t="s">
        <v>1415</v>
      </c>
      <c r="D304" s="6" t="s">
        <v>1471</v>
      </c>
    </row>
    <row r="305" customFormat="false" ht="15" hidden="false" customHeight="false" outlineLevel="0" collapsed="false">
      <c r="A305" s="6" t="s">
        <v>321</v>
      </c>
      <c r="B305" s="6" t="s">
        <v>156</v>
      </c>
      <c r="C305" s="6" t="s">
        <v>1415</v>
      </c>
      <c r="D305" s="6" t="s">
        <v>1605</v>
      </c>
    </row>
    <row r="306" customFormat="false" ht="35.05" hidden="false" customHeight="false" outlineLevel="0" collapsed="false">
      <c r="A306" s="6" t="s">
        <v>321</v>
      </c>
      <c r="B306" s="6" t="s">
        <v>156</v>
      </c>
      <c r="C306" s="6" t="s">
        <v>1415</v>
      </c>
      <c r="D306" s="6" t="s">
        <v>1495</v>
      </c>
    </row>
    <row r="307" customFormat="false" ht="91" hidden="false" customHeight="false" outlineLevel="0" collapsed="false">
      <c r="A307" s="6" t="s">
        <v>321</v>
      </c>
      <c r="B307" s="6" t="s">
        <v>156</v>
      </c>
      <c r="C307" s="6" t="s">
        <v>1415</v>
      </c>
      <c r="D307" s="6" t="s">
        <v>1496</v>
      </c>
    </row>
    <row r="308" customFormat="false" ht="46.25" hidden="false" customHeight="false" outlineLevel="0" collapsed="false">
      <c r="A308" s="6" t="s">
        <v>321</v>
      </c>
      <c r="B308" s="6" t="s">
        <v>131</v>
      </c>
      <c r="C308" s="6" t="s">
        <v>1415</v>
      </c>
      <c r="D308" s="6" t="s">
        <v>157</v>
      </c>
    </row>
    <row r="309" customFormat="false" ht="23.85" hidden="false" customHeight="false" outlineLevel="0" collapsed="false">
      <c r="A309" s="6" t="s">
        <v>321</v>
      </c>
      <c r="B309" s="6" t="s">
        <v>264</v>
      </c>
      <c r="C309" s="6" t="s">
        <v>1415</v>
      </c>
      <c r="D309" s="6" t="s">
        <v>1044</v>
      </c>
    </row>
    <row r="310" customFormat="false" ht="35.05" hidden="false" customHeight="false" outlineLevel="0" collapsed="false">
      <c r="A310" s="6" t="s">
        <v>321</v>
      </c>
      <c r="B310" s="6" t="s">
        <v>264</v>
      </c>
      <c r="C310" s="6" t="s">
        <v>1415</v>
      </c>
      <c r="D310" s="6" t="s">
        <v>1472</v>
      </c>
    </row>
    <row r="311" customFormat="false" ht="23.85" hidden="false" customHeight="false" outlineLevel="0" collapsed="false">
      <c r="A311" s="6" t="s">
        <v>321</v>
      </c>
      <c r="B311" s="6" t="s">
        <v>264</v>
      </c>
      <c r="C311" s="6" t="s">
        <v>1415</v>
      </c>
      <c r="D311" s="6" t="s">
        <v>289</v>
      </c>
    </row>
    <row r="312" customFormat="false" ht="15" hidden="false" customHeight="false" outlineLevel="0" collapsed="false">
      <c r="A312" s="6" t="s">
        <v>321</v>
      </c>
      <c r="B312" s="6" t="s">
        <v>224</v>
      </c>
      <c r="C312" s="6" t="s">
        <v>1415</v>
      </c>
      <c r="D312" s="6" t="s">
        <v>1454</v>
      </c>
    </row>
    <row r="313" customFormat="false" ht="15" hidden="false" customHeight="false" outlineLevel="0" collapsed="false">
      <c r="A313" s="6" t="s">
        <v>584</v>
      </c>
      <c r="B313" s="6" t="s">
        <v>114</v>
      </c>
      <c r="C313" s="6" t="s">
        <v>1415</v>
      </c>
      <c r="D313" s="6" t="s">
        <v>1606</v>
      </c>
    </row>
    <row r="314" customFormat="false" ht="23.85" hidden="false" customHeight="false" outlineLevel="0" collapsed="false">
      <c r="A314" s="6" t="s">
        <v>584</v>
      </c>
      <c r="B314" s="6" t="s">
        <v>114</v>
      </c>
      <c r="C314" s="6" t="s">
        <v>1415</v>
      </c>
      <c r="D314" s="6" t="s">
        <v>1607</v>
      </c>
    </row>
    <row r="315" customFormat="false" ht="35.05" hidden="false" customHeight="false" outlineLevel="0" collapsed="false">
      <c r="A315" s="6" t="s">
        <v>584</v>
      </c>
      <c r="B315" s="6" t="s">
        <v>264</v>
      </c>
      <c r="C315" s="6" t="s">
        <v>1415</v>
      </c>
      <c r="D315" s="6" t="s">
        <v>1608</v>
      </c>
    </row>
    <row r="316" customFormat="false" ht="23.85" hidden="false" customHeight="false" outlineLevel="0" collapsed="false">
      <c r="A316" s="6" t="s">
        <v>584</v>
      </c>
      <c r="B316" s="6" t="s">
        <v>264</v>
      </c>
      <c r="C316" s="6" t="s">
        <v>1415</v>
      </c>
      <c r="D316" s="6" t="s">
        <v>1609</v>
      </c>
    </row>
    <row r="317" customFormat="false" ht="15" hidden="false" customHeight="false" outlineLevel="0" collapsed="false">
      <c r="A317" s="6" t="s">
        <v>584</v>
      </c>
      <c r="B317" s="6" t="s">
        <v>264</v>
      </c>
      <c r="C317" s="6" t="s">
        <v>1415</v>
      </c>
      <c r="D317" s="6" t="s">
        <v>1610</v>
      </c>
    </row>
    <row r="318" customFormat="false" ht="23.85" hidden="false" customHeight="false" outlineLevel="0" collapsed="false">
      <c r="A318" s="6" t="s">
        <v>584</v>
      </c>
      <c r="B318" s="6" t="s">
        <v>304</v>
      </c>
      <c r="C318" s="6" t="s">
        <v>1415</v>
      </c>
      <c r="D318" s="6" t="s">
        <v>477</v>
      </c>
    </row>
    <row r="319" customFormat="false" ht="23.85" hidden="false" customHeight="false" outlineLevel="0" collapsed="false">
      <c r="A319" s="6" t="s">
        <v>584</v>
      </c>
      <c r="B319" s="6" t="s">
        <v>224</v>
      </c>
      <c r="C319" s="6" t="s">
        <v>1415</v>
      </c>
      <c r="D319" s="6" t="s">
        <v>1611</v>
      </c>
    </row>
    <row r="320" customFormat="false" ht="23.85" hidden="false" customHeight="false" outlineLevel="0" collapsed="false">
      <c r="A320" s="6" t="s">
        <v>584</v>
      </c>
      <c r="B320" s="6" t="s">
        <v>138</v>
      </c>
      <c r="C320" s="6" t="s">
        <v>1415</v>
      </c>
      <c r="D320" s="6" t="s">
        <v>1612</v>
      </c>
    </row>
    <row r="321" customFormat="false" ht="15" hidden="false" customHeight="false" outlineLevel="0" collapsed="false">
      <c r="A321" s="6" t="s">
        <v>584</v>
      </c>
      <c r="B321" s="6" t="s">
        <v>104</v>
      </c>
      <c r="C321" s="6" t="s">
        <v>1415</v>
      </c>
      <c r="D321" s="6" t="s">
        <v>1613</v>
      </c>
    </row>
    <row r="322" customFormat="false" ht="35.05" hidden="false" customHeight="false" outlineLevel="0" collapsed="false">
      <c r="A322" s="6" t="s">
        <v>584</v>
      </c>
      <c r="B322" s="6" t="s">
        <v>104</v>
      </c>
      <c r="C322" s="6" t="s">
        <v>1415</v>
      </c>
      <c r="D322" s="6" t="s">
        <v>1614</v>
      </c>
    </row>
    <row r="323" customFormat="false" ht="15" hidden="false" customHeight="false" outlineLevel="0" collapsed="false">
      <c r="A323" s="6" t="s">
        <v>584</v>
      </c>
      <c r="B323" s="6" t="s">
        <v>104</v>
      </c>
      <c r="C323" s="6" t="s">
        <v>1415</v>
      </c>
      <c r="D323" s="6" t="s">
        <v>1615</v>
      </c>
    </row>
    <row r="324" customFormat="false" ht="46.25" hidden="false" customHeight="false" outlineLevel="0" collapsed="false">
      <c r="A324" s="6" t="s">
        <v>584</v>
      </c>
      <c r="B324" s="6" t="s">
        <v>104</v>
      </c>
      <c r="C324" s="6" t="s">
        <v>1415</v>
      </c>
      <c r="D324" s="6" t="s">
        <v>576</v>
      </c>
    </row>
    <row r="325" customFormat="false" ht="35.05" hidden="false" customHeight="false" outlineLevel="0" collapsed="false">
      <c r="A325" s="6" t="s">
        <v>584</v>
      </c>
      <c r="B325" s="6" t="s">
        <v>104</v>
      </c>
      <c r="C325" s="6" t="s">
        <v>1415</v>
      </c>
      <c r="D325" s="6" t="s">
        <v>1616</v>
      </c>
    </row>
    <row r="326" customFormat="false" ht="15" hidden="false" customHeight="false" outlineLevel="0" collapsed="false">
      <c r="A326" s="6" t="s">
        <v>584</v>
      </c>
      <c r="B326" s="6" t="s">
        <v>104</v>
      </c>
      <c r="C326" s="6" t="s">
        <v>1415</v>
      </c>
      <c r="D326" s="6" t="s">
        <v>1617</v>
      </c>
    </row>
    <row r="327" customFormat="false" ht="23.85" hidden="false" customHeight="false" outlineLevel="0" collapsed="false">
      <c r="A327" s="6" t="s">
        <v>584</v>
      </c>
      <c r="B327" s="6" t="s">
        <v>104</v>
      </c>
      <c r="C327" s="6" t="s">
        <v>1415</v>
      </c>
      <c r="D327" s="6" t="s">
        <v>1443</v>
      </c>
    </row>
    <row r="328" customFormat="false" ht="23.85" hidden="false" customHeight="false" outlineLevel="0" collapsed="false">
      <c r="A328" s="6" t="s">
        <v>584</v>
      </c>
      <c r="B328" s="6" t="s">
        <v>104</v>
      </c>
      <c r="C328" s="6" t="s">
        <v>1415</v>
      </c>
      <c r="D328" s="6" t="s">
        <v>1618</v>
      </c>
    </row>
    <row r="329" customFormat="false" ht="35.05" hidden="false" customHeight="false" outlineLevel="0" collapsed="false">
      <c r="A329" s="6" t="s">
        <v>584</v>
      </c>
      <c r="B329" s="6" t="s">
        <v>104</v>
      </c>
      <c r="C329" s="6" t="s">
        <v>1415</v>
      </c>
      <c r="D329" s="6" t="s">
        <v>569</v>
      </c>
    </row>
    <row r="330" customFormat="false" ht="23.85" hidden="false" customHeight="false" outlineLevel="0" collapsed="false">
      <c r="A330" s="6" t="s">
        <v>584</v>
      </c>
      <c r="B330" s="6" t="s">
        <v>104</v>
      </c>
      <c r="C330" s="6" t="s">
        <v>1415</v>
      </c>
      <c r="D330" s="6" t="s">
        <v>589</v>
      </c>
    </row>
    <row r="331" customFormat="false" ht="79.85" hidden="false" customHeight="false" outlineLevel="0" collapsed="false">
      <c r="A331" s="6" t="s">
        <v>584</v>
      </c>
      <c r="B331" s="6" t="s">
        <v>104</v>
      </c>
      <c r="C331" s="6" t="s">
        <v>1619</v>
      </c>
      <c r="D331" s="6" t="s">
        <v>1620</v>
      </c>
    </row>
    <row r="332" customFormat="false" ht="35.05" hidden="false" customHeight="false" outlineLevel="0" collapsed="false">
      <c r="A332" s="6" t="s">
        <v>584</v>
      </c>
      <c r="B332" s="6" t="s">
        <v>104</v>
      </c>
      <c r="C332" s="6" t="s">
        <v>1593</v>
      </c>
      <c r="D332" s="6" t="s">
        <v>1594</v>
      </c>
    </row>
    <row r="333" customFormat="false" ht="214.15" hidden="false" customHeight="false" outlineLevel="0" collapsed="false">
      <c r="A333" s="6" t="s">
        <v>670</v>
      </c>
      <c r="B333" s="6" t="s">
        <v>68</v>
      </c>
      <c r="C333" s="6" t="s">
        <v>1621</v>
      </c>
      <c r="D333" s="6" t="s">
        <v>1622</v>
      </c>
    </row>
    <row r="334" customFormat="false" ht="23.85" hidden="false" customHeight="false" outlineLevel="0" collapsed="false">
      <c r="A334" s="6" t="s">
        <v>839</v>
      </c>
      <c r="B334" s="6" t="s">
        <v>69</v>
      </c>
      <c r="C334" s="6" t="s">
        <v>1415</v>
      </c>
      <c r="D334" s="6" t="s">
        <v>1623</v>
      </c>
    </row>
    <row r="335" customFormat="false" ht="15" hidden="false" customHeight="false" outlineLevel="0" collapsed="false">
      <c r="A335" s="6" t="s">
        <v>839</v>
      </c>
      <c r="B335" s="6" t="s">
        <v>69</v>
      </c>
      <c r="C335" s="6" t="s">
        <v>1415</v>
      </c>
      <c r="D335" s="6" t="s">
        <v>1473</v>
      </c>
    </row>
    <row r="336" customFormat="false" ht="15" hidden="false" customHeight="false" outlineLevel="0" collapsed="false">
      <c r="A336" s="6" t="s">
        <v>839</v>
      </c>
      <c r="B336" s="6" t="s">
        <v>114</v>
      </c>
      <c r="C336" s="6" t="s">
        <v>1415</v>
      </c>
      <c r="D336" s="6" t="s">
        <v>1624</v>
      </c>
    </row>
    <row r="337" customFormat="false" ht="23.85" hidden="false" customHeight="false" outlineLevel="0" collapsed="false">
      <c r="A337" s="6" t="s">
        <v>839</v>
      </c>
      <c r="B337" s="6" t="s">
        <v>114</v>
      </c>
      <c r="C337" s="6" t="s">
        <v>1415</v>
      </c>
      <c r="D337" s="6" t="s">
        <v>1625</v>
      </c>
    </row>
    <row r="338" customFormat="false" ht="15" hidden="false" customHeight="false" outlineLevel="0" collapsed="false">
      <c r="A338" s="6" t="s">
        <v>839</v>
      </c>
      <c r="B338" s="6" t="s">
        <v>156</v>
      </c>
      <c r="C338" s="6" t="s">
        <v>1415</v>
      </c>
      <c r="D338" s="6" t="s">
        <v>1419</v>
      </c>
    </row>
    <row r="339" customFormat="false" ht="23.85" hidden="false" customHeight="false" outlineLevel="0" collapsed="false">
      <c r="A339" s="6" t="s">
        <v>839</v>
      </c>
      <c r="B339" s="6" t="s">
        <v>156</v>
      </c>
      <c r="C339" s="6" t="s">
        <v>1415</v>
      </c>
      <c r="D339" s="6" t="s">
        <v>1626</v>
      </c>
    </row>
    <row r="340" customFormat="false" ht="35.05" hidden="false" customHeight="false" outlineLevel="0" collapsed="false">
      <c r="A340" s="6" t="s">
        <v>839</v>
      </c>
      <c r="B340" s="6" t="s">
        <v>156</v>
      </c>
      <c r="C340" s="6" t="s">
        <v>1415</v>
      </c>
      <c r="D340" s="6" t="s">
        <v>1627</v>
      </c>
    </row>
    <row r="341" customFormat="false" ht="46.25" hidden="false" customHeight="false" outlineLevel="0" collapsed="false">
      <c r="A341" s="6" t="s">
        <v>839</v>
      </c>
      <c r="B341" s="6" t="s">
        <v>296</v>
      </c>
      <c r="C341" s="6" t="s">
        <v>1415</v>
      </c>
      <c r="D341" s="6" t="s">
        <v>1510</v>
      </c>
    </row>
    <row r="342" customFormat="false" ht="23.85" hidden="false" customHeight="false" outlineLevel="0" collapsed="false">
      <c r="A342" s="6" t="s">
        <v>839</v>
      </c>
      <c r="B342" s="6" t="s">
        <v>296</v>
      </c>
      <c r="C342" s="6" t="s">
        <v>1415</v>
      </c>
      <c r="D342" s="6" t="s">
        <v>1511</v>
      </c>
    </row>
    <row r="343" customFormat="false" ht="35.05" hidden="false" customHeight="false" outlineLevel="0" collapsed="false">
      <c r="A343" s="6" t="s">
        <v>839</v>
      </c>
      <c r="B343" s="6" t="s">
        <v>296</v>
      </c>
      <c r="C343" s="6" t="s">
        <v>1415</v>
      </c>
      <c r="D343" s="6" t="s">
        <v>1512</v>
      </c>
    </row>
    <row r="344" customFormat="false" ht="15" hidden="false" customHeight="false" outlineLevel="0" collapsed="false">
      <c r="A344" s="6" t="s">
        <v>839</v>
      </c>
      <c r="B344" s="6" t="s">
        <v>378</v>
      </c>
      <c r="C344" s="6" t="s">
        <v>1415</v>
      </c>
      <c r="D344" s="6" t="s">
        <v>1628</v>
      </c>
    </row>
    <row r="345" customFormat="false" ht="15" hidden="false" customHeight="false" outlineLevel="0" collapsed="false">
      <c r="A345" s="6" t="s">
        <v>839</v>
      </c>
      <c r="B345" s="6" t="s">
        <v>378</v>
      </c>
      <c r="C345" s="6" t="s">
        <v>1415</v>
      </c>
      <c r="D345" s="6" t="s">
        <v>1629</v>
      </c>
    </row>
    <row r="346" customFormat="false" ht="23.85" hidden="false" customHeight="false" outlineLevel="0" collapsed="false">
      <c r="A346" s="6" t="s">
        <v>839</v>
      </c>
      <c r="B346" s="6" t="s">
        <v>378</v>
      </c>
      <c r="C346" s="6" t="s">
        <v>1415</v>
      </c>
      <c r="D346" s="6" t="s">
        <v>1630</v>
      </c>
    </row>
    <row r="347" customFormat="false" ht="35.05" hidden="false" customHeight="false" outlineLevel="0" collapsed="false">
      <c r="A347" s="6" t="s">
        <v>839</v>
      </c>
      <c r="B347" s="6" t="s">
        <v>378</v>
      </c>
      <c r="C347" s="6" t="s">
        <v>1415</v>
      </c>
      <c r="D347" s="6" t="s">
        <v>864</v>
      </c>
    </row>
    <row r="348" customFormat="false" ht="46.25" hidden="false" customHeight="false" outlineLevel="0" collapsed="false">
      <c r="A348" s="6" t="s">
        <v>839</v>
      </c>
      <c r="B348" s="6" t="s">
        <v>70</v>
      </c>
      <c r="C348" s="6" t="s">
        <v>1415</v>
      </c>
      <c r="D348" s="6" t="s">
        <v>407</v>
      </c>
    </row>
    <row r="349" customFormat="false" ht="23.85" hidden="false" customHeight="false" outlineLevel="0" collapsed="false">
      <c r="A349" s="6" t="s">
        <v>729</v>
      </c>
      <c r="B349" s="6" t="s">
        <v>69</v>
      </c>
      <c r="C349" s="6" t="s">
        <v>1415</v>
      </c>
      <c r="D349" s="6" t="s">
        <v>1631</v>
      </c>
    </row>
    <row r="350" customFormat="false" ht="23.85" hidden="false" customHeight="false" outlineLevel="0" collapsed="false">
      <c r="A350" s="6" t="s">
        <v>729</v>
      </c>
      <c r="B350" s="6" t="s">
        <v>69</v>
      </c>
      <c r="C350" s="6" t="s">
        <v>1415</v>
      </c>
      <c r="D350" s="6" t="s">
        <v>1623</v>
      </c>
    </row>
    <row r="351" customFormat="false" ht="68.65" hidden="false" customHeight="false" outlineLevel="0" collapsed="false">
      <c r="A351" s="6" t="s">
        <v>729</v>
      </c>
      <c r="B351" s="6" t="s">
        <v>156</v>
      </c>
      <c r="C351" s="6" t="s">
        <v>1415</v>
      </c>
      <c r="D351" s="6" t="s">
        <v>1632</v>
      </c>
    </row>
    <row r="352" customFormat="false" ht="46.25" hidden="false" customHeight="false" outlineLevel="0" collapsed="false">
      <c r="A352" s="6" t="s">
        <v>729</v>
      </c>
      <c r="B352" s="6" t="s">
        <v>131</v>
      </c>
      <c r="C352" s="6" t="s">
        <v>1415</v>
      </c>
      <c r="D352" s="6" t="s">
        <v>1633</v>
      </c>
    </row>
    <row r="353" customFormat="false" ht="23.85" hidden="false" customHeight="false" outlineLevel="0" collapsed="false">
      <c r="A353" s="6" t="s">
        <v>729</v>
      </c>
      <c r="B353" s="6" t="s">
        <v>378</v>
      </c>
      <c r="C353" s="6" t="s">
        <v>1415</v>
      </c>
      <c r="D353" s="6" t="s">
        <v>1422</v>
      </c>
    </row>
    <row r="354" customFormat="false" ht="15" hidden="false" customHeight="false" outlineLevel="0" collapsed="false">
      <c r="A354" s="6" t="s">
        <v>729</v>
      </c>
      <c r="B354" s="6" t="s">
        <v>378</v>
      </c>
      <c r="C354" s="6" t="s">
        <v>1415</v>
      </c>
      <c r="D354" s="6" t="s">
        <v>1518</v>
      </c>
    </row>
    <row r="355" customFormat="false" ht="57.45" hidden="false" customHeight="false" outlineLevel="0" collapsed="false">
      <c r="A355" s="6" t="s">
        <v>729</v>
      </c>
      <c r="B355" s="6" t="s">
        <v>378</v>
      </c>
      <c r="C355" s="6" t="s">
        <v>1415</v>
      </c>
      <c r="D355" s="6" t="s">
        <v>923</v>
      </c>
    </row>
    <row r="356" customFormat="false" ht="35.05" hidden="false" customHeight="false" outlineLevel="0" collapsed="false">
      <c r="A356" s="6" t="s">
        <v>729</v>
      </c>
      <c r="B356" s="6" t="s">
        <v>224</v>
      </c>
      <c r="C356" s="6" t="s">
        <v>1415</v>
      </c>
      <c r="D356" s="6" t="s">
        <v>250</v>
      </c>
    </row>
    <row r="357" customFormat="false" ht="35.05" hidden="false" customHeight="false" outlineLevel="0" collapsed="false">
      <c r="A357" s="6" t="s">
        <v>729</v>
      </c>
      <c r="B357" s="6" t="s">
        <v>104</v>
      </c>
      <c r="C357" s="6" t="s">
        <v>1415</v>
      </c>
      <c r="D357" s="6" t="s">
        <v>722</v>
      </c>
    </row>
    <row r="358" customFormat="false" ht="236.55" hidden="false" customHeight="false" outlineLevel="0" collapsed="false">
      <c r="A358" s="6" t="s">
        <v>729</v>
      </c>
      <c r="B358" s="6" t="s">
        <v>68</v>
      </c>
      <c r="C358" s="6" t="s">
        <v>1521</v>
      </c>
      <c r="D358" s="6" t="s">
        <v>1522</v>
      </c>
    </row>
    <row r="359" customFormat="false" ht="23.85" hidden="false" customHeight="false" outlineLevel="0" collapsed="false">
      <c r="A359" s="6" t="s">
        <v>590</v>
      </c>
      <c r="B359" s="6" t="s">
        <v>568</v>
      </c>
      <c r="C359" s="6" t="s">
        <v>1415</v>
      </c>
      <c r="D359" s="6" t="s">
        <v>603</v>
      </c>
    </row>
    <row r="360" customFormat="false" ht="23.85" hidden="false" customHeight="false" outlineLevel="0" collapsed="false">
      <c r="A360" s="6" t="s">
        <v>590</v>
      </c>
      <c r="B360" s="6" t="s">
        <v>104</v>
      </c>
      <c r="C360" s="6" t="s">
        <v>1415</v>
      </c>
      <c r="D360" s="6" t="s">
        <v>1634</v>
      </c>
    </row>
    <row r="361" customFormat="false" ht="15" hidden="false" customHeight="false" outlineLevel="0" collapsed="false">
      <c r="A361" s="6" t="s">
        <v>590</v>
      </c>
      <c r="B361" s="6" t="s">
        <v>104</v>
      </c>
      <c r="C361" s="6" t="s">
        <v>1415</v>
      </c>
      <c r="D361" s="6" t="s">
        <v>1635</v>
      </c>
    </row>
    <row r="362" customFormat="false" ht="15" hidden="false" customHeight="false" outlineLevel="0" collapsed="false">
      <c r="A362" s="6" t="s">
        <v>590</v>
      </c>
      <c r="B362" s="6" t="s">
        <v>104</v>
      </c>
      <c r="C362" s="6" t="s">
        <v>1415</v>
      </c>
      <c r="D362" s="6" t="s">
        <v>1636</v>
      </c>
    </row>
    <row r="363" customFormat="false" ht="23.85" hidden="false" customHeight="false" outlineLevel="0" collapsed="false">
      <c r="A363" s="6" t="s">
        <v>590</v>
      </c>
      <c r="B363" s="6" t="s">
        <v>104</v>
      </c>
      <c r="C363" s="6" t="s">
        <v>1415</v>
      </c>
      <c r="D363" s="6" t="s">
        <v>1637</v>
      </c>
    </row>
    <row r="364" customFormat="false" ht="35.05" hidden="false" customHeight="false" outlineLevel="0" collapsed="false">
      <c r="A364" s="6" t="s">
        <v>590</v>
      </c>
      <c r="B364" s="6" t="s">
        <v>104</v>
      </c>
      <c r="C364" s="6" t="s">
        <v>1415</v>
      </c>
      <c r="D364" s="6" t="s">
        <v>1638</v>
      </c>
    </row>
    <row r="365" customFormat="false" ht="57.45" hidden="false" customHeight="false" outlineLevel="0" collapsed="false">
      <c r="A365" s="6" t="s">
        <v>590</v>
      </c>
      <c r="B365" s="6" t="s">
        <v>104</v>
      </c>
      <c r="C365" s="6" t="s">
        <v>1415</v>
      </c>
      <c r="D365" s="6" t="s">
        <v>1639</v>
      </c>
    </row>
    <row r="366" customFormat="false" ht="23.85" hidden="false" customHeight="false" outlineLevel="0" collapsed="false">
      <c r="A366" s="6" t="s">
        <v>590</v>
      </c>
      <c r="B366" s="6" t="s">
        <v>104</v>
      </c>
      <c r="C366" s="6" t="s">
        <v>1415</v>
      </c>
      <c r="D366" s="6" t="s">
        <v>1640</v>
      </c>
    </row>
    <row r="367" customFormat="false" ht="23.85" hidden="false" customHeight="false" outlineLevel="0" collapsed="false">
      <c r="A367" s="6" t="s">
        <v>590</v>
      </c>
      <c r="B367" s="6" t="s">
        <v>104</v>
      </c>
      <c r="C367" s="6" t="s">
        <v>1415</v>
      </c>
      <c r="D367" s="6" t="s">
        <v>1641</v>
      </c>
    </row>
    <row r="368" customFormat="false" ht="35.05" hidden="false" customHeight="false" outlineLevel="0" collapsed="false">
      <c r="A368" s="6" t="s">
        <v>590</v>
      </c>
      <c r="B368" s="6" t="s">
        <v>104</v>
      </c>
      <c r="C368" s="6" t="s">
        <v>1415</v>
      </c>
      <c r="D368" s="6" t="s">
        <v>596</v>
      </c>
    </row>
    <row r="369" customFormat="false" ht="135.8" hidden="false" customHeight="false" outlineLevel="0" collapsed="false">
      <c r="A369" s="6" t="s">
        <v>590</v>
      </c>
      <c r="B369" s="6" t="s">
        <v>104</v>
      </c>
      <c r="C369" s="6" t="s">
        <v>1468</v>
      </c>
      <c r="D369" s="6" t="s">
        <v>1469</v>
      </c>
    </row>
    <row r="370" customFormat="false" ht="23.85" hidden="false" customHeight="false" outlineLevel="0" collapsed="false">
      <c r="A370" s="6" t="s">
        <v>735</v>
      </c>
      <c r="B370" s="6" t="s">
        <v>114</v>
      </c>
      <c r="C370" s="6" t="s">
        <v>1415</v>
      </c>
      <c r="D370" s="6" t="s">
        <v>1642</v>
      </c>
    </row>
    <row r="371" customFormat="false" ht="23.85" hidden="false" customHeight="false" outlineLevel="0" collapsed="false">
      <c r="A371" s="6" t="s">
        <v>735</v>
      </c>
      <c r="B371" s="6" t="s">
        <v>378</v>
      </c>
      <c r="C371" s="6" t="s">
        <v>1415</v>
      </c>
      <c r="D371" s="6" t="s">
        <v>1643</v>
      </c>
    </row>
    <row r="372" customFormat="false" ht="15" hidden="false" customHeight="false" outlineLevel="0" collapsed="false">
      <c r="A372" s="6" t="s">
        <v>735</v>
      </c>
      <c r="B372" s="6" t="s">
        <v>378</v>
      </c>
      <c r="C372" s="6" t="s">
        <v>1415</v>
      </c>
      <c r="D372" s="6" t="s">
        <v>1644</v>
      </c>
    </row>
    <row r="373" customFormat="false" ht="23.85" hidden="false" customHeight="false" outlineLevel="0" collapsed="false">
      <c r="A373" s="6" t="s">
        <v>735</v>
      </c>
      <c r="B373" s="6" t="s">
        <v>378</v>
      </c>
      <c r="C373" s="6" t="s">
        <v>1415</v>
      </c>
      <c r="D373" s="6" t="s">
        <v>1645</v>
      </c>
    </row>
    <row r="374" customFormat="false" ht="35.05" hidden="false" customHeight="false" outlineLevel="0" collapsed="false">
      <c r="A374" s="6" t="s">
        <v>735</v>
      </c>
      <c r="B374" s="6" t="s">
        <v>378</v>
      </c>
      <c r="C374" s="6" t="s">
        <v>1415</v>
      </c>
      <c r="D374" s="6" t="s">
        <v>1646</v>
      </c>
    </row>
    <row r="375" customFormat="false" ht="46.25" hidden="false" customHeight="false" outlineLevel="0" collapsed="false">
      <c r="A375" s="6" t="s">
        <v>735</v>
      </c>
      <c r="B375" s="6" t="s">
        <v>378</v>
      </c>
      <c r="C375" s="6" t="s">
        <v>1415</v>
      </c>
      <c r="D375" s="6" t="s">
        <v>1647</v>
      </c>
    </row>
    <row r="376" customFormat="false" ht="23.85" hidden="false" customHeight="false" outlineLevel="0" collapsed="false">
      <c r="A376" s="6" t="s">
        <v>735</v>
      </c>
      <c r="B376" s="6" t="s">
        <v>378</v>
      </c>
      <c r="C376" s="6" t="s">
        <v>1415</v>
      </c>
      <c r="D376" s="6" t="s">
        <v>1648</v>
      </c>
    </row>
    <row r="377" customFormat="false" ht="23.85" hidden="false" customHeight="false" outlineLevel="0" collapsed="false">
      <c r="A377" s="6" t="s">
        <v>735</v>
      </c>
      <c r="B377" s="6" t="s">
        <v>224</v>
      </c>
      <c r="C377" s="6" t="s">
        <v>1415</v>
      </c>
      <c r="D377" s="6" t="s">
        <v>747</v>
      </c>
    </row>
    <row r="378" customFormat="false" ht="23.85" hidden="false" customHeight="false" outlineLevel="0" collapsed="false">
      <c r="A378" s="6" t="s">
        <v>735</v>
      </c>
      <c r="B378" s="6" t="s">
        <v>265</v>
      </c>
      <c r="C378" s="6" t="s">
        <v>1415</v>
      </c>
      <c r="D378" s="6" t="s">
        <v>266</v>
      </c>
    </row>
    <row r="379" customFormat="false" ht="35.05" hidden="false" customHeight="false" outlineLevel="0" collapsed="false">
      <c r="A379" s="6" t="s">
        <v>735</v>
      </c>
      <c r="B379" s="6" t="s">
        <v>265</v>
      </c>
      <c r="C379" s="6" t="s">
        <v>1415</v>
      </c>
      <c r="D379" s="6" t="s">
        <v>1456</v>
      </c>
    </row>
    <row r="380" customFormat="false" ht="23.85" hidden="false" customHeight="false" outlineLevel="0" collapsed="false">
      <c r="A380" s="6" t="s">
        <v>735</v>
      </c>
      <c r="B380" s="6" t="s">
        <v>138</v>
      </c>
      <c r="C380" s="6" t="s">
        <v>1415</v>
      </c>
      <c r="D380" s="6" t="s">
        <v>1425</v>
      </c>
    </row>
    <row r="381" customFormat="false" ht="23.85" hidden="false" customHeight="false" outlineLevel="0" collapsed="false">
      <c r="A381" s="6" t="s">
        <v>735</v>
      </c>
      <c r="B381" s="6" t="s">
        <v>138</v>
      </c>
      <c r="C381" s="6" t="s">
        <v>1457</v>
      </c>
      <c r="D381" s="6" t="s">
        <v>1458</v>
      </c>
    </row>
    <row r="382" customFormat="false" ht="23.85" hidden="false" customHeight="false" outlineLevel="0" collapsed="false">
      <c r="A382" s="6" t="s">
        <v>735</v>
      </c>
      <c r="B382" s="6" t="s">
        <v>104</v>
      </c>
      <c r="C382" s="6" t="s">
        <v>1415</v>
      </c>
      <c r="D382" s="6" t="s">
        <v>195</v>
      </c>
    </row>
    <row r="383" customFormat="false" ht="68.65" hidden="false" customHeight="false" outlineLevel="0" collapsed="false">
      <c r="A383" s="6" t="s">
        <v>372</v>
      </c>
      <c r="B383" s="6" t="s">
        <v>378</v>
      </c>
      <c r="C383" s="6" t="s">
        <v>1415</v>
      </c>
      <c r="D383" s="6" t="s">
        <v>379</v>
      </c>
    </row>
    <row r="384" customFormat="false" ht="23.85" hidden="false" customHeight="false" outlineLevel="0" collapsed="false">
      <c r="A384" s="6" t="s">
        <v>380</v>
      </c>
      <c r="B384" s="6" t="s">
        <v>114</v>
      </c>
      <c r="C384" s="6" t="s">
        <v>1415</v>
      </c>
      <c r="D384" s="6" t="s">
        <v>1531</v>
      </c>
    </row>
    <row r="385" customFormat="false" ht="23.85" hidden="false" customHeight="false" outlineLevel="0" collapsed="false">
      <c r="A385" s="6" t="s">
        <v>380</v>
      </c>
      <c r="B385" s="6" t="s">
        <v>114</v>
      </c>
      <c r="C385" s="6" t="s">
        <v>1415</v>
      </c>
      <c r="D385" s="6" t="s">
        <v>1649</v>
      </c>
    </row>
    <row r="386" customFormat="false" ht="46.25" hidden="false" customHeight="false" outlineLevel="0" collapsed="false">
      <c r="A386" s="6" t="s">
        <v>380</v>
      </c>
      <c r="B386" s="6" t="s">
        <v>378</v>
      </c>
      <c r="C386" s="6" t="s">
        <v>1415</v>
      </c>
      <c r="D386" s="6" t="s">
        <v>1650</v>
      </c>
    </row>
    <row r="387" customFormat="false" ht="23.85" hidden="false" customHeight="false" outlineLevel="0" collapsed="false">
      <c r="A387" s="6" t="s">
        <v>380</v>
      </c>
      <c r="B387" s="6" t="s">
        <v>224</v>
      </c>
      <c r="C387" s="6" t="s">
        <v>1415</v>
      </c>
      <c r="D387" s="6" t="s">
        <v>648</v>
      </c>
    </row>
    <row r="388" customFormat="false" ht="35.05" hidden="false" customHeight="false" outlineLevel="0" collapsed="false">
      <c r="A388" s="6" t="s">
        <v>380</v>
      </c>
      <c r="B388" s="6" t="s">
        <v>265</v>
      </c>
      <c r="C388" s="6" t="s">
        <v>1415</v>
      </c>
      <c r="D388" s="6" t="s">
        <v>1651</v>
      </c>
    </row>
    <row r="389" customFormat="false" ht="23.85" hidden="false" customHeight="false" outlineLevel="0" collapsed="false">
      <c r="A389" s="6" t="s">
        <v>380</v>
      </c>
      <c r="B389" s="6" t="s">
        <v>265</v>
      </c>
      <c r="C389" s="6" t="s">
        <v>1545</v>
      </c>
      <c r="D389" s="6" t="s">
        <v>1546</v>
      </c>
    </row>
    <row r="390" customFormat="false" ht="23.85" hidden="false" customHeight="false" outlineLevel="0" collapsed="false">
      <c r="A390" s="6" t="s">
        <v>380</v>
      </c>
      <c r="B390" s="6" t="s">
        <v>138</v>
      </c>
      <c r="C390" s="6" t="s">
        <v>1415</v>
      </c>
      <c r="D390" s="6" t="s">
        <v>386</v>
      </c>
    </row>
    <row r="391" customFormat="false" ht="15" hidden="false" customHeight="false" outlineLevel="0" collapsed="false">
      <c r="A391" s="6" t="s">
        <v>943</v>
      </c>
      <c r="B391" s="6" t="s">
        <v>156</v>
      </c>
      <c r="C391" s="6" t="s">
        <v>1415</v>
      </c>
      <c r="D391" s="6" t="s">
        <v>1652</v>
      </c>
    </row>
    <row r="392" customFormat="false" ht="23.85" hidden="false" customHeight="false" outlineLevel="0" collapsed="false">
      <c r="A392" s="6" t="s">
        <v>943</v>
      </c>
      <c r="B392" s="6" t="s">
        <v>264</v>
      </c>
      <c r="C392" s="6" t="s">
        <v>1415</v>
      </c>
      <c r="D392" s="6" t="s">
        <v>1552</v>
      </c>
    </row>
    <row r="393" customFormat="false" ht="35.05" hidden="false" customHeight="false" outlineLevel="0" collapsed="false">
      <c r="A393" s="6" t="s">
        <v>943</v>
      </c>
      <c r="B393" s="6" t="s">
        <v>264</v>
      </c>
      <c r="C393" s="6" t="s">
        <v>1415</v>
      </c>
      <c r="D393" s="6" t="s">
        <v>1553</v>
      </c>
    </row>
    <row r="394" customFormat="false" ht="23.85" hidden="false" customHeight="false" outlineLevel="0" collapsed="false">
      <c r="A394" s="6" t="s">
        <v>943</v>
      </c>
      <c r="B394" s="6" t="s">
        <v>224</v>
      </c>
      <c r="C394" s="6" t="s">
        <v>1415</v>
      </c>
      <c r="D394" s="6" t="s">
        <v>1653</v>
      </c>
    </row>
    <row r="395" customFormat="false" ht="23.85" hidden="false" customHeight="false" outlineLevel="0" collapsed="false">
      <c r="A395" s="6" t="s">
        <v>943</v>
      </c>
      <c r="B395" s="6" t="s">
        <v>224</v>
      </c>
      <c r="C395" s="6" t="s">
        <v>1415</v>
      </c>
      <c r="D395" s="6" t="s">
        <v>1654</v>
      </c>
    </row>
    <row r="396" customFormat="false" ht="15" hidden="false" customHeight="false" outlineLevel="0" collapsed="false">
      <c r="A396" s="6" t="s">
        <v>943</v>
      </c>
      <c r="B396" s="6" t="s">
        <v>265</v>
      </c>
      <c r="C396" s="6" t="s">
        <v>1415</v>
      </c>
      <c r="D396" s="6" t="s">
        <v>1583</v>
      </c>
    </row>
    <row r="397" customFormat="false" ht="23.85" hidden="false" customHeight="false" outlineLevel="0" collapsed="false">
      <c r="A397" s="6" t="s">
        <v>943</v>
      </c>
      <c r="B397" s="6" t="s">
        <v>70</v>
      </c>
      <c r="C397" s="6" t="s">
        <v>1415</v>
      </c>
      <c r="D397" s="6" t="s">
        <v>1655</v>
      </c>
    </row>
    <row r="398" customFormat="false" ht="35.05" hidden="false" customHeight="false" outlineLevel="0" collapsed="false">
      <c r="A398" s="6" t="s">
        <v>943</v>
      </c>
      <c r="B398" s="6" t="s">
        <v>95</v>
      </c>
      <c r="C398" s="6" t="s">
        <v>1415</v>
      </c>
      <c r="D398" s="6" t="s">
        <v>950</v>
      </c>
    </row>
    <row r="399" customFormat="false" ht="15" hidden="false" customHeight="false" outlineLevel="0" collapsed="false">
      <c r="A399" s="6" t="s">
        <v>1011</v>
      </c>
      <c r="B399" s="6" t="s">
        <v>104</v>
      </c>
      <c r="C399" s="6" t="s">
        <v>1415</v>
      </c>
      <c r="D399" s="6" t="s">
        <v>1656</v>
      </c>
    </row>
    <row r="400" customFormat="false" ht="15" hidden="false" customHeight="false" outlineLevel="0" collapsed="false">
      <c r="A400" s="6" t="s">
        <v>1011</v>
      </c>
      <c r="B400" s="6" t="s">
        <v>104</v>
      </c>
      <c r="C400" s="6" t="s">
        <v>1415</v>
      </c>
      <c r="D400" s="6" t="s">
        <v>1657</v>
      </c>
    </row>
    <row r="401" customFormat="false" ht="15" hidden="false" customHeight="false" outlineLevel="0" collapsed="false">
      <c r="A401" s="6" t="s">
        <v>1011</v>
      </c>
      <c r="B401" s="6" t="s">
        <v>104</v>
      </c>
      <c r="C401" s="6" t="s">
        <v>1415</v>
      </c>
      <c r="D401" s="6" t="s">
        <v>1658</v>
      </c>
    </row>
    <row r="402" customFormat="false" ht="15" hidden="false" customHeight="false" outlineLevel="0" collapsed="false">
      <c r="A402" s="6" t="s">
        <v>1011</v>
      </c>
      <c r="B402" s="6" t="s">
        <v>104</v>
      </c>
      <c r="C402" s="6" t="s">
        <v>1415</v>
      </c>
      <c r="D402" s="6" t="s">
        <v>1016</v>
      </c>
    </row>
    <row r="403" customFormat="false" ht="135.8" hidden="false" customHeight="false" outlineLevel="0" collapsed="false">
      <c r="A403" s="6" t="s">
        <v>1011</v>
      </c>
      <c r="B403" s="6" t="s">
        <v>104</v>
      </c>
      <c r="C403" s="6" t="s">
        <v>1468</v>
      </c>
      <c r="D403" s="6" t="s">
        <v>1469</v>
      </c>
    </row>
    <row r="404" customFormat="false" ht="247.75" hidden="false" customHeight="false" outlineLevel="0" collapsed="false">
      <c r="A404" s="6" t="s">
        <v>1011</v>
      </c>
      <c r="B404" s="6" t="s">
        <v>104</v>
      </c>
      <c r="C404" s="6" t="s">
        <v>1427</v>
      </c>
      <c r="D404" s="6" t="s">
        <v>1428</v>
      </c>
    </row>
    <row r="405" customFormat="false" ht="35.05" hidden="false" customHeight="false" outlineLevel="0" collapsed="false">
      <c r="A405" s="6" t="s">
        <v>328</v>
      </c>
      <c r="B405" s="6" t="s">
        <v>114</v>
      </c>
      <c r="C405" s="6" t="s">
        <v>1415</v>
      </c>
      <c r="D405" s="6" t="s">
        <v>1659</v>
      </c>
    </row>
    <row r="406" customFormat="false" ht="46.25" hidden="false" customHeight="false" outlineLevel="0" collapsed="false">
      <c r="A406" s="6" t="s">
        <v>328</v>
      </c>
      <c r="B406" s="6" t="s">
        <v>114</v>
      </c>
      <c r="C406" s="6" t="s">
        <v>1415</v>
      </c>
      <c r="D406" s="6" t="s">
        <v>1660</v>
      </c>
    </row>
    <row r="407" customFormat="false" ht="46.25" hidden="false" customHeight="false" outlineLevel="0" collapsed="false">
      <c r="A407" s="6" t="s">
        <v>328</v>
      </c>
      <c r="B407" s="6" t="s">
        <v>156</v>
      </c>
      <c r="C407" s="6" t="s">
        <v>1415</v>
      </c>
      <c r="D407" s="6" t="s">
        <v>342</v>
      </c>
    </row>
    <row r="408" customFormat="false" ht="23.85" hidden="false" customHeight="false" outlineLevel="0" collapsed="false">
      <c r="A408" s="6" t="s">
        <v>328</v>
      </c>
      <c r="B408" s="6" t="s">
        <v>265</v>
      </c>
      <c r="C408" s="6" t="s">
        <v>1545</v>
      </c>
      <c r="D408" s="6" t="s">
        <v>1546</v>
      </c>
    </row>
    <row r="409" customFormat="false" ht="35.05" hidden="false" customHeight="false" outlineLevel="0" collapsed="false">
      <c r="A409" s="6" t="s">
        <v>328</v>
      </c>
      <c r="B409" s="6" t="s">
        <v>95</v>
      </c>
      <c r="C409" s="6" t="s">
        <v>1415</v>
      </c>
      <c r="D409" s="6" t="s">
        <v>96</v>
      </c>
    </row>
    <row r="410" customFormat="false" ht="35.05" hidden="false" customHeight="false" outlineLevel="0" collapsed="false">
      <c r="A410" s="6" t="s">
        <v>328</v>
      </c>
      <c r="B410" s="6" t="s">
        <v>95</v>
      </c>
      <c r="C410" s="6" t="s">
        <v>1415</v>
      </c>
      <c r="D410" s="6" t="s">
        <v>1426</v>
      </c>
    </row>
    <row r="411" customFormat="false" ht="23.85" hidden="false" customHeight="false" outlineLevel="0" collapsed="false">
      <c r="A411" s="6" t="s">
        <v>328</v>
      </c>
      <c r="B411" s="6" t="s">
        <v>95</v>
      </c>
      <c r="C411" s="6" t="s">
        <v>1415</v>
      </c>
      <c r="D411" s="6" t="s">
        <v>123</v>
      </c>
    </row>
    <row r="412" customFormat="false" ht="135.8" hidden="false" customHeight="false" outlineLevel="0" collapsed="false">
      <c r="A412" s="6" t="s">
        <v>387</v>
      </c>
      <c r="B412" s="6" t="s">
        <v>393</v>
      </c>
      <c r="C412" s="6" t="s">
        <v>1661</v>
      </c>
      <c r="D412" s="6" t="s">
        <v>1662</v>
      </c>
    </row>
    <row r="413" customFormat="false" ht="15" hidden="false" customHeight="false" outlineLevel="0" collapsed="false">
      <c r="A413" s="6" t="s">
        <v>845</v>
      </c>
      <c r="B413" s="6" t="s">
        <v>378</v>
      </c>
      <c r="C413" s="6" t="s">
        <v>1415</v>
      </c>
      <c r="D413" s="6" t="s">
        <v>1628</v>
      </c>
    </row>
    <row r="414" customFormat="false" ht="15" hidden="false" customHeight="false" outlineLevel="0" collapsed="false">
      <c r="A414" s="6" t="s">
        <v>845</v>
      </c>
      <c r="B414" s="6" t="s">
        <v>378</v>
      </c>
      <c r="C414" s="6" t="s">
        <v>1415</v>
      </c>
      <c r="D414" s="6" t="s">
        <v>1629</v>
      </c>
    </row>
    <row r="415" customFormat="false" ht="23.85" hidden="false" customHeight="false" outlineLevel="0" collapsed="false">
      <c r="A415" s="6" t="s">
        <v>845</v>
      </c>
      <c r="B415" s="6" t="s">
        <v>378</v>
      </c>
      <c r="C415" s="6" t="s">
        <v>1415</v>
      </c>
      <c r="D415" s="6" t="s">
        <v>1663</v>
      </c>
    </row>
    <row r="416" customFormat="false" ht="23.85" hidden="false" customHeight="false" outlineLevel="0" collapsed="false">
      <c r="A416" s="6" t="s">
        <v>845</v>
      </c>
      <c r="B416" s="6" t="s">
        <v>378</v>
      </c>
      <c r="C416" s="6" t="s">
        <v>1415</v>
      </c>
      <c r="D416" s="6" t="s">
        <v>1630</v>
      </c>
    </row>
    <row r="417" customFormat="false" ht="35.05" hidden="false" customHeight="false" outlineLevel="0" collapsed="false">
      <c r="A417" s="6" t="s">
        <v>845</v>
      </c>
      <c r="B417" s="6" t="s">
        <v>378</v>
      </c>
      <c r="C417" s="6" t="s">
        <v>1415</v>
      </c>
      <c r="D417" s="6" t="s">
        <v>864</v>
      </c>
    </row>
    <row r="418" customFormat="false" ht="35.05" hidden="false" customHeight="false" outlineLevel="0" collapsed="false">
      <c r="A418" s="6" t="s">
        <v>845</v>
      </c>
      <c r="B418" s="6" t="s">
        <v>265</v>
      </c>
      <c r="C418" s="6" t="s">
        <v>1415</v>
      </c>
      <c r="D418" s="6" t="s">
        <v>438</v>
      </c>
    </row>
    <row r="419" customFormat="false" ht="35.05" hidden="false" customHeight="false" outlineLevel="0" collapsed="false">
      <c r="A419" s="6" t="s">
        <v>845</v>
      </c>
      <c r="B419" s="6" t="s">
        <v>138</v>
      </c>
      <c r="C419" s="6" t="s">
        <v>1415</v>
      </c>
      <c r="D419" s="6" t="s">
        <v>1664</v>
      </c>
    </row>
    <row r="420" customFormat="false" ht="15" hidden="false" customHeight="false" outlineLevel="0" collapsed="false">
      <c r="A420" s="6" t="s">
        <v>845</v>
      </c>
      <c r="B420" s="6" t="s">
        <v>138</v>
      </c>
      <c r="C420" s="6" t="s">
        <v>1415</v>
      </c>
      <c r="D420" s="6" t="s">
        <v>1665</v>
      </c>
    </row>
    <row r="421" customFormat="false" ht="23.85" hidden="false" customHeight="false" outlineLevel="0" collapsed="false">
      <c r="A421" s="6" t="s">
        <v>845</v>
      </c>
      <c r="B421" s="6" t="s">
        <v>95</v>
      </c>
      <c r="C421" s="6" t="s">
        <v>1415</v>
      </c>
      <c r="D421" s="6" t="s">
        <v>1666</v>
      </c>
    </row>
    <row r="422" customFormat="false" ht="23.85" hidden="false" customHeight="false" outlineLevel="0" collapsed="false">
      <c r="A422" s="6" t="s">
        <v>845</v>
      </c>
      <c r="B422" s="6" t="s">
        <v>95</v>
      </c>
      <c r="C422" s="6" t="s">
        <v>1415</v>
      </c>
      <c r="D422" s="6" t="s">
        <v>850</v>
      </c>
    </row>
    <row r="423" customFormat="false" ht="23.85" hidden="false" customHeight="false" outlineLevel="0" collapsed="false">
      <c r="A423" s="6" t="s">
        <v>951</v>
      </c>
      <c r="B423" s="6" t="s">
        <v>224</v>
      </c>
      <c r="C423" s="6" t="s">
        <v>1415</v>
      </c>
      <c r="D423" s="6" t="s">
        <v>1611</v>
      </c>
    </row>
    <row r="424" customFormat="false" ht="23.85" hidden="false" customHeight="false" outlineLevel="0" collapsed="false">
      <c r="A424" s="6" t="s">
        <v>951</v>
      </c>
      <c r="B424" s="6" t="s">
        <v>70</v>
      </c>
      <c r="C424" s="6" t="s">
        <v>1415</v>
      </c>
      <c r="D424" s="6" t="s">
        <v>1655</v>
      </c>
    </row>
    <row r="425" customFormat="false" ht="35.05" hidden="false" customHeight="false" outlineLevel="0" collapsed="false">
      <c r="A425" s="6" t="s">
        <v>951</v>
      </c>
      <c r="B425" s="6" t="s">
        <v>95</v>
      </c>
      <c r="C425" s="6" t="s">
        <v>1415</v>
      </c>
      <c r="D425" s="6" t="s">
        <v>950</v>
      </c>
    </row>
    <row r="426" customFormat="false" ht="46.25" hidden="false" customHeight="false" outlineLevel="0" collapsed="false">
      <c r="A426" s="6" t="s">
        <v>951</v>
      </c>
      <c r="B426" s="6" t="s">
        <v>95</v>
      </c>
      <c r="C426" s="6" t="s">
        <v>1415</v>
      </c>
      <c r="D426" s="6" t="s">
        <v>1667</v>
      </c>
    </row>
    <row r="427" customFormat="false" ht="15" hidden="false" customHeight="false" outlineLevel="0" collapsed="false">
      <c r="A427" s="6" t="s">
        <v>951</v>
      </c>
      <c r="B427" s="6" t="s">
        <v>104</v>
      </c>
      <c r="C427" s="6" t="s">
        <v>1415</v>
      </c>
      <c r="D427" s="6" t="s">
        <v>1467</v>
      </c>
    </row>
    <row r="428" customFormat="false" ht="35.05" hidden="false" customHeight="false" outlineLevel="0" collapsed="false">
      <c r="A428" s="6" t="s">
        <v>951</v>
      </c>
      <c r="B428" s="6" t="s">
        <v>104</v>
      </c>
      <c r="C428" s="6" t="s">
        <v>1415</v>
      </c>
      <c r="D428" s="6" t="s">
        <v>233</v>
      </c>
    </row>
    <row r="429" customFormat="false" ht="35.05" hidden="false" customHeight="false" outlineLevel="0" collapsed="false">
      <c r="A429" s="6" t="s">
        <v>335</v>
      </c>
      <c r="B429" s="6" t="s">
        <v>114</v>
      </c>
      <c r="C429" s="6" t="s">
        <v>1415</v>
      </c>
      <c r="D429" s="6" t="s">
        <v>1659</v>
      </c>
    </row>
    <row r="430" customFormat="false" ht="46.25" hidden="false" customHeight="false" outlineLevel="0" collapsed="false">
      <c r="A430" s="6" t="s">
        <v>335</v>
      </c>
      <c r="B430" s="6" t="s">
        <v>114</v>
      </c>
      <c r="C430" s="6" t="s">
        <v>1415</v>
      </c>
      <c r="D430" s="6" t="s">
        <v>1660</v>
      </c>
    </row>
    <row r="431" customFormat="false" ht="46.25" hidden="false" customHeight="false" outlineLevel="0" collapsed="false">
      <c r="A431" s="6" t="s">
        <v>335</v>
      </c>
      <c r="B431" s="6" t="s">
        <v>156</v>
      </c>
      <c r="C431" s="6" t="s">
        <v>1415</v>
      </c>
      <c r="D431" s="6" t="s">
        <v>342</v>
      </c>
    </row>
    <row r="432" customFormat="false" ht="23.85" hidden="false" customHeight="false" outlineLevel="0" collapsed="false">
      <c r="A432" s="6" t="s">
        <v>335</v>
      </c>
      <c r="B432" s="6" t="s">
        <v>265</v>
      </c>
      <c r="C432" s="6" t="s">
        <v>1545</v>
      </c>
      <c r="D432" s="6" t="s">
        <v>1546</v>
      </c>
    </row>
    <row r="433" customFormat="false" ht="23.85" hidden="false" customHeight="false" outlineLevel="0" collapsed="false">
      <c r="A433" s="6" t="s">
        <v>80</v>
      </c>
      <c r="B433" s="6" t="s">
        <v>69</v>
      </c>
      <c r="C433" s="6" t="s">
        <v>1415</v>
      </c>
      <c r="D433" s="6" t="s">
        <v>1429</v>
      </c>
    </row>
    <row r="434" customFormat="false" ht="35.05" hidden="false" customHeight="false" outlineLevel="0" collapsed="false">
      <c r="A434" s="6" t="s">
        <v>80</v>
      </c>
      <c r="B434" s="6" t="s">
        <v>69</v>
      </c>
      <c r="C434" s="6" t="s">
        <v>1415</v>
      </c>
      <c r="D434" s="6" t="s">
        <v>1668</v>
      </c>
    </row>
    <row r="435" customFormat="false" ht="35.05" hidden="false" customHeight="false" outlineLevel="0" collapsed="false">
      <c r="A435" s="6" t="s">
        <v>80</v>
      </c>
      <c r="B435" s="6" t="s">
        <v>69</v>
      </c>
      <c r="C435" s="6" t="s">
        <v>1415</v>
      </c>
      <c r="D435" s="6" t="s">
        <v>1669</v>
      </c>
    </row>
    <row r="436" customFormat="false" ht="23.85" hidden="false" customHeight="false" outlineLevel="0" collapsed="false">
      <c r="A436" s="6" t="s">
        <v>80</v>
      </c>
      <c r="B436" s="6" t="s">
        <v>69</v>
      </c>
      <c r="C436" s="6" t="s">
        <v>1415</v>
      </c>
      <c r="D436" s="6" t="s">
        <v>1670</v>
      </c>
    </row>
    <row r="437" customFormat="false" ht="46.25" hidden="false" customHeight="false" outlineLevel="0" collapsed="false">
      <c r="A437" s="6" t="s">
        <v>80</v>
      </c>
      <c r="B437" s="6" t="s">
        <v>69</v>
      </c>
      <c r="C437" s="6" t="s">
        <v>1415</v>
      </c>
      <c r="D437" s="6" t="s">
        <v>1671</v>
      </c>
    </row>
    <row r="438" customFormat="false" ht="23.85" hidden="false" customHeight="false" outlineLevel="0" collapsed="false">
      <c r="A438" s="6" t="s">
        <v>80</v>
      </c>
      <c r="B438" s="6" t="s">
        <v>114</v>
      </c>
      <c r="C438" s="6" t="s">
        <v>1415</v>
      </c>
      <c r="D438" s="6" t="s">
        <v>1672</v>
      </c>
    </row>
    <row r="439" customFormat="false" ht="35.05" hidden="false" customHeight="false" outlineLevel="0" collapsed="false">
      <c r="A439" s="6" t="s">
        <v>80</v>
      </c>
      <c r="B439" s="6" t="s">
        <v>114</v>
      </c>
      <c r="C439" s="6" t="s">
        <v>1415</v>
      </c>
      <c r="D439" s="6" t="s">
        <v>1477</v>
      </c>
    </row>
    <row r="440" customFormat="false" ht="23.85" hidden="false" customHeight="false" outlineLevel="0" collapsed="false">
      <c r="A440" s="6" t="s">
        <v>80</v>
      </c>
      <c r="B440" s="6" t="s">
        <v>114</v>
      </c>
      <c r="C440" s="6" t="s">
        <v>1415</v>
      </c>
      <c r="D440" s="6" t="s">
        <v>1568</v>
      </c>
    </row>
    <row r="441" customFormat="false" ht="46.25" hidden="false" customHeight="false" outlineLevel="0" collapsed="false">
      <c r="A441" s="6" t="s">
        <v>80</v>
      </c>
      <c r="B441" s="6" t="s">
        <v>114</v>
      </c>
      <c r="C441" s="6" t="s">
        <v>1415</v>
      </c>
      <c r="D441" s="6" t="s">
        <v>1486</v>
      </c>
    </row>
    <row r="442" customFormat="false" ht="46.25" hidden="false" customHeight="false" outlineLevel="0" collapsed="false">
      <c r="A442" s="6" t="s">
        <v>80</v>
      </c>
      <c r="B442" s="6" t="s">
        <v>131</v>
      </c>
      <c r="C442" s="6" t="s">
        <v>1415</v>
      </c>
      <c r="D442" s="6" t="s">
        <v>1499</v>
      </c>
    </row>
    <row r="443" customFormat="false" ht="23.85" hidden="false" customHeight="false" outlineLevel="0" collapsed="false">
      <c r="A443" s="6" t="s">
        <v>80</v>
      </c>
      <c r="B443" s="6" t="s">
        <v>131</v>
      </c>
      <c r="C443" s="6" t="s">
        <v>1415</v>
      </c>
      <c r="D443" s="6" t="s">
        <v>1500</v>
      </c>
    </row>
    <row r="444" customFormat="false" ht="23.85" hidden="false" customHeight="false" outlineLevel="0" collapsed="false">
      <c r="A444" s="6" t="s">
        <v>80</v>
      </c>
      <c r="B444" s="6" t="s">
        <v>131</v>
      </c>
      <c r="C444" s="6" t="s">
        <v>1415</v>
      </c>
      <c r="D444" s="6" t="s">
        <v>1673</v>
      </c>
    </row>
    <row r="445" customFormat="false" ht="23.85" hidden="false" customHeight="false" outlineLevel="0" collapsed="false">
      <c r="A445" s="6" t="s">
        <v>80</v>
      </c>
      <c r="B445" s="6" t="s">
        <v>131</v>
      </c>
      <c r="C445" s="6" t="s">
        <v>1415</v>
      </c>
      <c r="D445" s="6" t="s">
        <v>1674</v>
      </c>
    </row>
    <row r="446" customFormat="false" ht="35.05" hidden="false" customHeight="false" outlineLevel="0" collapsed="false">
      <c r="A446" s="6" t="s">
        <v>80</v>
      </c>
      <c r="B446" s="6" t="s">
        <v>131</v>
      </c>
      <c r="C446" s="6" t="s">
        <v>1415</v>
      </c>
      <c r="D446" s="6" t="s">
        <v>1675</v>
      </c>
    </row>
    <row r="447" customFormat="false" ht="35.05" hidden="false" customHeight="false" outlineLevel="0" collapsed="false">
      <c r="A447" s="6" t="s">
        <v>80</v>
      </c>
      <c r="B447" s="6" t="s">
        <v>131</v>
      </c>
      <c r="C447" s="6" t="s">
        <v>1415</v>
      </c>
      <c r="D447" s="6" t="s">
        <v>1676</v>
      </c>
    </row>
    <row r="448" customFormat="false" ht="15" hidden="false" customHeight="false" outlineLevel="0" collapsed="false">
      <c r="A448" s="6" t="s">
        <v>80</v>
      </c>
      <c r="B448" s="6" t="s">
        <v>296</v>
      </c>
      <c r="C448" s="6" t="s">
        <v>1415</v>
      </c>
      <c r="D448" s="6" t="s">
        <v>1677</v>
      </c>
    </row>
    <row r="449" customFormat="false" ht="23.85" hidden="false" customHeight="false" outlineLevel="0" collapsed="false">
      <c r="A449" s="6" t="s">
        <v>80</v>
      </c>
      <c r="B449" s="6" t="s">
        <v>296</v>
      </c>
      <c r="C449" s="6" t="s">
        <v>1415</v>
      </c>
      <c r="D449" s="6" t="s">
        <v>1678</v>
      </c>
    </row>
    <row r="450" customFormat="false" ht="46.25" hidden="false" customHeight="false" outlineLevel="0" collapsed="false">
      <c r="A450" s="6" t="s">
        <v>80</v>
      </c>
      <c r="B450" s="6" t="s">
        <v>296</v>
      </c>
      <c r="C450" s="6" t="s">
        <v>1415</v>
      </c>
      <c r="D450" s="6" t="s">
        <v>1679</v>
      </c>
    </row>
    <row r="451" customFormat="false" ht="23.85" hidden="false" customHeight="false" outlineLevel="0" collapsed="false">
      <c r="A451" s="6" t="s">
        <v>80</v>
      </c>
      <c r="B451" s="6" t="s">
        <v>296</v>
      </c>
      <c r="C451" s="6" t="s">
        <v>1415</v>
      </c>
      <c r="D451" s="6" t="s">
        <v>1680</v>
      </c>
    </row>
    <row r="452" customFormat="false" ht="23.85" hidden="false" customHeight="false" outlineLevel="0" collapsed="false">
      <c r="A452" s="6" t="s">
        <v>80</v>
      </c>
      <c r="B452" s="6" t="s">
        <v>224</v>
      </c>
      <c r="C452" s="6" t="s">
        <v>1415</v>
      </c>
      <c r="D452" s="6" t="s">
        <v>1653</v>
      </c>
    </row>
    <row r="453" customFormat="false" ht="15" hidden="false" customHeight="false" outlineLevel="0" collapsed="false">
      <c r="A453" s="6" t="s">
        <v>80</v>
      </c>
      <c r="B453" s="6" t="s">
        <v>138</v>
      </c>
      <c r="C453" s="6" t="s">
        <v>1415</v>
      </c>
      <c r="D453" s="6" t="s">
        <v>1504</v>
      </c>
    </row>
    <row r="454" customFormat="false" ht="15" hidden="false" customHeight="false" outlineLevel="0" collapsed="false">
      <c r="A454" s="6" t="s">
        <v>80</v>
      </c>
      <c r="B454" s="6" t="s">
        <v>138</v>
      </c>
      <c r="C454" s="6" t="s">
        <v>1415</v>
      </c>
      <c r="D454" s="6" t="s">
        <v>1681</v>
      </c>
    </row>
    <row r="455" customFormat="false" ht="23.85" hidden="false" customHeight="false" outlineLevel="0" collapsed="false">
      <c r="A455" s="6" t="s">
        <v>80</v>
      </c>
      <c r="B455" s="6" t="s">
        <v>138</v>
      </c>
      <c r="C455" s="6" t="s">
        <v>1415</v>
      </c>
      <c r="D455" s="6" t="s">
        <v>1682</v>
      </c>
    </row>
    <row r="456" customFormat="false" ht="15" hidden="false" customHeight="false" outlineLevel="0" collapsed="false">
      <c r="A456" s="6" t="s">
        <v>80</v>
      </c>
      <c r="B456" s="6" t="s">
        <v>70</v>
      </c>
      <c r="C456" s="6" t="s">
        <v>1415</v>
      </c>
      <c r="D456" s="6" t="s">
        <v>1683</v>
      </c>
    </row>
    <row r="457" customFormat="false" ht="23.85" hidden="false" customHeight="false" outlineLevel="0" collapsed="false">
      <c r="A457" s="6" t="s">
        <v>80</v>
      </c>
      <c r="B457" s="6" t="s">
        <v>70</v>
      </c>
      <c r="C457" s="6" t="s">
        <v>1415</v>
      </c>
      <c r="D457" s="6" t="s">
        <v>1684</v>
      </c>
    </row>
    <row r="458" customFormat="false" ht="35.05" hidden="false" customHeight="false" outlineLevel="0" collapsed="false">
      <c r="A458" s="6" t="s">
        <v>80</v>
      </c>
      <c r="B458" s="6" t="s">
        <v>70</v>
      </c>
      <c r="C458" s="6" t="s">
        <v>1415</v>
      </c>
      <c r="D458" s="6" t="s">
        <v>87</v>
      </c>
    </row>
    <row r="459" customFormat="false" ht="23.85" hidden="false" customHeight="false" outlineLevel="0" collapsed="false">
      <c r="A459" s="6" t="s">
        <v>678</v>
      </c>
      <c r="B459" s="6" t="s">
        <v>138</v>
      </c>
      <c r="C459" s="6" t="s">
        <v>1415</v>
      </c>
      <c r="D459" s="6" t="s">
        <v>1685</v>
      </c>
    </row>
    <row r="460" customFormat="false" ht="46.25" hidden="false" customHeight="false" outlineLevel="0" collapsed="false">
      <c r="A460" s="6" t="s">
        <v>678</v>
      </c>
      <c r="B460" s="6" t="s">
        <v>95</v>
      </c>
      <c r="C460" s="6" t="s">
        <v>1415</v>
      </c>
      <c r="D460" s="6" t="s">
        <v>1686</v>
      </c>
    </row>
    <row r="461" customFormat="false" ht="15" hidden="false" customHeight="false" outlineLevel="0" collapsed="false">
      <c r="A461" s="6" t="s">
        <v>678</v>
      </c>
      <c r="B461" s="6" t="s">
        <v>95</v>
      </c>
      <c r="C461" s="6" t="s">
        <v>1415</v>
      </c>
      <c r="D461" s="6" t="s">
        <v>1687</v>
      </c>
    </row>
    <row r="462" customFormat="false" ht="15" hidden="false" customHeight="false" outlineLevel="0" collapsed="false">
      <c r="A462" s="6" t="s">
        <v>678</v>
      </c>
      <c r="B462" s="6" t="s">
        <v>95</v>
      </c>
      <c r="C462" s="6" t="s">
        <v>1415</v>
      </c>
      <c r="D462" s="6" t="s">
        <v>1688</v>
      </c>
    </row>
    <row r="463" customFormat="false" ht="35.05" hidden="false" customHeight="false" outlineLevel="0" collapsed="false">
      <c r="A463" s="6" t="s">
        <v>678</v>
      </c>
      <c r="B463" s="6" t="s">
        <v>95</v>
      </c>
      <c r="C463" s="6" t="s">
        <v>1415</v>
      </c>
      <c r="D463" s="6" t="s">
        <v>683</v>
      </c>
    </row>
    <row r="464" customFormat="false" ht="57.45" hidden="false" customHeight="false" outlineLevel="0" collapsed="false">
      <c r="A464" s="6" t="s">
        <v>795</v>
      </c>
      <c r="B464" s="6" t="s">
        <v>131</v>
      </c>
      <c r="C464" s="6" t="s">
        <v>1415</v>
      </c>
      <c r="D464" s="6" t="s">
        <v>1689</v>
      </c>
    </row>
    <row r="465" customFormat="false" ht="35.05" hidden="false" customHeight="false" outlineLevel="0" collapsed="false">
      <c r="A465" s="6" t="s">
        <v>795</v>
      </c>
      <c r="B465" s="6" t="s">
        <v>378</v>
      </c>
      <c r="C465" s="6" t="s">
        <v>1415</v>
      </c>
      <c r="D465" s="6" t="s">
        <v>1051</v>
      </c>
    </row>
    <row r="466" customFormat="false" ht="23.85" hidden="false" customHeight="false" outlineLevel="0" collapsed="false">
      <c r="A466" s="6" t="s">
        <v>795</v>
      </c>
      <c r="B466" s="6" t="s">
        <v>265</v>
      </c>
      <c r="C466" s="6" t="s">
        <v>1415</v>
      </c>
      <c r="D466" s="6" t="s">
        <v>1690</v>
      </c>
    </row>
    <row r="467" customFormat="false" ht="15" hidden="false" customHeight="false" outlineLevel="0" collapsed="false">
      <c r="A467" s="6" t="s">
        <v>795</v>
      </c>
      <c r="B467" s="6" t="s">
        <v>104</v>
      </c>
      <c r="C467" s="6" t="s">
        <v>1415</v>
      </c>
      <c r="D467" s="6" t="s">
        <v>1691</v>
      </c>
    </row>
    <row r="468" customFormat="false" ht="35.05" hidden="false" customHeight="false" outlineLevel="0" collapsed="false">
      <c r="A468" s="6" t="s">
        <v>795</v>
      </c>
      <c r="B468" s="6" t="s">
        <v>104</v>
      </c>
      <c r="C468" s="6" t="s">
        <v>1415</v>
      </c>
      <c r="D468" s="6" t="s">
        <v>1692</v>
      </c>
    </row>
    <row r="469" customFormat="false" ht="23.85" hidden="false" customHeight="false" outlineLevel="0" collapsed="false">
      <c r="A469" s="6" t="s">
        <v>795</v>
      </c>
      <c r="B469" s="6" t="s">
        <v>104</v>
      </c>
      <c r="C469" s="6" t="s">
        <v>1415</v>
      </c>
      <c r="D469" s="6" t="s">
        <v>1693</v>
      </c>
    </row>
    <row r="470" customFormat="false" ht="35.05" hidden="false" customHeight="false" outlineLevel="0" collapsed="false">
      <c r="A470" s="6" t="s">
        <v>795</v>
      </c>
      <c r="B470" s="6" t="s">
        <v>104</v>
      </c>
      <c r="C470" s="6" t="s">
        <v>1415</v>
      </c>
      <c r="D470" s="6" t="s">
        <v>1694</v>
      </c>
    </row>
    <row r="471" customFormat="false" ht="23.85" hidden="false" customHeight="false" outlineLevel="0" collapsed="false">
      <c r="A471" s="6" t="s">
        <v>795</v>
      </c>
      <c r="B471" s="6" t="s">
        <v>104</v>
      </c>
      <c r="C471" s="6" t="s">
        <v>1415</v>
      </c>
      <c r="D471" s="6" t="s">
        <v>801</v>
      </c>
    </row>
    <row r="472" customFormat="false" ht="35.05" hidden="false" customHeight="false" outlineLevel="0" collapsed="false">
      <c r="A472" s="6" t="s">
        <v>795</v>
      </c>
      <c r="B472" s="6" t="s">
        <v>147</v>
      </c>
      <c r="C472" s="6" t="s">
        <v>1695</v>
      </c>
      <c r="D472" s="6" t="s">
        <v>1696</v>
      </c>
    </row>
    <row r="473" customFormat="false" ht="23.85" hidden="false" customHeight="false" outlineLevel="0" collapsed="false">
      <c r="A473" s="6" t="s">
        <v>795</v>
      </c>
      <c r="B473" s="6" t="s">
        <v>147</v>
      </c>
      <c r="C473" s="6" t="s">
        <v>1697</v>
      </c>
      <c r="D473" s="6" t="s">
        <v>1698</v>
      </c>
    </row>
    <row r="474" customFormat="false" ht="23.85" hidden="false" customHeight="false" outlineLevel="0" collapsed="false">
      <c r="A474" s="6" t="s">
        <v>741</v>
      </c>
      <c r="B474" s="6" t="s">
        <v>378</v>
      </c>
      <c r="C474" s="6" t="s">
        <v>1415</v>
      </c>
      <c r="D474" s="6" t="s">
        <v>1643</v>
      </c>
    </row>
    <row r="475" customFormat="false" ht="15" hidden="false" customHeight="false" outlineLevel="0" collapsed="false">
      <c r="A475" s="6" t="s">
        <v>741</v>
      </c>
      <c r="B475" s="6" t="s">
        <v>378</v>
      </c>
      <c r="C475" s="6" t="s">
        <v>1415</v>
      </c>
      <c r="D475" s="6" t="s">
        <v>1644</v>
      </c>
    </row>
    <row r="476" customFormat="false" ht="15" hidden="false" customHeight="false" outlineLevel="0" collapsed="false">
      <c r="A476" s="6" t="s">
        <v>741</v>
      </c>
      <c r="B476" s="6" t="s">
        <v>378</v>
      </c>
      <c r="C476" s="6" t="s">
        <v>1415</v>
      </c>
      <c r="D476" s="6" t="s">
        <v>1699</v>
      </c>
    </row>
    <row r="477" customFormat="false" ht="35.05" hidden="false" customHeight="false" outlineLevel="0" collapsed="false">
      <c r="A477" s="6" t="s">
        <v>741</v>
      </c>
      <c r="B477" s="6" t="s">
        <v>378</v>
      </c>
      <c r="C477" s="6" t="s">
        <v>1415</v>
      </c>
      <c r="D477" s="6" t="s">
        <v>1646</v>
      </c>
    </row>
    <row r="478" customFormat="false" ht="46.25" hidden="false" customHeight="false" outlineLevel="0" collapsed="false">
      <c r="A478" s="6" t="s">
        <v>741</v>
      </c>
      <c r="B478" s="6" t="s">
        <v>378</v>
      </c>
      <c r="C478" s="6" t="s">
        <v>1415</v>
      </c>
      <c r="D478" s="6" t="s">
        <v>1647</v>
      </c>
    </row>
    <row r="479" customFormat="false" ht="23.85" hidden="false" customHeight="false" outlineLevel="0" collapsed="false">
      <c r="A479" s="6" t="s">
        <v>741</v>
      </c>
      <c r="B479" s="6" t="s">
        <v>378</v>
      </c>
      <c r="C479" s="6" t="s">
        <v>1415</v>
      </c>
      <c r="D479" s="6" t="s">
        <v>1645</v>
      </c>
    </row>
    <row r="480" customFormat="false" ht="23.85" hidden="false" customHeight="false" outlineLevel="0" collapsed="false">
      <c r="A480" s="6" t="s">
        <v>741</v>
      </c>
      <c r="B480" s="6" t="s">
        <v>224</v>
      </c>
      <c r="C480" s="6" t="s">
        <v>1415</v>
      </c>
      <c r="D480" s="6" t="s">
        <v>747</v>
      </c>
    </row>
    <row r="481" customFormat="false" ht="23.85" hidden="false" customHeight="false" outlineLevel="0" collapsed="false">
      <c r="A481" s="6" t="s">
        <v>741</v>
      </c>
      <c r="B481" s="6" t="s">
        <v>265</v>
      </c>
      <c r="C481" s="6" t="s">
        <v>1545</v>
      </c>
      <c r="D481" s="6" t="s">
        <v>1546</v>
      </c>
    </row>
    <row r="482" customFormat="false" ht="23.85" hidden="false" customHeight="false" outlineLevel="0" collapsed="false">
      <c r="A482" s="6" t="s">
        <v>741</v>
      </c>
      <c r="B482" s="6" t="s">
        <v>138</v>
      </c>
      <c r="C482" s="6" t="s">
        <v>1457</v>
      </c>
      <c r="D482" s="6" t="s">
        <v>1458</v>
      </c>
    </row>
    <row r="483" customFormat="false" ht="35.05" hidden="false" customHeight="false" outlineLevel="0" collapsed="false">
      <c r="A483" s="6" t="s">
        <v>958</v>
      </c>
      <c r="B483" s="6" t="s">
        <v>138</v>
      </c>
      <c r="C483" s="6" t="s">
        <v>1415</v>
      </c>
      <c r="D483" s="6" t="s">
        <v>1700</v>
      </c>
    </row>
    <row r="484" customFormat="false" ht="15" hidden="false" customHeight="false" outlineLevel="0" collapsed="false">
      <c r="A484" s="6" t="s">
        <v>958</v>
      </c>
      <c r="B484" s="6" t="s">
        <v>138</v>
      </c>
      <c r="C484" s="6" t="s">
        <v>1415</v>
      </c>
      <c r="D484" s="6" t="s">
        <v>1701</v>
      </c>
    </row>
    <row r="485" customFormat="false" ht="35.05" hidden="false" customHeight="false" outlineLevel="0" collapsed="false">
      <c r="A485" s="6" t="s">
        <v>958</v>
      </c>
      <c r="B485" s="6" t="s">
        <v>95</v>
      </c>
      <c r="C485" s="6" t="s">
        <v>1415</v>
      </c>
      <c r="D485" s="6" t="s">
        <v>950</v>
      </c>
    </row>
    <row r="486" customFormat="false" ht="15" hidden="false" customHeight="false" outlineLevel="0" collapsed="false">
      <c r="A486" s="6" t="s">
        <v>958</v>
      </c>
      <c r="B486" s="6" t="s">
        <v>95</v>
      </c>
      <c r="C486" s="6" t="s">
        <v>1415</v>
      </c>
      <c r="D486" s="6" t="s">
        <v>1702</v>
      </c>
    </row>
    <row r="487" customFormat="false" ht="23.85" hidden="false" customHeight="false" outlineLevel="0" collapsed="false">
      <c r="A487" s="6" t="s">
        <v>958</v>
      </c>
      <c r="B487" s="6" t="s">
        <v>95</v>
      </c>
      <c r="C487" s="6" t="s">
        <v>1415</v>
      </c>
      <c r="D487" s="6" t="s">
        <v>1666</v>
      </c>
    </row>
    <row r="488" customFormat="false" ht="23.85" hidden="false" customHeight="false" outlineLevel="0" collapsed="false">
      <c r="A488" s="6" t="s">
        <v>748</v>
      </c>
      <c r="B488" s="6" t="s">
        <v>378</v>
      </c>
      <c r="C488" s="6" t="s">
        <v>1415</v>
      </c>
      <c r="D488" s="6" t="s">
        <v>1422</v>
      </c>
    </row>
    <row r="489" customFormat="false" ht="15" hidden="false" customHeight="false" outlineLevel="0" collapsed="false">
      <c r="A489" s="6" t="s">
        <v>748</v>
      </c>
      <c r="B489" s="6" t="s">
        <v>378</v>
      </c>
      <c r="C489" s="6" t="s">
        <v>1415</v>
      </c>
      <c r="D489" s="6" t="s">
        <v>1518</v>
      </c>
    </row>
    <row r="490" customFormat="false" ht="57.45" hidden="false" customHeight="false" outlineLevel="0" collapsed="false">
      <c r="A490" s="6" t="s">
        <v>748</v>
      </c>
      <c r="B490" s="6" t="s">
        <v>378</v>
      </c>
      <c r="C490" s="6" t="s">
        <v>1415</v>
      </c>
      <c r="D490" s="6" t="s">
        <v>923</v>
      </c>
    </row>
    <row r="491" customFormat="false" ht="35.05" hidden="false" customHeight="false" outlineLevel="0" collapsed="false">
      <c r="A491" s="6" t="s">
        <v>748</v>
      </c>
      <c r="B491" s="6" t="s">
        <v>378</v>
      </c>
      <c r="C491" s="6" t="s">
        <v>1415</v>
      </c>
      <c r="D491" s="6" t="s">
        <v>1519</v>
      </c>
    </row>
    <row r="492" customFormat="false" ht="23.85" hidden="false" customHeight="false" outlineLevel="0" collapsed="false">
      <c r="A492" s="6" t="s">
        <v>748</v>
      </c>
      <c r="B492" s="6" t="s">
        <v>378</v>
      </c>
      <c r="C492" s="6" t="s">
        <v>1415</v>
      </c>
      <c r="D492" s="6" t="s">
        <v>1520</v>
      </c>
    </row>
    <row r="493" customFormat="false" ht="35.05" hidden="false" customHeight="false" outlineLevel="0" collapsed="false">
      <c r="A493" s="6" t="s">
        <v>748</v>
      </c>
      <c r="B493" s="6" t="s">
        <v>104</v>
      </c>
      <c r="C493" s="6" t="s">
        <v>1415</v>
      </c>
      <c r="D493" s="6" t="s">
        <v>722</v>
      </c>
    </row>
    <row r="494" customFormat="false" ht="23.85" hidden="false" customHeight="false" outlineLevel="0" collapsed="false">
      <c r="A494" s="6" t="s">
        <v>547</v>
      </c>
      <c r="B494" s="6" t="s">
        <v>114</v>
      </c>
      <c r="C494" s="6" t="s">
        <v>1415</v>
      </c>
      <c r="D494" s="6" t="s">
        <v>416</v>
      </c>
    </row>
    <row r="495" customFormat="false" ht="15" hidden="false" customHeight="false" outlineLevel="0" collapsed="false">
      <c r="A495" s="6" t="s">
        <v>547</v>
      </c>
      <c r="B495" s="6" t="s">
        <v>114</v>
      </c>
      <c r="C495" s="6" t="s">
        <v>1415</v>
      </c>
      <c r="D495" s="6" t="s">
        <v>1606</v>
      </c>
    </row>
    <row r="496" customFormat="false" ht="23.85" hidden="false" customHeight="false" outlineLevel="0" collapsed="false">
      <c r="A496" s="6" t="s">
        <v>547</v>
      </c>
      <c r="B496" s="6" t="s">
        <v>114</v>
      </c>
      <c r="C496" s="6" t="s">
        <v>1415</v>
      </c>
      <c r="D496" s="6" t="s">
        <v>1607</v>
      </c>
    </row>
    <row r="497" customFormat="false" ht="15" hidden="false" customHeight="false" outlineLevel="0" collapsed="false">
      <c r="A497" s="6" t="s">
        <v>547</v>
      </c>
      <c r="B497" s="6" t="s">
        <v>138</v>
      </c>
      <c r="C497" s="6" t="s">
        <v>1415</v>
      </c>
      <c r="D497" s="6" t="s">
        <v>1703</v>
      </c>
    </row>
    <row r="498" customFormat="false" ht="46.25" hidden="false" customHeight="false" outlineLevel="0" collapsed="false">
      <c r="A498" s="6" t="s">
        <v>547</v>
      </c>
      <c r="B498" s="6" t="s">
        <v>70</v>
      </c>
      <c r="C498" s="6" t="s">
        <v>1415</v>
      </c>
      <c r="D498" s="6" t="s">
        <v>407</v>
      </c>
    </row>
    <row r="499" customFormat="false" ht="23.85" hidden="false" customHeight="false" outlineLevel="0" collapsed="false">
      <c r="A499" s="6" t="s">
        <v>547</v>
      </c>
      <c r="B499" s="6" t="s">
        <v>70</v>
      </c>
      <c r="C499" s="6" t="s">
        <v>1415</v>
      </c>
      <c r="D499" s="6" t="s">
        <v>1704</v>
      </c>
    </row>
    <row r="500" customFormat="false" ht="23.85" hidden="false" customHeight="false" outlineLevel="0" collapsed="false">
      <c r="A500" s="6" t="s">
        <v>547</v>
      </c>
      <c r="B500" s="6" t="s">
        <v>70</v>
      </c>
      <c r="C500" s="6" t="s">
        <v>1415</v>
      </c>
      <c r="D500" s="6" t="s">
        <v>1526</v>
      </c>
    </row>
    <row r="501" customFormat="false" ht="23.85" hidden="false" customHeight="false" outlineLevel="0" collapsed="false">
      <c r="A501" s="6" t="s">
        <v>547</v>
      </c>
      <c r="B501" s="6" t="s">
        <v>70</v>
      </c>
      <c r="C501" s="6" t="s">
        <v>1415</v>
      </c>
      <c r="D501" s="6" t="s">
        <v>554</v>
      </c>
    </row>
    <row r="502" customFormat="false" ht="23.85" hidden="false" customHeight="false" outlineLevel="0" collapsed="false">
      <c r="A502" s="6" t="s">
        <v>132</v>
      </c>
      <c r="B502" s="6" t="s">
        <v>114</v>
      </c>
      <c r="C502" s="6" t="s">
        <v>1415</v>
      </c>
      <c r="D502" s="6" t="s">
        <v>416</v>
      </c>
    </row>
    <row r="503" customFormat="false" ht="15" hidden="false" customHeight="false" outlineLevel="0" collapsed="false">
      <c r="A503" s="6" t="s">
        <v>132</v>
      </c>
      <c r="B503" s="6" t="s">
        <v>156</v>
      </c>
      <c r="C503" s="6" t="s">
        <v>1415</v>
      </c>
      <c r="D503" s="6" t="s">
        <v>1705</v>
      </c>
    </row>
    <row r="504" customFormat="false" ht="15" hidden="false" customHeight="false" outlineLevel="0" collapsed="false">
      <c r="A504" s="6" t="s">
        <v>132</v>
      </c>
      <c r="B504" s="6" t="s">
        <v>156</v>
      </c>
      <c r="C504" s="6" t="s">
        <v>1415</v>
      </c>
      <c r="D504" s="6" t="s">
        <v>1706</v>
      </c>
    </row>
    <row r="505" customFormat="false" ht="15" hidden="false" customHeight="false" outlineLevel="0" collapsed="false">
      <c r="A505" s="6" t="s">
        <v>132</v>
      </c>
      <c r="B505" s="6" t="s">
        <v>156</v>
      </c>
      <c r="C505" s="6" t="s">
        <v>1415</v>
      </c>
      <c r="D505" s="6" t="s">
        <v>1707</v>
      </c>
    </row>
    <row r="506" customFormat="false" ht="23.85" hidden="false" customHeight="false" outlineLevel="0" collapsed="false">
      <c r="A506" s="6" t="s">
        <v>132</v>
      </c>
      <c r="B506" s="6" t="s">
        <v>138</v>
      </c>
      <c r="C506" s="6" t="s">
        <v>1415</v>
      </c>
      <c r="D506" s="6" t="s">
        <v>139</v>
      </c>
    </row>
    <row r="507" customFormat="false" ht="23.85" hidden="false" customHeight="false" outlineLevel="0" collapsed="false">
      <c r="A507" s="6" t="s">
        <v>555</v>
      </c>
      <c r="B507" s="6" t="s">
        <v>69</v>
      </c>
      <c r="C507" s="6" t="s">
        <v>1415</v>
      </c>
      <c r="D507" s="6" t="s">
        <v>1571</v>
      </c>
    </row>
    <row r="508" customFormat="false" ht="35.05" hidden="false" customHeight="false" outlineLevel="0" collapsed="false">
      <c r="A508" s="6" t="s">
        <v>555</v>
      </c>
      <c r="B508" s="6" t="s">
        <v>69</v>
      </c>
      <c r="C508" s="6" t="s">
        <v>1415</v>
      </c>
      <c r="D508" s="6" t="s">
        <v>1708</v>
      </c>
    </row>
    <row r="509" customFormat="false" ht="46.25" hidden="false" customHeight="false" outlineLevel="0" collapsed="false">
      <c r="A509" s="6" t="s">
        <v>555</v>
      </c>
      <c r="B509" s="6" t="s">
        <v>69</v>
      </c>
      <c r="C509" s="6" t="s">
        <v>1415</v>
      </c>
      <c r="D509" s="6" t="s">
        <v>1671</v>
      </c>
    </row>
    <row r="510" customFormat="false" ht="35.05" hidden="false" customHeight="false" outlineLevel="0" collapsed="false">
      <c r="A510" s="6" t="s">
        <v>555</v>
      </c>
      <c r="B510" s="6" t="s">
        <v>69</v>
      </c>
      <c r="C510" s="6" t="s">
        <v>1415</v>
      </c>
      <c r="D510" s="6" t="s">
        <v>1709</v>
      </c>
    </row>
    <row r="511" customFormat="false" ht="23.85" hidden="false" customHeight="false" outlineLevel="0" collapsed="false">
      <c r="A511" s="6" t="s">
        <v>555</v>
      </c>
      <c r="B511" s="6" t="s">
        <v>114</v>
      </c>
      <c r="C511" s="6" t="s">
        <v>1415</v>
      </c>
      <c r="D511" s="6" t="s">
        <v>1710</v>
      </c>
    </row>
    <row r="512" customFormat="false" ht="23.85" hidden="false" customHeight="false" outlineLevel="0" collapsed="false">
      <c r="A512" s="6" t="s">
        <v>555</v>
      </c>
      <c r="B512" s="6" t="s">
        <v>114</v>
      </c>
      <c r="C512" s="6" t="s">
        <v>1415</v>
      </c>
      <c r="D512" s="6" t="s">
        <v>1711</v>
      </c>
    </row>
    <row r="513" customFormat="false" ht="23.85" hidden="false" customHeight="false" outlineLevel="0" collapsed="false">
      <c r="A513" s="6" t="s">
        <v>555</v>
      </c>
      <c r="B513" s="6" t="s">
        <v>114</v>
      </c>
      <c r="C513" s="6" t="s">
        <v>1415</v>
      </c>
      <c r="D513" s="6" t="s">
        <v>1712</v>
      </c>
    </row>
    <row r="514" customFormat="false" ht="15" hidden="false" customHeight="false" outlineLevel="0" collapsed="false">
      <c r="A514" s="6" t="s">
        <v>555</v>
      </c>
      <c r="B514" s="6" t="s">
        <v>156</v>
      </c>
      <c r="C514" s="6" t="s">
        <v>1415</v>
      </c>
      <c r="D514" s="6" t="s">
        <v>1713</v>
      </c>
    </row>
    <row r="515" customFormat="false" ht="35.05" hidden="false" customHeight="false" outlineLevel="0" collapsed="false">
      <c r="A515" s="6" t="s">
        <v>555</v>
      </c>
      <c r="B515" s="6" t="s">
        <v>156</v>
      </c>
      <c r="C515" s="6" t="s">
        <v>1415</v>
      </c>
      <c r="D515" s="6" t="s">
        <v>1590</v>
      </c>
    </row>
    <row r="516" customFormat="false" ht="23.85" hidden="false" customHeight="false" outlineLevel="0" collapsed="false">
      <c r="A516" s="6" t="s">
        <v>555</v>
      </c>
      <c r="B516" s="6" t="s">
        <v>156</v>
      </c>
      <c r="C516" s="6" t="s">
        <v>1415</v>
      </c>
      <c r="D516" s="6" t="s">
        <v>1591</v>
      </c>
    </row>
    <row r="517" customFormat="false" ht="23.85" hidden="false" customHeight="false" outlineLevel="0" collapsed="false">
      <c r="A517" s="6" t="s">
        <v>555</v>
      </c>
      <c r="B517" s="6" t="s">
        <v>156</v>
      </c>
      <c r="C517" s="6" t="s">
        <v>1415</v>
      </c>
      <c r="D517" s="6" t="s">
        <v>1592</v>
      </c>
    </row>
    <row r="518" customFormat="false" ht="46.25" hidden="false" customHeight="false" outlineLevel="0" collapsed="false">
      <c r="A518" s="6" t="s">
        <v>555</v>
      </c>
      <c r="B518" s="6" t="s">
        <v>131</v>
      </c>
      <c r="C518" s="6" t="s">
        <v>1415</v>
      </c>
      <c r="D518" s="6" t="s">
        <v>1714</v>
      </c>
    </row>
    <row r="519" customFormat="false" ht="23.85" hidden="false" customHeight="false" outlineLevel="0" collapsed="false">
      <c r="A519" s="6" t="s">
        <v>555</v>
      </c>
      <c r="B519" s="6" t="s">
        <v>131</v>
      </c>
      <c r="C519" s="6" t="s">
        <v>1415</v>
      </c>
      <c r="D519" s="6" t="s">
        <v>1715</v>
      </c>
    </row>
    <row r="520" customFormat="false" ht="46.25" hidden="false" customHeight="false" outlineLevel="0" collapsed="false">
      <c r="A520" s="6" t="s">
        <v>555</v>
      </c>
      <c r="B520" s="6" t="s">
        <v>131</v>
      </c>
      <c r="C520" s="6" t="s">
        <v>1415</v>
      </c>
      <c r="D520" s="6" t="s">
        <v>1716</v>
      </c>
    </row>
    <row r="521" customFormat="false" ht="23.85" hidden="false" customHeight="false" outlineLevel="0" collapsed="false">
      <c r="A521" s="6" t="s">
        <v>555</v>
      </c>
      <c r="B521" s="6" t="s">
        <v>70</v>
      </c>
      <c r="C521" s="6" t="s">
        <v>1415</v>
      </c>
      <c r="D521" s="6" t="s">
        <v>1704</v>
      </c>
    </row>
    <row r="522" customFormat="false" ht="23.85" hidden="false" customHeight="false" outlineLevel="0" collapsed="false">
      <c r="A522" s="6" t="s">
        <v>555</v>
      </c>
      <c r="B522" s="6" t="s">
        <v>70</v>
      </c>
      <c r="C522" s="6" t="s">
        <v>1415</v>
      </c>
      <c r="D522" s="6" t="s">
        <v>554</v>
      </c>
    </row>
    <row r="523" customFormat="false" ht="15" hidden="false" customHeight="false" outlineLevel="0" collapsed="false">
      <c r="A523" s="6" t="s">
        <v>755</v>
      </c>
      <c r="B523" s="6" t="s">
        <v>114</v>
      </c>
      <c r="C523" s="6" t="s">
        <v>1415</v>
      </c>
      <c r="D523" s="6" t="s">
        <v>1606</v>
      </c>
    </row>
    <row r="524" customFormat="false" ht="23.85" hidden="false" customHeight="false" outlineLevel="0" collapsed="false">
      <c r="A524" s="6" t="s">
        <v>755</v>
      </c>
      <c r="B524" s="6" t="s">
        <v>114</v>
      </c>
      <c r="C524" s="6" t="s">
        <v>1415</v>
      </c>
      <c r="D524" s="6" t="s">
        <v>1584</v>
      </c>
    </row>
    <row r="525" customFormat="false" ht="35.05" hidden="false" customHeight="false" outlineLevel="0" collapsed="false">
      <c r="A525" s="6" t="s">
        <v>755</v>
      </c>
      <c r="B525" s="6" t="s">
        <v>114</v>
      </c>
      <c r="C525" s="6" t="s">
        <v>1415</v>
      </c>
      <c r="D525" s="6" t="s">
        <v>1717</v>
      </c>
    </row>
    <row r="526" customFormat="false" ht="23.85" hidden="false" customHeight="false" outlineLevel="0" collapsed="false">
      <c r="A526" s="6" t="s">
        <v>755</v>
      </c>
      <c r="B526" s="6" t="s">
        <v>114</v>
      </c>
      <c r="C526" s="6" t="s">
        <v>1415</v>
      </c>
      <c r="D526" s="6" t="s">
        <v>1718</v>
      </c>
    </row>
    <row r="527" customFormat="false" ht="23.85" hidden="false" customHeight="false" outlineLevel="0" collapsed="false">
      <c r="A527" s="6" t="s">
        <v>755</v>
      </c>
      <c r="B527" s="6" t="s">
        <v>114</v>
      </c>
      <c r="C527" s="6" t="s">
        <v>1415</v>
      </c>
      <c r="D527" s="6" t="s">
        <v>1719</v>
      </c>
    </row>
    <row r="528" customFormat="false" ht="23.85" hidden="false" customHeight="false" outlineLevel="0" collapsed="false">
      <c r="A528" s="6" t="s">
        <v>755</v>
      </c>
      <c r="B528" s="6" t="s">
        <v>114</v>
      </c>
      <c r="C528" s="6" t="s">
        <v>1415</v>
      </c>
      <c r="D528" s="6" t="s">
        <v>1720</v>
      </c>
    </row>
    <row r="529" customFormat="false" ht="46.25" hidden="false" customHeight="false" outlineLevel="0" collapsed="false">
      <c r="A529" s="6" t="s">
        <v>755</v>
      </c>
      <c r="B529" s="6" t="s">
        <v>114</v>
      </c>
      <c r="C529" s="6" t="s">
        <v>1415</v>
      </c>
      <c r="D529" s="6" t="s">
        <v>1470</v>
      </c>
    </row>
    <row r="530" customFormat="false" ht="46.25" hidden="false" customHeight="false" outlineLevel="0" collapsed="false">
      <c r="A530" s="6" t="s">
        <v>755</v>
      </c>
      <c r="B530" s="6" t="s">
        <v>114</v>
      </c>
      <c r="C530" s="6" t="s">
        <v>1415</v>
      </c>
      <c r="D530" s="6" t="s">
        <v>1471</v>
      </c>
    </row>
    <row r="531" customFormat="false" ht="23.85" hidden="false" customHeight="false" outlineLevel="0" collapsed="false">
      <c r="A531" s="6" t="s">
        <v>755</v>
      </c>
      <c r="B531" s="6" t="s">
        <v>114</v>
      </c>
      <c r="C531" s="6" t="s">
        <v>1415</v>
      </c>
      <c r="D531" s="6" t="s">
        <v>1585</v>
      </c>
    </row>
    <row r="532" customFormat="false" ht="15" hidden="false" customHeight="false" outlineLevel="0" collapsed="false">
      <c r="A532" s="6" t="s">
        <v>755</v>
      </c>
      <c r="B532" s="6" t="s">
        <v>114</v>
      </c>
      <c r="C532" s="6" t="s">
        <v>1415</v>
      </c>
      <c r="D532" s="6" t="s">
        <v>1721</v>
      </c>
    </row>
    <row r="533" customFormat="false" ht="23.85" hidden="false" customHeight="false" outlineLevel="0" collapsed="false">
      <c r="A533" s="6" t="s">
        <v>755</v>
      </c>
      <c r="B533" s="6" t="s">
        <v>114</v>
      </c>
      <c r="C533" s="6" t="s">
        <v>1415</v>
      </c>
      <c r="D533" s="6" t="s">
        <v>1722</v>
      </c>
    </row>
    <row r="534" customFormat="false" ht="35.05" hidden="false" customHeight="false" outlineLevel="0" collapsed="false">
      <c r="A534" s="6" t="s">
        <v>755</v>
      </c>
      <c r="B534" s="6" t="s">
        <v>114</v>
      </c>
      <c r="C534" s="6" t="s">
        <v>1415</v>
      </c>
      <c r="D534" s="6" t="s">
        <v>1586</v>
      </c>
    </row>
    <row r="535" customFormat="false" ht="15" hidden="false" customHeight="false" outlineLevel="0" collapsed="false">
      <c r="A535" s="6" t="s">
        <v>755</v>
      </c>
      <c r="B535" s="6" t="s">
        <v>114</v>
      </c>
      <c r="C535" s="6" t="s">
        <v>1415</v>
      </c>
      <c r="D535" s="6" t="s">
        <v>1723</v>
      </c>
    </row>
    <row r="536" customFormat="false" ht="35.05" hidden="false" customHeight="false" outlineLevel="0" collapsed="false">
      <c r="A536" s="6" t="s">
        <v>755</v>
      </c>
      <c r="B536" s="6" t="s">
        <v>114</v>
      </c>
      <c r="C536" s="6" t="s">
        <v>1415</v>
      </c>
      <c r="D536" s="6" t="s">
        <v>1724</v>
      </c>
    </row>
    <row r="537" customFormat="false" ht="23.85" hidden="false" customHeight="false" outlineLevel="0" collapsed="false">
      <c r="A537" s="6" t="s">
        <v>755</v>
      </c>
      <c r="B537" s="6" t="s">
        <v>114</v>
      </c>
      <c r="C537" s="6" t="s">
        <v>1415</v>
      </c>
      <c r="D537" s="6" t="s">
        <v>1725</v>
      </c>
    </row>
    <row r="538" customFormat="false" ht="15" hidden="false" customHeight="false" outlineLevel="0" collapsed="false">
      <c r="A538" s="6" t="s">
        <v>755</v>
      </c>
      <c r="B538" s="6" t="s">
        <v>114</v>
      </c>
      <c r="C538" s="6" t="s">
        <v>1415</v>
      </c>
      <c r="D538" s="6" t="s">
        <v>1726</v>
      </c>
    </row>
    <row r="539" customFormat="false" ht="15" hidden="false" customHeight="false" outlineLevel="0" collapsed="false">
      <c r="A539" s="6" t="s">
        <v>755</v>
      </c>
      <c r="B539" s="6" t="s">
        <v>114</v>
      </c>
      <c r="C539" s="6" t="s">
        <v>1415</v>
      </c>
      <c r="D539" s="6" t="s">
        <v>1727</v>
      </c>
    </row>
    <row r="540" customFormat="false" ht="23.85" hidden="false" customHeight="false" outlineLevel="0" collapsed="false">
      <c r="A540" s="6" t="s">
        <v>755</v>
      </c>
      <c r="B540" s="6" t="s">
        <v>114</v>
      </c>
      <c r="C540" s="6" t="s">
        <v>1415</v>
      </c>
      <c r="D540" s="6" t="s">
        <v>1728</v>
      </c>
    </row>
    <row r="541" customFormat="false" ht="23.85" hidden="false" customHeight="false" outlineLevel="0" collapsed="false">
      <c r="A541" s="6" t="s">
        <v>755</v>
      </c>
      <c r="B541" s="6" t="s">
        <v>114</v>
      </c>
      <c r="C541" s="6" t="s">
        <v>1415</v>
      </c>
      <c r="D541" s="6" t="s">
        <v>1729</v>
      </c>
    </row>
    <row r="542" customFormat="false" ht="15" hidden="false" customHeight="false" outlineLevel="0" collapsed="false">
      <c r="A542" s="6" t="s">
        <v>755</v>
      </c>
      <c r="B542" s="6" t="s">
        <v>114</v>
      </c>
      <c r="C542" s="6" t="s">
        <v>1415</v>
      </c>
      <c r="D542" s="6" t="s">
        <v>1730</v>
      </c>
    </row>
    <row r="543" customFormat="false" ht="15" hidden="false" customHeight="false" outlineLevel="0" collapsed="false">
      <c r="A543" s="6" t="s">
        <v>755</v>
      </c>
      <c r="B543" s="6" t="s">
        <v>114</v>
      </c>
      <c r="C543" s="6" t="s">
        <v>1415</v>
      </c>
      <c r="D543" s="6" t="s">
        <v>1731</v>
      </c>
    </row>
    <row r="544" customFormat="false" ht="15" hidden="false" customHeight="false" outlineLevel="0" collapsed="false">
      <c r="A544" s="6" t="s">
        <v>755</v>
      </c>
      <c r="B544" s="6" t="s">
        <v>114</v>
      </c>
      <c r="C544" s="6" t="s">
        <v>1415</v>
      </c>
      <c r="D544" s="6" t="s">
        <v>1732</v>
      </c>
    </row>
    <row r="545" customFormat="false" ht="35.05" hidden="false" customHeight="false" outlineLevel="0" collapsed="false">
      <c r="A545" s="6" t="s">
        <v>755</v>
      </c>
      <c r="B545" s="6" t="s">
        <v>114</v>
      </c>
      <c r="C545" s="6" t="s">
        <v>1415</v>
      </c>
      <c r="D545" s="6" t="s">
        <v>1733</v>
      </c>
    </row>
    <row r="546" customFormat="false" ht="23.85" hidden="false" customHeight="false" outlineLevel="0" collapsed="false">
      <c r="A546" s="6" t="s">
        <v>755</v>
      </c>
      <c r="B546" s="6" t="s">
        <v>114</v>
      </c>
      <c r="C546" s="6" t="s">
        <v>1415</v>
      </c>
      <c r="D546" s="6" t="s">
        <v>1734</v>
      </c>
    </row>
    <row r="547" customFormat="false" ht="15" hidden="false" customHeight="false" outlineLevel="0" collapsed="false">
      <c r="A547" s="6" t="s">
        <v>755</v>
      </c>
      <c r="B547" s="6" t="s">
        <v>114</v>
      </c>
      <c r="C547" s="6" t="s">
        <v>1415</v>
      </c>
      <c r="D547" s="6" t="s">
        <v>1735</v>
      </c>
    </row>
    <row r="548" customFormat="false" ht="46.25" hidden="false" customHeight="false" outlineLevel="0" collapsed="false">
      <c r="A548" s="6" t="s">
        <v>755</v>
      </c>
      <c r="B548" s="6" t="s">
        <v>114</v>
      </c>
      <c r="C548" s="6" t="s">
        <v>1415</v>
      </c>
      <c r="D548" s="6" t="s">
        <v>1736</v>
      </c>
    </row>
    <row r="549" customFormat="false" ht="46.25" hidden="false" customHeight="false" outlineLevel="0" collapsed="false">
      <c r="A549" s="6" t="s">
        <v>755</v>
      </c>
      <c r="B549" s="6" t="s">
        <v>114</v>
      </c>
      <c r="C549" s="6" t="s">
        <v>1415</v>
      </c>
      <c r="D549" s="6" t="s">
        <v>1737</v>
      </c>
    </row>
    <row r="550" customFormat="false" ht="15" hidden="false" customHeight="false" outlineLevel="0" collapsed="false">
      <c r="A550" s="6" t="s">
        <v>755</v>
      </c>
      <c r="B550" s="6" t="s">
        <v>114</v>
      </c>
      <c r="C550" s="6" t="s">
        <v>1415</v>
      </c>
      <c r="D550" s="6" t="s">
        <v>1738</v>
      </c>
    </row>
    <row r="551" customFormat="false" ht="15" hidden="false" customHeight="false" outlineLevel="0" collapsed="false">
      <c r="A551" s="6" t="s">
        <v>755</v>
      </c>
      <c r="B551" s="6" t="s">
        <v>114</v>
      </c>
      <c r="C551" s="6" t="s">
        <v>1415</v>
      </c>
      <c r="D551" s="6" t="s">
        <v>1539</v>
      </c>
    </row>
    <row r="552" customFormat="false" ht="15" hidden="false" customHeight="false" outlineLevel="0" collapsed="false">
      <c r="A552" s="6" t="s">
        <v>755</v>
      </c>
      <c r="B552" s="6" t="s">
        <v>114</v>
      </c>
      <c r="C552" s="6" t="s">
        <v>1415</v>
      </c>
      <c r="D552" s="6" t="s">
        <v>1739</v>
      </c>
    </row>
    <row r="553" customFormat="false" ht="23.85" hidden="false" customHeight="false" outlineLevel="0" collapsed="false">
      <c r="A553" s="6" t="s">
        <v>755</v>
      </c>
      <c r="B553" s="6" t="s">
        <v>114</v>
      </c>
      <c r="C553" s="6" t="s">
        <v>1415</v>
      </c>
      <c r="D553" s="6" t="s">
        <v>1710</v>
      </c>
    </row>
    <row r="554" customFormat="false" ht="23.85" hidden="false" customHeight="false" outlineLevel="0" collapsed="false">
      <c r="A554" s="6" t="s">
        <v>755</v>
      </c>
      <c r="B554" s="6" t="s">
        <v>114</v>
      </c>
      <c r="C554" s="6" t="s">
        <v>1415</v>
      </c>
      <c r="D554" s="6" t="s">
        <v>1740</v>
      </c>
    </row>
    <row r="555" customFormat="false" ht="23.85" hidden="false" customHeight="false" outlineLevel="0" collapsed="false">
      <c r="A555" s="6" t="s">
        <v>755</v>
      </c>
      <c r="B555" s="6" t="s">
        <v>114</v>
      </c>
      <c r="C555" s="6" t="s">
        <v>1415</v>
      </c>
      <c r="D555" s="6" t="s">
        <v>1711</v>
      </c>
    </row>
    <row r="556" customFormat="false" ht="23.85" hidden="false" customHeight="false" outlineLevel="0" collapsed="false">
      <c r="A556" s="6" t="s">
        <v>755</v>
      </c>
      <c r="B556" s="6" t="s">
        <v>114</v>
      </c>
      <c r="C556" s="6" t="s">
        <v>1415</v>
      </c>
      <c r="D556" s="6" t="s">
        <v>1712</v>
      </c>
    </row>
    <row r="557" customFormat="false" ht="23.85" hidden="false" customHeight="false" outlineLevel="0" collapsed="false">
      <c r="A557" s="6" t="s">
        <v>755</v>
      </c>
      <c r="B557" s="6" t="s">
        <v>156</v>
      </c>
      <c r="C557" s="6" t="s">
        <v>1415</v>
      </c>
      <c r="D557" s="6" t="s">
        <v>1741</v>
      </c>
    </row>
    <row r="558" customFormat="false" ht="23.85" hidden="false" customHeight="false" outlineLevel="0" collapsed="false">
      <c r="A558" s="6" t="s">
        <v>755</v>
      </c>
      <c r="B558" s="6" t="s">
        <v>156</v>
      </c>
      <c r="C558" s="6" t="s">
        <v>1415</v>
      </c>
      <c r="D558" s="6" t="s">
        <v>1742</v>
      </c>
    </row>
    <row r="559" customFormat="false" ht="15" hidden="false" customHeight="false" outlineLevel="0" collapsed="false">
      <c r="A559" s="6" t="s">
        <v>755</v>
      </c>
      <c r="B559" s="6" t="s">
        <v>156</v>
      </c>
      <c r="C559" s="6" t="s">
        <v>1415</v>
      </c>
      <c r="D559" s="6" t="s">
        <v>1652</v>
      </c>
    </row>
    <row r="560" customFormat="false" ht="23.85" hidden="false" customHeight="false" outlineLevel="0" collapsed="false">
      <c r="A560" s="6" t="s">
        <v>755</v>
      </c>
      <c r="B560" s="6" t="s">
        <v>156</v>
      </c>
      <c r="C560" s="6" t="s">
        <v>1415</v>
      </c>
      <c r="D560" s="6" t="s">
        <v>1743</v>
      </c>
    </row>
    <row r="561" customFormat="false" ht="46.25" hidden="false" customHeight="false" outlineLevel="0" collapsed="false">
      <c r="A561" s="6" t="s">
        <v>755</v>
      </c>
      <c r="B561" s="6" t="s">
        <v>156</v>
      </c>
      <c r="C561" s="6" t="s">
        <v>1415</v>
      </c>
      <c r="D561" s="6" t="s">
        <v>1744</v>
      </c>
    </row>
    <row r="562" customFormat="false" ht="68.65" hidden="false" customHeight="false" outlineLevel="0" collapsed="false">
      <c r="A562" s="6" t="s">
        <v>755</v>
      </c>
      <c r="B562" s="6" t="s">
        <v>156</v>
      </c>
      <c r="C562" s="6" t="s">
        <v>1415</v>
      </c>
      <c r="D562" s="6" t="s">
        <v>1632</v>
      </c>
    </row>
    <row r="563" customFormat="false" ht="35.05" hidden="false" customHeight="false" outlineLevel="0" collapsed="false">
      <c r="A563" s="6" t="s">
        <v>755</v>
      </c>
      <c r="B563" s="6" t="s">
        <v>156</v>
      </c>
      <c r="C563" s="6" t="s">
        <v>1415</v>
      </c>
      <c r="D563" s="6" t="s">
        <v>1495</v>
      </c>
    </row>
    <row r="564" customFormat="false" ht="35.05" hidden="false" customHeight="false" outlineLevel="0" collapsed="false">
      <c r="A564" s="6" t="s">
        <v>755</v>
      </c>
      <c r="B564" s="6" t="s">
        <v>156</v>
      </c>
      <c r="C564" s="6" t="s">
        <v>1415</v>
      </c>
      <c r="D564" s="6" t="s">
        <v>1745</v>
      </c>
    </row>
    <row r="565" customFormat="false" ht="35.05" hidden="false" customHeight="false" outlineLevel="0" collapsed="false">
      <c r="A565" s="6" t="s">
        <v>755</v>
      </c>
      <c r="B565" s="6" t="s">
        <v>131</v>
      </c>
      <c r="C565" s="6" t="s">
        <v>1415</v>
      </c>
      <c r="D565" s="6" t="s">
        <v>1746</v>
      </c>
    </row>
    <row r="566" customFormat="false" ht="23.85" hidden="false" customHeight="false" outlineLevel="0" collapsed="false">
      <c r="A566" s="6" t="s">
        <v>755</v>
      </c>
      <c r="B566" s="6" t="s">
        <v>131</v>
      </c>
      <c r="C566" s="6" t="s">
        <v>1415</v>
      </c>
      <c r="D566" s="6" t="s">
        <v>1747</v>
      </c>
    </row>
    <row r="567" customFormat="false" ht="35.05" hidden="false" customHeight="false" outlineLevel="0" collapsed="false">
      <c r="A567" s="6" t="s">
        <v>755</v>
      </c>
      <c r="B567" s="6" t="s">
        <v>131</v>
      </c>
      <c r="C567" s="6" t="s">
        <v>1415</v>
      </c>
      <c r="D567" s="6" t="s">
        <v>1748</v>
      </c>
    </row>
    <row r="568" customFormat="false" ht="23.85" hidden="false" customHeight="false" outlineLevel="0" collapsed="false">
      <c r="A568" s="6" t="s">
        <v>755</v>
      </c>
      <c r="B568" s="6" t="s">
        <v>378</v>
      </c>
      <c r="C568" s="6" t="s">
        <v>1415</v>
      </c>
      <c r="D568" s="6" t="s">
        <v>1749</v>
      </c>
    </row>
    <row r="569" customFormat="false" ht="23.85" hidden="false" customHeight="false" outlineLevel="0" collapsed="false">
      <c r="A569" s="6" t="s">
        <v>755</v>
      </c>
      <c r="B569" s="6" t="s">
        <v>378</v>
      </c>
      <c r="C569" s="6" t="s">
        <v>1415</v>
      </c>
      <c r="D569" s="6" t="s">
        <v>1750</v>
      </c>
    </row>
    <row r="570" customFormat="false" ht="15" hidden="false" customHeight="false" outlineLevel="0" collapsed="false">
      <c r="A570" s="6" t="s">
        <v>755</v>
      </c>
      <c r="B570" s="6" t="s">
        <v>378</v>
      </c>
      <c r="C570" s="6" t="s">
        <v>1415</v>
      </c>
      <c r="D570" s="6" t="s">
        <v>1751</v>
      </c>
    </row>
    <row r="571" customFormat="false" ht="23.85" hidden="false" customHeight="false" outlineLevel="0" collapsed="false">
      <c r="A571" s="6" t="s">
        <v>755</v>
      </c>
      <c r="B571" s="6" t="s">
        <v>378</v>
      </c>
      <c r="C571" s="6" t="s">
        <v>1415</v>
      </c>
      <c r="D571" s="6" t="s">
        <v>1422</v>
      </c>
    </row>
    <row r="572" customFormat="false" ht="15" hidden="false" customHeight="false" outlineLevel="0" collapsed="false">
      <c r="A572" s="6" t="s">
        <v>755</v>
      </c>
      <c r="B572" s="6" t="s">
        <v>378</v>
      </c>
      <c r="C572" s="6" t="s">
        <v>1415</v>
      </c>
      <c r="D572" s="6" t="s">
        <v>1518</v>
      </c>
    </row>
    <row r="573" customFormat="false" ht="57.45" hidden="false" customHeight="false" outlineLevel="0" collapsed="false">
      <c r="A573" s="6" t="s">
        <v>755</v>
      </c>
      <c r="B573" s="6" t="s">
        <v>378</v>
      </c>
      <c r="C573" s="6" t="s">
        <v>1415</v>
      </c>
      <c r="D573" s="6" t="s">
        <v>923</v>
      </c>
    </row>
    <row r="574" customFormat="false" ht="46.25" hidden="false" customHeight="false" outlineLevel="0" collapsed="false">
      <c r="A574" s="6" t="s">
        <v>755</v>
      </c>
      <c r="B574" s="6" t="s">
        <v>264</v>
      </c>
      <c r="C574" s="6" t="s">
        <v>1415</v>
      </c>
      <c r="D574" s="6" t="s">
        <v>1752</v>
      </c>
    </row>
    <row r="575" customFormat="false" ht="35.05" hidden="false" customHeight="false" outlineLevel="0" collapsed="false">
      <c r="A575" s="6" t="s">
        <v>755</v>
      </c>
      <c r="B575" s="6" t="s">
        <v>264</v>
      </c>
      <c r="C575" s="6" t="s">
        <v>1415</v>
      </c>
      <c r="D575" s="6" t="s">
        <v>1753</v>
      </c>
    </row>
    <row r="576" customFormat="false" ht="46.25" hidden="false" customHeight="false" outlineLevel="0" collapsed="false">
      <c r="A576" s="6" t="s">
        <v>755</v>
      </c>
      <c r="B576" s="6" t="s">
        <v>224</v>
      </c>
      <c r="C576" s="6" t="s">
        <v>1415</v>
      </c>
      <c r="D576" s="6" t="s">
        <v>1754</v>
      </c>
    </row>
    <row r="577" customFormat="false" ht="23.85" hidden="false" customHeight="false" outlineLevel="0" collapsed="false">
      <c r="A577" s="6" t="s">
        <v>755</v>
      </c>
      <c r="B577" s="6" t="s">
        <v>224</v>
      </c>
      <c r="C577" s="6" t="s">
        <v>1415</v>
      </c>
      <c r="D577" s="6" t="s">
        <v>1564</v>
      </c>
    </row>
    <row r="578" customFormat="false" ht="35.05" hidden="false" customHeight="false" outlineLevel="0" collapsed="false">
      <c r="A578" s="6" t="s">
        <v>755</v>
      </c>
      <c r="B578" s="6" t="s">
        <v>224</v>
      </c>
      <c r="C578" s="6" t="s">
        <v>1415</v>
      </c>
      <c r="D578" s="6" t="s">
        <v>1565</v>
      </c>
    </row>
    <row r="579" customFormat="false" ht="23.85" hidden="false" customHeight="false" outlineLevel="0" collapsed="false">
      <c r="A579" s="6" t="s">
        <v>755</v>
      </c>
      <c r="B579" s="6" t="s">
        <v>224</v>
      </c>
      <c r="C579" s="6" t="s">
        <v>1415</v>
      </c>
      <c r="D579" s="6" t="s">
        <v>1567</v>
      </c>
    </row>
    <row r="580" customFormat="false" ht="23.85" hidden="false" customHeight="false" outlineLevel="0" collapsed="false">
      <c r="A580" s="6" t="s">
        <v>755</v>
      </c>
      <c r="B580" s="6" t="s">
        <v>70</v>
      </c>
      <c r="C580" s="6" t="s">
        <v>1415</v>
      </c>
      <c r="D580" s="6" t="s">
        <v>1755</v>
      </c>
    </row>
    <row r="581" customFormat="false" ht="35.05" hidden="false" customHeight="false" outlineLevel="0" collapsed="false">
      <c r="A581" s="6" t="s">
        <v>755</v>
      </c>
      <c r="B581" s="6" t="s">
        <v>104</v>
      </c>
      <c r="C581" s="6" t="s">
        <v>1415</v>
      </c>
      <c r="D581" s="6" t="s">
        <v>722</v>
      </c>
    </row>
    <row r="582" customFormat="false" ht="23.85" hidden="false" customHeight="false" outlineLevel="0" collapsed="false">
      <c r="A582" s="6" t="s">
        <v>755</v>
      </c>
      <c r="B582" s="6" t="s">
        <v>104</v>
      </c>
      <c r="C582" s="6" t="s">
        <v>1415</v>
      </c>
      <c r="D582" s="6" t="s">
        <v>195</v>
      </c>
    </row>
    <row r="583" customFormat="false" ht="236.55" hidden="false" customHeight="false" outlineLevel="0" collapsed="false">
      <c r="A583" s="6" t="s">
        <v>755</v>
      </c>
      <c r="B583" s="6" t="s">
        <v>68</v>
      </c>
      <c r="C583" s="6" t="s">
        <v>1521</v>
      </c>
      <c r="D583" s="6" t="s">
        <v>1522</v>
      </c>
    </row>
    <row r="584" customFormat="false" ht="23.85" hidden="false" customHeight="false" outlineLevel="0" collapsed="false">
      <c r="A584" s="6" t="s">
        <v>417</v>
      </c>
      <c r="B584" s="6" t="s">
        <v>69</v>
      </c>
      <c r="C584" s="6" t="s">
        <v>1415</v>
      </c>
      <c r="D584" s="6" t="s">
        <v>1571</v>
      </c>
    </row>
    <row r="585" customFormat="false" ht="35.05" hidden="false" customHeight="false" outlineLevel="0" collapsed="false">
      <c r="A585" s="6" t="s">
        <v>417</v>
      </c>
      <c r="B585" s="6" t="s">
        <v>156</v>
      </c>
      <c r="C585" s="6" t="s">
        <v>1415</v>
      </c>
      <c r="D585" s="6" t="s">
        <v>1590</v>
      </c>
    </row>
    <row r="586" customFormat="false" ht="23.85" hidden="false" customHeight="false" outlineLevel="0" collapsed="false">
      <c r="A586" s="6" t="s">
        <v>417</v>
      </c>
      <c r="B586" s="6" t="s">
        <v>156</v>
      </c>
      <c r="C586" s="6" t="s">
        <v>1415</v>
      </c>
      <c r="D586" s="6" t="s">
        <v>1591</v>
      </c>
    </row>
    <row r="587" customFormat="false" ht="23.85" hidden="false" customHeight="false" outlineLevel="0" collapsed="false">
      <c r="A587" s="6" t="s">
        <v>417</v>
      </c>
      <c r="B587" s="6" t="s">
        <v>156</v>
      </c>
      <c r="C587" s="6" t="s">
        <v>1415</v>
      </c>
      <c r="D587" s="6" t="s">
        <v>1592</v>
      </c>
    </row>
    <row r="588" customFormat="false" ht="35.05" hidden="false" customHeight="false" outlineLevel="0" collapsed="false">
      <c r="A588" s="6" t="s">
        <v>417</v>
      </c>
      <c r="B588" s="6" t="s">
        <v>156</v>
      </c>
      <c r="C588" s="6" t="s">
        <v>1415</v>
      </c>
      <c r="D588" s="6" t="s">
        <v>1572</v>
      </c>
    </row>
    <row r="589" customFormat="false" ht="35.05" hidden="false" customHeight="false" outlineLevel="0" collapsed="false">
      <c r="A589" s="6" t="s">
        <v>417</v>
      </c>
      <c r="B589" s="6" t="s">
        <v>296</v>
      </c>
      <c r="C589" s="6" t="s">
        <v>1415</v>
      </c>
      <c r="D589" s="6" t="s">
        <v>430</v>
      </c>
    </row>
    <row r="590" customFormat="false" ht="46.25" hidden="false" customHeight="false" outlineLevel="0" collapsed="false">
      <c r="A590" s="6" t="s">
        <v>417</v>
      </c>
      <c r="B590" s="6" t="s">
        <v>296</v>
      </c>
      <c r="C590" s="6" t="s">
        <v>1415</v>
      </c>
      <c r="D590" s="6" t="s">
        <v>707</v>
      </c>
    </row>
    <row r="591" customFormat="false" ht="23.85" hidden="false" customHeight="false" outlineLevel="0" collapsed="false">
      <c r="A591" s="6" t="s">
        <v>417</v>
      </c>
      <c r="B591" s="6" t="s">
        <v>296</v>
      </c>
      <c r="C591" s="6" t="s">
        <v>1415</v>
      </c>
      <c r="D591" s="6" t="s">
        <v>1756</v>
      </c>
    </row>
    <row r="592" customFormat="false" ht="23.85" hidden="false" customHeight="false" outlineLevel="0" collapsed="false">
      <c r="A592" s="6" t="s">
        <v>417</v>
      </c>
      <c r="B592" s="6" t="s">
        <v>296</v>
      </c>
      <c r="C592" s="6" t="s">
        <v>1415</v>
      </c>
      <c r="D592" s="6" t="s">
        <v>1757</v>
      </c>
    </row>
    <row r="593" customFormat="false" ht="23.85" hidden="false" customHeight="false" outlineLevel="0" collapsed="false">
      <c r="A593" s="6" t="s">
        <v>417</v>
      </c>
      <c r="B593" s="6" t="s">
        <v>296</v>
      </c>
      <c r="C593" s="6" t="s">
        <v>1415</v>
      </c>
      <c r="D593" s="6" t="s">
        <v>1758</v>
      </c>
    </row>
    <row r="594" customFormat="false" ht="23.85" hidden="false" customHeight="false" outlineLevel="0" collapsed="false">
      <c r="A594" s="6" t="s">
        <v>417</v>
      </c>
      <c r="B594" s="6" t="s">
        <v>296</v>
      </c>
      <c r="C594" s="6" t="s">
        <v>1415</v>
      </c>
      <c r="D594" s="6" t="s">
        <v>1759</v>
      </c>
    </row>
    <row r="595" customFormat="false" ht="35.05" hidden="false" customHeight="false" outlineLevel="0" collapsed="false">
      <c r="A595" s="6" t="s">
        <v>417</v>
      </c>
      <c r="B595" s="6" t="s">
        <v>296</v>
      </c>
      <c r="C595" s="6" t="s">
        <v>1415</v>
      </c>
      <c r="D595" s="6" t="s">
        <v>1760</v>
      </c>
    </row>
    <row r="596" customFormat="false" ht="35.05" hidden="false" customHeight="false" outlineLevel="0" collapsed="false">
      <c r="A596" s="6" t="s">
        <v>417</v>
      </c>
      <c r="B596" s="6" t="s">
        <v>296</v>
      </c>
      <c r="C596" s="6" t="s">
        <v>1415</v>
      </c>
      <c r="D596" s="6" t="s">
        <v>1761</v>
      </c>
    </row>
    <row r="597" customFormat="false" ht="15" hidden="false" customHeight="false" outlineLevel="0" collapsed="false">
      <c r="A597" s="6" t="s">
        <v>417</v>
      </c>
      <c r="B597" s="6" t="s">
        <v>296</v>
      </c>
      <c r="C597" s="6" t="s">
        <v>1415</v>
      </c>
      <c r="D597" s="6" t="s">
        <v>1762</v>
      </c>
    </row>
    <row r="598" customFormat="false" ht="23.85" hidden="false" customHeight="false" outlineLevel="0" collapsed="false">
      <c r="A598" s="6" t="s">
        <v>417</v>
      </c>
      <c r="B598" s="6" t="s">
        <v>296</v>
      </c>
      <c r="C598" s="6" t="s">
        <v>1415</v>
      </c>
      <c r="D598" s="6" t="s">
        <v>1763</v>
      </c>
    </row>
    <row r="599" customFormat="false" ht="15" hidden="false" customHeight="false" outlineLevel="0" collapsed="false">
      <c r="A599" s="6" t="s">
        <v>417</v>
      </c>
      <c r="B599" s="6" t="s">
        <v>296</v>
      </c>
      <c r="C599" s="6" t="s">
        <v>1415</v>
      </c>
      <c r="D599" s="6" t="s">
        <v>1764</v>
      </c>
    </row>
    <row r="600" customFormat="false" ht="15" hidden="false" customHeight="false" outlineLevel="0" collapsed="false">
      <c r="A600" s="6" t="s">
        <v>417</v>
      </c>
      <c r="B600" s="6" t="s">
        <v>296</v>
      </c>
      <c r="C600" s="6" t="s">
        <v>1415</v>
      </c>
      <c r="D600" s="6" t="s">
        <v>1765</v>
      </c>
    </row>
    <row r="601" customFormat="false" ht="15" hidden="false" customHeight="false" outlineLevel="0" collapsed="false">
      <c r="A601" s="6" t="s">
        <v>417</v>
      </c>
      <c r="B601" s="6" t="s">
        <v>296</v>
      </c>
      <c r="C601" s="6" t="s">
        <v>1415</v>
      </c>
      <c r="D601" s="6" t="s">
        <v>1766</v>
      </c>
    </row>
    <row r="602" customFormat="false" ht="15" hidden="false" customHeight="false" outlineLevel="0" collapsed="false">
      <c r="A602" s="6" t="s">
        <v>417</v>
      </c>
      <c r="B602" s="6" t="s">
        <v>296</v>
      </c>
      <c r="C602" s="6" t="s">
        <v>1415</v>
      </c>
      <c r="D602" s="6" t="s">
        <v>1767</v>
      </c>
    </row>
    <row r="603" customFormat="false" ht="35.05" hidden="false" customHeight="false" outlineLevel="0" collapsed="false">
      <c r="A603" s="6" t="s">
        <v>417</v>
      </c>
      <c r="B603" s="6" t="s">
        <v>296</v>
      </c>
      <c r="C603" s="6" t="s">
        <v>1415</v>
      </c>
      <c r="D603" s="6" t="s">
        <v>1768</v>
      </c>
    </row>
    <row r="604" customFormat="false" ht="23.85" hidden="false" customHeight="false" outlineLevel="0" collapsed="false">
      <c r="A604" s="6" t="s">
        <v>417</v>
      </c>
      <c r="B604" s="6" t="s">
        <v>296</v>
      </c>
      <c r="C604" s="6" t="s">
        <v>1415</v>
      </c>
      <c r="D604" s="6" t="s">
        <v>1769</v>
      </c>
    </row>
    <row r="605" customFormat="false" ht="35.05" hidden="false" customHeight="false" outlineLevel="0" collapsed="false">
      <c r="A605" s="6" t="s">
        <v>417</v>
      </c>
      <c r="B605" s="6" t="s">
        <v>296</v>
      </c>
      <c r="C605" s="6" t="s">
        <v>1415</v>
      </c>
      <c r="D605" s="6" t="s">
        <v>1770</v>
      </c>
    </row>
    <row r="606" customFormat="false" ht="23.85" hidden="false" customHeight="false" outlineLevel="0" collapsed="false">
      <c r="A606" s="6" t="s">
        <v>417</v>
      </c>
      <c r="B606" s="6" t="s">
        <v>296</v>
      </c>
      <c r="C606" s="6" t="s">
        <v>1415</v>
      </c>
      <c r="D606" s="6" t="s">
        <v>1771</v>
      </c>
    </row>
    <row r="607" customFormat="false" ht="23.85" hidden="false" customHeight="false" outlineLevel="0" collapsed="false">
      <c r="A607" s="6" t="s">
        <v>417</v>
      </c>
      <c r="B607" s="6" t="s">
        <v>296</v>
      </c>
      <c r="C607" s="6" t="s">
        <v>1415</v>
      </c>
      <c r="D607" s="6" t="s">
        <v>1772</v>
      </c>
    </row>
    <row r="608" customFormat="false" ht="15" hidden="false" customHeight="false" outlineLevel="0" collapsed="false">
      <c r="A608" s="6" t="s">
        <v>417</v>
      </c>
      <c r="B608" s="6" t="s">
        <v>296</v>
      </c>
      <c r="C608" s="6" t="s">
        <v>1415</v>
      </c>
      <c r="D608" s="6" t="s">
        <v>1773</v>
      </c>
    </row>
    <row r="609" customFormat="false" ht="23.85" hidden="false" customHeight="false" outlineLevel="0" collapsed="false">
      <c r="A609" s="6" t="s">
        <v>417</v>
      </c>
      <c r="B609" s="6" t="s">
        <v>296</v>
      </c>
      <c r="C609" s="6" t="s">
        <v>1415</v>
      </c>
      <c r="D609" s="6" t="s">
        <v>1774</v>
      </c>
    </row>
    <row r="610" customFormat="false" ht="15" hidden="false" customHeight="false" outlineLevel="0" collapsed="false">
      <c r="A610" s="6" t="s">
        <v>417</v>
      </c>
      <c r="B610" s="6" t="s">
        <v>378</v>
      </c>
      <c r="C610" s="6" t="s">
        <v>1415</v>
      </c>
      <c r="D610" s="6" t="s">
        <v>1448</v>
      </c>
    </row>
    <row r="611" customFormat="false" ht="35.05" hidden="false" customHeight="false" outlineLevel="0" collapsed="false">
      <c r="A611" s="6" t="s">
        <v>417</v>
      </c>
      <c r="B611" s="6" t="s">
        <v>304</v>
      </c>
      <c r="C611" s="6" t="s">
        <v>1415</v>
      </c>
      <c r="D611" s="6" t="s">
        <v>1560</v>
      </c>
    </row>
    <row r="612" customFormat="false" ht="23.85" hidden="false" customHeight="false" outlineLevel="0" collapsed="false">
      <c r="A612" s="6" t="s">
        <v>417</v>
      </c>
      <c r="B612" s="6" t="s">
        <v>224</v>
      </c>
      <c r="C612" s="6" t="s">
        <v>1415</v>
      </c>
      <c r="D612" s="6" t="s">
        <v>1775</v>
      </c>
    </row>
    <row r="613" customFormat="false" ht="23.85" hidden="false" customHeight="false" outlineLevel="0" collapsed="false">
      <c r="A613" s="6" t="s">
        <v>417</v>
      </c>
      <c r="B613" s="6" t="s">
        <v>224</v>
      </c>
      <c r="C613" s="6" t="s">
        <v>1415</v>
      </c>
      <c r="D613" s="6" t="s">
        <v>976</v>
      </c>
    </row>
    <row r="614" customFormat="false" ht="23.85" hidden="false" customHeight="false" outlineLevel="0" collapsed="false">
      <c r="A614" s="6" t="s">
        <v>417</v>
      </c>
      <c r="B614" s="6" t="s">
        <v>224</v>
      </c>
      <c r="C614" s="6" t="s">
        <v>1415</v>
      </c>
      <c r="D614" s="6" t="s">
        <v>423</v>
      </c>
    </row>
    <row r="615" customFormat="false" ht="15" hidden="false" customHeight="false" outlineLevel="0" collapsed="false">
      <c r="A615" s="6" t="s">
        <v>417</v>
      </c>
      <c r="B615" s="6" t="s">
        <v>224</v>
      </c>
      <c r="C615" s="6" t="s">
        <v>1415</v>
      </c>
      <c r="D615" s="6" t="s">
        <v>1776</v>
      </c>
    </row>
    <row r="616" customFormat="false" ht="91" hidden="false" customHeight="false" outlineLevel="0" collapsed="false">
      <c r="A616" s="6" t="s">
        <v>417</v>
      </c>
      <c r="B616" s="6" t="s">
        <v>393</v>
      </c>
      <c r="C616" s="6" t="s">
        <v>1777</v>
      </c>
      <c r="D616" s="6" t="s">
        <v>1778</v>
      </c>
    </row>
    <row r="617" customFormat="false" ht="15" hidden="false" customHeight="false" outlineLevel="0" collapsed="false">
      <c r="A617" s="6" t="s">
        <v>684</v>
      </c>
      <c r="B617" s="6" t="s">
        <v>296</v>
      </c>
      <c r="C617" s="6" t="s">
        <v>1415</v>
      </c>
      <c r="D617" s="6" t="s">
        <v>1779</v>
      </c>
    </row>
    <row r="618" customFormat="false" ht="35.05" hidden="false" customHeight="false" outlineLevel="0" collapsed="false">
      <c r="A618" s="6" t="s">
        <v>684</v>
      </c>
      <c r="B618" s="6" t="s">
        <v>296</v>
      </c>
      <c r="C618" s="6" t="s">
        <v>1415</v>
      </c>
      <c r="D618" s="6" t="s">
        <v>430</v>
      </c>
    </row>
    <row r="619" customFormat="false" ht="35.05" hidden="false" customHeight="false" outlineLevel="0" collapsed="false">
      <c r="A619" s="6" t="s">
        <v>684</v>
      </c>
      <c r="B619" s="6" t="s">
        <v>296</v>
      </c>
      <c r="C619" s="6" t="s">
        <v>1415</v>
      </c>
      <c r="D619" s="6" t="s">
        <v>1780</v>
      </c>
    </row>
    <row r="620" customFormat="false" ht="35.05" hidden="false" customHeight="false" outlineLevel="0" collapsed="false">
      <c r="A620" s="6" t="s">
        <v>684</v>
      </c>
      <c r="B620" s="6" t="s">
        <v>296</v>
      </c>
      <c r="C620" s="6" t="s">
        <v>1415</v>
      </c>
      <c r="D620" s="6" t="s">
        <v>1760</v>
      </c>
    </row>
    <row r="621" customFormat="false" ht="15" hidden="false" customHeight="false" outlineLevel="0" collapsed="false">
      <c r="A621" s="6" t="s">
        <v>684</v>
      </c>
      <c r="B621" s="6" t="s">
        <v>296</v>
      </c>
      <c r="C621" s="6" t="s">
        <v>1415</v>
      </c>
      <c r="D621" s="6" t="s">
        <v>1781</v>
      </c>
    </row>
    <row r="622" customFormat="false" ht="46.25" hidden="false" customHeight="false" outlineLevel="0" collapsed="false">
      <c r="A622" s="6" t="s">
        <v>684</v>
      </c>
      <c r="B622" s="6" t="s">
        <v>296</v>
      </c>
      <c r="C622" s="6" t="s">
        <v>1415</v>
      </c>
      <c r="D622" s="6" t="s">
        <v>1782</v>
      </c>
    </row>
    <row r="623" customFormat="false" ht="35.05" hidden="false" customHeight="false" outlineLevel="0" collapsed="false">
      <c r="A623" s="6" t="s">
        <v>684</v>
      </c>
      <c r="B623" s="6" t="s">
        <v>296</v>
      </c>
      <c r="C623" s="6" t="s">
        <v>1415</v>
      </c>
      <c r="D623" s="6" t="s">
        <v>1435</v>
      </c>
    </row>
    <row r="624" customFormat="false" ht="15" hidden="false" customHeight="false" outlineLevel="0" collapsed="false">
      <c r="A624" s="6" t="s">
        <v>684</v>
      </c>
      <c r="B624" s="6" t="s">
        <v>378</v>
      </c>
      <c r="C624" s="6" t="s">
        <v>1415</v>
      </c>
      <c r="D624" s="6" t="s">
        <v>1783</v>
      </c>
    </row>
    <row r="625" customFormat="false" ht="15" hidden="false" customHeight="false" outlineLevel="0" collapsed="false">
      <c r="A625" s="6" t="s">
        <v>684</v>
      </c>
      <c r="B625" s="6" t="s">
        <v>378</v>
      </c>
      <c r="C625" s="6" t="s">
        <v>1415</v>
      </c>
      <c r="D625" s="6" t="s">
        <v>1784</v>
      </c>
    </row>
    <row r="626" customFormat="false" ht="35.05" hidden="false" customHeight="false" outlineLevel="0" collapsed="false">
      <c r="A626" s="6" t="s">
        <v>684</v>
      </c>
      <c r="B626" s="6" t="s">
        <v>378</v>
      </c>
      <c r="C626" s="6" t="s">
        <v>1415</v>
      </c>
      <c r="D626" s="6" t="s">
        <v>690</v>
      </c>
    </row>
    <row r="627" customFormat="false" ht="23.85" hidden="false" customHeight="false" outlineLevel="0" collapsed="false">
      <c r="A627" s="6" t="s">
        <v>218</v>
      </c>
      <c r="B627" s="6" t="s">
        <v>156</v>
      </c>
      <c r="C627" s="6" t="s">
        <v>1415</v>
      </c>
      <c r="D627" s="6" t="s">
        <v>1474</v>
      </c>
    </row>
    <row r="628" customFormat="false" ht="46.25" hidden="false" customHeight="false" outlineLevel="0" collapsed="false">
      <c r="A628" s="6" t="s">
        <v>218</v>
      </c>
      <c r="B628" s="6" t="s">
        <v>156</v>
      </c>
      <c r="C628" s="6" t="s">
        <v>1415</v>
      </c>
      <c r="D628" s="6" t="s">
        <v>1475</v>
      </c>
    </row>
    <row r="629" customFormat="false" ht="46.25" hidden="false" customHeight="false" outlineLevel="0" collapsed="false">
      <c r="A629" s="6" t="s">
        <v>218</v>
      </c>
      <c r="B629" s="6" t="s">
        <v>264</v>
      </c>
      <c r="C629" s="6" t="s">
        <v>1415</v>
      </c>
      <c r="D629" s="6" t="s">
        <v>446</v>
      </c>
    </row>
    <row r="630" customFormat="false" ht="35.05" hidden="false" customHeight="false" outlineLevel="0" collapsed="false">
      <c r="A630" s="6" t="s">
        <v>218</v>
      </c>
      <c r="B630" s="6" t="s">
        <v>224</v>
      </c>
      <c r="C630" s="6" t="s">
        <v>1415</v>
      </c>
      <c r="D630" s="6" t="s">
        <v>225</v>
      </c>
    </row>
    <row r="631" customFormat="false" ht="23.85" hidden="false" customHeight="false" outlineLevel="0" collapsed="false">
      <c r="A631" s="6" t="s">
        <v>218</v>
      </c>
      <c r="B631" s="6" t="s">
        <v>224</v>
      </c>
      <c r="C631" s="6" t="s">
        <v>1438</v>
      </c>
      <c r="D631" s="6" t="s">
        <v>1439</v>
      </c>
    </row>
    <row r="632" customFormat="false" ht="15" hidden="false" customHeight="false" outlineLevel="0" collapsed="false">
      <c r="A632" s="6" t="s">
        <v>640</v>
      </c>
      <c r="B632" s="6" t="s">
        <v>296</v>
      </c>
      <c r="C632" s="6" t="s">
        <v>1415</v>
      </c>
      <c r="D632" s="6" t="s">
        <v>1785</v>
      </c>
    </row>
    <row r="633" customFormat="false" ht="15" hidden="false" customHeight="false" outlineLevel="0" collapsed="false">
      <c r="A633" s="6" t="s">
        <v>640</v>
      </c>
      <c r="B633" s="6" t="s">
        <v>296</v>
      </c>
      <c r="C633" s="6" t="s">
        <v>1415</v>
      </c>
      <c r="D633" s="6" t="s">
        <v>1781</v>
      </c>
    </row>
    <row r="634" customFormat="false" ht="46.25" hidden="false" customHeight="false" outlineLevel="0" collapsed="false">
      <c r="A634" s="6" t="s">
        <v>640</v>
      </c>
      <c r="B634" s="6" t="s">
        <v>296</v>
      </c>
      <c r="C634" s="6" t="s">
        <v>1415</v>
      </c>
      <c r="D634" s="6" t="s">
        <v>1782</v>
      </c>
    </row>
    <row r="635" customFormat="false" ht="23.85" hidden="false" customHeight="false" outlineLevel="0" collapsed="false">
      <c r="A635" s="6" t="s">
        <v>640</v>
      </c>
      <c r="B635" s="6" t="s">
        <v>378</v>
      </c>
      <c r="C635" s="6" t="s">
        <v>1415</v>
      </c>
      <c r="D635" s="6" t="s">
        <v>1786</v>
      </c>
    </row>
    <row r="636" customFormat="false" ht="15" hidden="false" customHeight="false" outlineLevel="0" collapsed="false">
      <c r="A636" s="6" t="s">
        <v>640</v>
      </c>
      <c r="B636" s="6" t="s">
        <v>378</v>
      </c>
      <c r="C636" s="6" t="s">
        <v>1415</v>
      </c>
      <c r="D636" s="6" t="s">
        <v>1787</v>
      </c>
    </row>
    <row r="637" customFormat="false" ht="15" hidden="false" customHeight="false" outlineLevel="0" collapsed="false">
      <c r="A637" s="6" t="s">
        <v>640</v>
      </c>
      <c r="B637" s="6" t="s">
        <v>378</v>
      </c>
      <c r="C637" s="6" t="s">
        <v>1415</v>
      </c>
      <c r="D637" s="6" t="s">
        <v>1788</v>
      </c>
    </row>
    <row r="638" customFormat="false" ht="23.85" hidden="false" customHeight="false" outlineLevel="0" collapsed="false">
      <c r="A638" s="6" t="s">
        <v>640</v>
      </c>
      <c r="B638" s="6" t="s">
        <v>264</v>
      </c>
      <c r="C638" s="6" t="s">
        <v>1415</v>
      </c>
      <c r="D638" s="6" t="s">
        <v>1789</v>
      </c>
    </row>
    <row r="639" customFormat="false" ht="23.85" hidden="false" customHeight="false" outlineLevel="0" collapsed="false">
      <c r="A639" s="6" t="s">
        <v>640</v>
      </c>
      <c r="B639" s="6" t="s">
        <v>264</v>
      </c>
      <c r="C639" s="6" t="s">
        <v>1415</v>
      </c>
      <c r="D639" s="6" t="s">
        <v>1790</v>
      </c>
    </row>
    <row r="640" customFormat="false" ht="23.85" hidden="false" customHeight="false" outlineLevel="0" collapsed="false">
      <c r="A640" s="6" t="s">
        <v>640</v>
      </c>
      <c r="B640" s="6" t="s">
        <v>264</v>
      </c>
      <c r="C640" s="6" t="s">
        <v>1415</v>
      </c>
      <c r="D640" s="6" t="s">
        <v>1791</v>
      </c>
    </row>
    <row r="641" customFormat="false" ht="23.85" hidden="false" customHeight="false" outlineLevel="0" collapsed="false">
      <c r="A641" s="6" t="s">
        <v>640</v>
      </c>
      <c r="B641" s="6" t="s">
        <v>264</v>
      </c>
      <c r="C641" s="6" t="s">
        <v>1415</v>
      </c>
      <c r="D641" s="6" t="s">
        <v>1792</v>
      </c>
    </row>
    <row r="642" customFormat="false" ht="35.05" hidden="false" customHeight="false" outlineLevel="0" collapsed="false">
      <c r="A642" s="6" t="s">
        <v>640</v>
      </c>
      <c r="B642" s="6" t="s">
        <v>264</v>
      </c>
      <c r="C642" s="6" t="s">
        <v>1415</v>
      </c>
      <c r="D642" s="6" t="s">
        <v>1793</v>
      </c>
    </row>
    <row r="643" customFormat="false" ht="23.85" hidden="false" customHeight="false" outlineLevel="0" collapsed="false">
      <c r="A643" s="6" t="s">
        <v>640</v>
      </c>
      <c r="B643" s="6" t="s">
        <v>224</v>
      </c>
      <c r="C643" s="6" t="s">
        <v>1415</v>
      </c>
      <c r="D643" s="6" t="s">
        <v>648</v>
      </c>
    </row>
    <row r="644" customFormat="false" ht="15" hidden="false" customHeight="false" outlineLevel="0" collapsed="false">
      <c r="A644" s="6" t="s">
        <v>343</v>
      </c>
      <c r="B644" s="6" t="s">
        <v>156</v>
      </c>
      <c r="C644" s="6" t="s">
        <v>1415</v>
      </c>
      <c r="D644" s="6" t="s">
        <v>1652</v>
      </c>
    </row>
    <row r="645" customFormat="false" ht="15" hidden="false" customHeight="false" outlineLevel="0" collapsed="false">
      <c r="A645" s="6" t="s">
        <v>343</v>
      </c>
      <c r="B645" s="6" t="s">
        <v>264</v>
      </c>
      <c r="C645" s="6" t="s">
        <v>1415</v>
      </c>
      <c r="D645" s="6" t="s">
        <v>1794</v>
      </c>
    </row>
    <row r="646" customFormat="false" ht="35.05" hidden="false" customHeight="false" outlineLevel="0" collapsed="false">
      <c r="A646" s="6" t="s">
        <v>343</v>
      </c>
      <c r="B646" s="6" t="s">
        <v>264</v>
      </c>
      <c r="C646" s="6" t="s">
        <v>1415</v>
      </c>
      <c r="D646" s="6" t="s">
        <v>1472</v>
      </c>
    </row>
    <row r="647" customFormat="false" ht="35.05" hidden="false" customHeight="false" outlineLevel="0" collapsed="false">
      <c r="A647" s="6" t="s">
        <v>343</v>
      </c>
      <c r="B647" s="6" t="s">
        <v>264</v>
      </c>
      <c r="C647" s="6" t="s">
        <v>1415</v>
      </c>
      <c r="D647" s="6" t="s">
        <v>1795</v>
      </c>
    </row>
    <row r="648" customFormat="false" ht="15" hidden="false" customHeight="false" outlineLevel="0" collapsed="false">
      <c r="A648" s="6" t="s">
        <v>343</v>
      </c>
      <c r="B648" s="6" t="s">
        <v>264</v>
      </c>
      <c r="C648" s="6" t="s">
        <v>1415</v>
      </c>
      <c r="D648" s="6" t="s">
        <v>1796</v>
      </c>
    </row>
    <row r="649" customFormat="false" ht="35.05" hidden="false" customHeight="false" outlineLevel="0" collapsed="false">
      <c r="A649" s="6" t="s">
        <v>343</v>
      </c>
      <c r="B649" s="6" t="s">
        <v>264</v>
      </c>
      <c r="C649" s="6" t="s">
        <v>1415</v>
      </c>
      <c r="D649" s="6" t="s">
        <v>1558</v>
      </c>
    </row>
    <row r="650" customFormat="false" ht="23.85" hidden="false" customHeight="false" outlineLevel="0" collapsed="false">
      <c r="A650" s="6" t="s">
        <v>343</v>
      </c>
      <c r="B650" s="6" t="s">
        <v>264</v>
      </c>
      <c r="C650" s="6" t="s">
        <v>1415</v>
      </c>
      <c r="D650" s="6" t="s">
        <v>289</v>
      </c>
    </row>
    <row r="651" customFormat="false" ht="23.85" hidden="false" customHeight="false" outlineLevel="0" collapsed="false">
      <c r="A651" s="6" t="s">
        <v>343</v>
      </c>
      <c r="B651" s="6" t="s">
        <v>264</v>
      </c>
      <c r="C651" s="6" t="s">
        <v>1415</v>
      </c>
      <c r="D651" s="6" t="s">
        <v>1797</v>
      </c>
    </row>
    <row r="652" customFormat="false" ht="35.05" hidden="false" customHeight="false" outlineLevel="0" collapsed="false">
      <c r="A652" s="6" t="s">
        <v>343</v>
      </c>
      <c r="B652" s="6" t="s">
        <v>304</v>
      </c>
      <c r="C652" s="6" t="s">
        <v>1415</v>
      </c>
      <c r="D652" s="6" t="s">
        <v>1559</v>
      </c>
    </row>
    <row r="653" customFormat="false" ht="35.05" hidden="false" customHeight="false" outlineLevel="0" collapsed="false">
      <c r="A653" s="6" t="s">
        <v>343</v>
      </c>
      <c r="B653" s="6" t="s">
        <v>70</v>
      </c>
      <c r="C653" s="6" t="s">
        <v>1415</v>
      </c>
      <c r="D653" s="6" t="s">
        <v>1798</v>
      </c>
    </row>
    <row r="654" customFormat="false" ht="23.85" hidden="false" customHeight="false" outlineLevel="0" collapsed="false">
      <c r="A654" s="6" t="s">
        <v>343</v>
      </c>
      <c r="B654" s="6" t="s">
        <v>70</v>
      </c>
      <c r="C654" s="6" t="s">
        <v>1415</v>
      </c>
      <c r="D654" s="6" t="s">
        <v>242</v>
      </c>
    </row>
    <row r="655" customFormat="false" ht="23.85" hidden="false" customHeight="false" outlineLevel="0" collapsed="false">
      <c r="A655" s="6" t="s">
        <v>343</v>
      </c>
      <c r="B655" s="6" t="s">
        <v>70</v>
      </c>
      <c r="C655" s="6" t="s">
        <v>1415</v>
      </c>
      <c r="D655" s="6" t="s">
        <v>257</v>
      </c>
    </row>
    <row r="656" customFormat="false" ht="35.05" hidden="false" customHeight="false" outlineLevel="0" collapsed="false">
      <c r="A656" s="6" t="s">
        <v>343</v>
      </c>
      <c r="B656" s="6" t="s">
        <v>95</v>
      </c>
      <c r="C656" s="6" t="s">
        <v>1415</v>
      </c>
      <c r="D656" s="6" t="s">
        <v>96</v>
      </c>
    </row>
    <row r="657" customFormat="false" ht="35.05" hidden="false" customHeight="false" outlineLevel="0" collapsed="false">
      <c r="A657" s="6" t="s">
        <v>343</v>
      </c>
      <c r="B657" s="6" t="s">
        <v>95</v>
      </c>
      <c r="C657" s="6" t="s">
        <v>1415</v>
      </c>
      <c r="D657" s="6" t="s">
        <v>1426</v>
      </c>
    </row>
    <row r="658" customFormat="false" ht="23.85" hidden="false" customHeight="false" outlineLevel="0" collapsed="false">
      <c r="A658" s="6" t="s">
        <v>343</v>
      </c>
      <c r="B658" s="6" t="s">
        <v>104</v>
      </c>
      <c r="C658" s="6" t="s">
        <v>1415</v>
      </c>
      <c r="D658" s="6" t="s">
        <v>364</v>
      </c>
    </row>
    <row r="659" customFormat="false" ht="35.05" hidden="false" customHeight="false" outlineLevel="0" collapsed="false">
      <c r="A659" s="6" t="s">
        <v>343</v>
      </c>
      <c r="B659" s="6" t="s">
        <v>104</v>
      </c>
      <c r="C659" s="6" t="s">
        <v>1415</v>
      </c>
      <c r="D659" s="6" t="s">
        <v>1598</v>
      </c>
    </row>
    <row r="660" customFormat="false" ht="35.05" hidden="false" customHeight="false" outlineLevel="0" collapsed="false">
      <c r="A660" s="6" t="s">
        <v>343</v>
      </c>
      <c r="B660" s="6" t="s">
        <v>104</v>
      </c>
      <c r="C660" s="6" t="s">
        <v>1415</v>
      </c>
      <c r="D660" s="6" t="s">
        <v>202</v>
      </c>
    </row>
    <row r="661" customFormat="false" ht="35.05" hidden="false" customHeight="false" outlineLevel="0" collapsed="false">
      <c r="A661" s="6" t="s">
        <v>343</v>
      </c>
      <c r="B661" s="6" t="s">
        <v>104</v>
      </c>
      <c r="C661" s="6" t="s">
        <v>1415</v>
      </c>
      <c r="D661" s="6" t="s">
        <v>312</v>
      </c>
    </row>
    <row r="662" customFormat="false" ht="35.05" hidden="false" customHeight="false" outlineLevel="0" collapsed="false">
      <c r="A662" s="6" t="s">
        <v>343</v>
      </c>
      <c r="B662" s="6" t="s">
        <v>104</v>
      </c>
      <c r="C662" s="6" t="s">
        <v>1415</v>
      </c>
      <c r="D662" s="6" t="s">
        <v>320</v>
      </c>
    </row>
    <row r="663" customFormat="false" ht="247.75" hidden="false" customHeight="false" outlineLevel="0" collapsed="false">
      <c r="A663" s="6" t="s">
        <v>343</v>
      </c>
      <c r="B663" s="6" t="s">
        <v>104</v>
      </c>
      <c r="C663" s="6" t="s">
        <v>1427</v>
      </c>
      <c r="D663" s="6" t="s">
        <v>1428</v>
      </c>
    </row>
    <row r="664" customFormat="false" ht="23.85" hidden="false" customHeight="false" outlineLevel="0" collapsed="false">
      <c r="A664" s="6" t="s">
        <v>802</v>
      </c>
      <c r="B664" s="6" t="s">
        <v>138</v>
      </c>
      <c r="C664" s="6" t="s">
        <v>1415</v>
      </c>
      <c r="D664" s="6" t="s">
        <v>1685</v>
      </c>
    </row>
    <row r="665" customFormat="false" ht="15" hidden="false" customHeight="false" outlineLevel="0" collapsed="false">
      <c r="A665" s="6" t="s">
        <v>802</v>
      </c>
      <c r="B665" s="6" t="s">
        <v>138</v>
      </c>
      <c r="C665" s="6" t="s">
        <v>1415</v>
      </c>
      <c r="D665" s="6" t="s">
        <v>1799</v>
      </c>
    </row>
    <row r="666" customFormat="false" ht="35.05" hidden="false" customHeight="false" outlineLevel="0" collapsed="false">
      <c r="A666" s="6" t="s">
        <v>802</v>
      </c>
      <c r="B666" s="6" t="s">
        <v>138</v>
      </c>
      <c r="C666" s="6" t="s">
        <v>1415</v>
      </c>
      <c r="D666" s="6" t="s">
        <v>1800</v>
      </c>
    </row>
    <row r="667" customFormat="false" ht="15" hidden="false" customHeight="false" outlineLevel="0" collapsed="false">
      <c r="A667" s="6" t="s">
        <v>802</v>
      </c>
      <c r="B667" s="6" t="s">
        <v>95</v>
      </c>
      <c r="C667" s="6" t="s">
        <v>1415</v>
      </c>
      <c r="D667" s="6" t="s">
        <v>1801</v>
      </c>
    </row>
    <row r="668" customFormat="false" ht="15" hidden="false" customHeight="false" outlineLevel="0" collapsed="false">
      <c r="A668" s="6" t="s">
        <v>802</v>
      </c>
      <c r="B668" s="6" t="s">
        <v>95</v>
      </c>
      <c r="C668" s="6" t="s">
        <v>1415</v>
      </c>
      <c r="D668" s="6" t="s">
        <v>1802</v>
      </c>
    </row>
    <row r="669" customFormat="false" ht="15" hidden="false" customHeight="false" outlineLevel="0" collapsed="false">
      <c r="A669" s="6" t="s">
        <v>802</v>
      </c>
      <c r="B669" s="6" t="s">
        <v>95</v>
      </c>
      <c r="C669" s="6" t="s">
        <v>1415</v>
      </c>
      <c r="D669" s="6" t="s">
        <v>1687</v>
      </c>
    </row>
    <row r="670" customFormat="false" ht="35.05" hidden="false" customHeight="false" outlineLevel="0" collapsed="false">
      <c r="A670" s="6" t="s">
        <v>802</v>
      </c>
      <c r="B670" s="6" t="s">
        <v>95</v>
      </c>
      <c r="C670" s="6" t="s">
        <v>1415</v>
      </c>
      <c r="D670" s="6" t="s">
        <v>683</v>
      </c>
    </row>
    <row r="671" customFormat="false" ht="35.05" hidden="false" customHeight="false" outlineLevel="0" collapsed="false">
      <c r="A671" s="6" t="s">
        <v>802</v>
      </c>
      <c r="B671" s="6" t="s">
        <v>147</v>
      </c>
      <c r="C671" s="6" t="s">
        <v>1695</v>
      </c>
      <c r="D671" s="6" t="s">
        <v>1696</v>
      </c>
    </row>
    <row r="672" customFormat="false" ht="23.85" hidden="false" customHeight="false" outlineLevel="0" collapsed="false">
      <c r="A672" s="6" t="s">
        <v>802</v>
      </c>
      <c r="B672" s="6" t="s">
        <v>147</v>
      </c>
      <c r="C672" s="6" t="s">
        <v>1697</v>
      </c>
      <c r="D672" s="6" t="s">
        <v>1698</v>
      </c>
    </row>
    <row r="673" customFormat="false" ht="15" hidden="false" customHeight="false" outlineLevel="0" collapsed="false">
      <c r="A673" s="6" t="s">
        <v>226</v>
      </c>
      <c r="B673" s="6" t="s">
        <v>69</v>
      </c>
      <c r="C673" s="6" t="s">
        <v>1415</v>
      </c>
      <c r="D673" s="6" t="s">
        <v>1473</v>
      </c>
    </row>
    <row r="674" customFormat="false" ht="23.85" hidden="false" customHeight="false" outlineLevel="0" collapsed="false">
      <c r="A674" s="6" t="s">
        <v>226</v>
      </c>
      <c r="B674" s="6" t="s">
        <v>114</v>
      </c>
      <c r="C674" s="6" t="s">
        <v>1415</v>
      </c>
      <c r="D674" s="6" t="s">
        <v>1803</v>
      </c>
    </row>
    <row r="675" customFormat="false" ht="46.25" hidden="false" customHeight="false" outlineLevel="0" collapsed="false">
      <c r="A675" s="6" t="s">
        <v>226</v>
      </c>
      <c r="B675" s="6" t="s">
        <v>114</v>
      </c>
      <c r="C675" s="6" t="s">
        <v>1415</v>
      </c>
      <c r="D675" s="6" t="s">
        <v>1470</v>
      </c>
    </row>
    <row r="676" customFormat="false" ht="23.85" hidden="false" customHeight="false" outlineLevel="0" collapsed="false">
      <c r="A676" s="6" t="s">
        <v>226</v>
      </c>
      <c r="B676" s="6" t="s">
        <v>114</v>
      </c>
      <c r="C676" s="6" t="s">
        <v>1415</v>
      </c>
      <c r="D676" s="6" t="s">
        <v>1804</v>
      </c>
    </row>
    <row r="677" customFormat="false" ht="46.25" hidden="false" customHeight="false" outlineLevel="0" collapsed="false">
      <c r="A677" s="6" t="s">
        <v>226</v>
      </c>
      <c r="B677" s="6" t="s">
        <v>114</v>
      </c>
      <c r="C677" s="6" t="s">
        <v>1415</v>
      </c>
      <c r="D677" s="6" t="s">
        <v>1736</v>
      </c>
    </row>
    <row r="678" customFormat="false" ht="23.85" hidden="false" customHeight="false" outlineLevel="0" collapsed="false">
      <c r="A678" s="6" t="s">
        <v>226</v>
      </c>
      <c r="B678" s="6" t="s">
        <v>114</v>
      </c>
      <c r="C678" s="6" t="s">
        <v>1415</v>
      </c>
      <c r="D678" s="6" t="s">
        <v>1805</v>
      </c>
    </row>
    <row r="679" customFormat="false" ht="15" hidden="false" customHeight="false" outlineLevel="0" collapsed="false">
      <c r="A679" s="6" t="s">
        <v>226</v>
      </c>
      <c r="B679" s="6" t="s">
        <v>114</v>
      </c>
      <c r="C679" s="6" t="s">
        <v>1415</v>
      </c>
      <c r="D679" s="6" t="s">
        <v>1532</v>
      </c>
    </row>
    <row r="680" customFormat="false" ht="23.85" hidden="false" customHeight="false" outlineLevel="0" collapsed="false">
      <c r="A680" s="6" t="s">
        <v>226</v>
      </c>
      <c r="B680" s="6" t="s">
        <v>156</v>
      </c>
      <c r="C680" s="6" t="s">
        <v>1415</v>
      </c>
      <c r="D680" s="6" t="s">
        <v>1474</v>
      </c>
    </row>
    <row r="681" customFormat="false" ht="46.25" hidden="false" customHeight="false" outlineLevel="0" collapsed="false">
      <c r="A681" s="6" t="s">
        <v>226</v>
      </c>
      <c r="B681" s="6" t="s">
        <v>156</v>
      </c>
      <c r="C681" s="6" t="s">
        <v>1415</v>
      </c>
      <c r="D681" s="6" t="s">
        <v>1475</v>
      </c>
    </row>
    <row r="682" customFormat="false" ht="15" hidden="false" customHeight="false" outlineLevel="0" collapsed="false">
      <c r="A682" s="6" t="s">
        <v>226</v>
      </c>
      <c r="B682" s="6" t="s">
        <v>131</v>
      </c>
      <c r="C682" s="6" t="s">
        <v>1415</v>
      </c>
      <c r="D682" s="6" t="s">
        <v>1806</v>
      </c>
    </row>
    <row r="683" customFormat="false" ht="23.85" hidden="false" customHeight="false" outlineLevel="0" collapsed="false">
      <c r="A683" s="6" t="s">
        <v>226</v>
      </c>
      <c r="B683" s="6" t="s">
        <v>296</v>
      </c>
      <c r="C683" s="6" t="s">
        <v>1415</v>
      </c>
      <c r="D683" s="6" t="s">
        <v>1756</v>
      </c>
    </row>
    <row r="684" customFormat="false" ht="15" hidden="false" customHeight="false" outlineLevel="0" collapsed="false">
      <c r="A684" s="6" t="s">
        <v>226</v>
      </c>
      <c r="B684" s="6" t="s">
        <v>296</v>
      </c>
      <c r="C684" s="6" t="s">
        <v>1415</v>
      </c>
      <c r="D684" s="6" t="s">
        <v>1807</v>
      </c>
    </row>
    <row r="685" customFormat="false" ht="23.85" hidden="false" customHeight="false" outlineLevel="0" collapsed="false">
      <c r="A685" s="6" t="s">
        <v>226</v>
      </c>
      <c r="B685" s="6" t="s">
        <v>378</v>
      </c>
      <c r="C685" s="6" t="s">
        <v>1415</v>
      </c>
      <c r="D685" s="6" t="s">
        <v>1808</v>
      </c>
    </row>
    <row r="686" customFormat="false" ht="15" hidden="false" customHeight="false" outlineLevel="0" collapsed="false">
      <c r="A686" s="6" t="s">
        <v>226</v>
      </c>
      <c r="B686" s="6" t="s">
        <v>378</v>
      </c>
      <c r="C686" s="6" t="s">
        <v>1415</v>
      </c>
      <c r="D686" s="6" t="s">
        <v>1809</v>
      </c>
    </row>
    <row r="687" customFormat="false" ht="23.85" hidden="false" customHeight="false" outlineLevel="0" collapsed="false">
      <c r="A687" s="6" t="s">
        <v>226</v>
      </c>
      <c r="B687" s="6" t="s">
        <v>378</v>
      </c>
      <c r="C687" s="6" t="s">
        <v>1415</v>
      </c>
      <c r="D687" s="6" t="s">
        <v>1630</v>
      </c>
    </row>
    <row r="688" customFormat="false" ht="23.85" hidden="false" customHeight="false" outlineLevel="0" collapsed="false">
      <c r="A688" s="6" t="s">
        <v>226</v>
      </c>
      <c r="B688" s="6" t="s">
        <v>264</v>
      </c>
      <c r="C688" s="6" t="s">
        <v>1415</v>
      </c>
      <c r="D688" s="6" t="s">
        <v>1552</v>
      </c>
    </row>
    <row r="689" customFormat="false" ht="35.05" hidden="false" customHeight="false" outlineLevel="0" collapsed="false">
      <c r="A689" s="6" t="s">
        <v>226</v>
      </c>
      <c r="B689" s="6" t="s">
        <v>264</v>
      </c>
      <c r="C689" s="6" t="s">
        <v>1415</v>
      </c>
      <c r="D689" s="6" t="s">
        <v>1553</v>
      </c>
    </row>
    <row r="690" customFormat="false" ht="46.25" hidden="false" customHeight="false" outlineLevel="0" collapsed="false">
      <c r="A690" s="6" t="s">
        <v>226</v>
      </c>
      <c r="B690" s="6" t="s">
        <v>264</v>
      </c>
      <c r="C690" s="6" t="s">
        <v>1415</v>
      </c>
      <c r="D690" s="6" t="s">
        <v>446</v>
      </c>
    </row>
    <row r="691" customFormat="false" ht="23.85" hidden="false" customHeight="false" outlineLevel="0" collapsed="false">
      <c r="A691" s="6" t="s">
        <v>226</v>
      </c>
      <c r="B691" s="6" t="s">
        <v>224</v>
      </c>
      <c r="C691" s="6" t="s">
        <v>1415</v>
      </c>
      <c r="D691" s="6" t="s">
        <v>1810</v>
      </c>
    </row>
    <row r="692" customFormat="false" ht="23.85" hidden="false" customHeight="false" outlineLevel="0" collapsed="false">
      <c r="A692" s="6" t="s">
        <v>226</v>
      </c>
      <c r="B692" s="6" t="s">
        <v>138</v>
      </c>
      <c r="C692" s="6" t="s">
        <v>1415</v>
      </c>
      <c r="D692" s="6" t="s">
        <v>1685</v>
      </c>
    </row>
    <row r="693" customFormat="false" ht="23.85" hidden="false" customHeight="false" outlineLevel="0" collapsed="false">
      <c r="A693" s="6" t="s">
        <v>226</v>
      </c>
      <c r="B693" s="6" t="s">
        <v>70</v>
      </c>
      <c r="C693" s="6" t="s">
        <v>1415</v>
      </c>
      <c r="D693" s="6" t="s">
        <v>1526</v>
      </c>
    </row>
    <row r="694" customFormat="false" ht="15" hidden="false" customHeight="false" outlineLevel="0" collapsed="false">
      <c r="A694" s="6" t="s">
        <v>226</v>
      </c>
      <c r="B694" s="6" t="s">
        <v>95</v>
      </c>
      <c r="C694" s="6" t="s">
        <v>1415</v>
      </c>
      <c r="D694" s="6" t="s">
        <v>1802</v>
      </c>
    </row>
    <row r="695" customFormat="false" ht="15" hidden="false" customHeight="false" outlineLevel="0" collapsed="false">
      <c r="A695" s="6" t="s">
        <v>226</v>
      </c>
      <c r="B695" s="6" t="s">
        <v>104</v>
      </c>
      <c r="C695" s="6" t="s">
        <v>1415</v>
      </c>
      <c r="D695" s="6" t="s">
        <v>1811</v>
      </c>
    </row>
    <row r="696" customFormat="false" ht="15" hidden="false" customHeight="false" outlineLevel="0" collapsed="false">
      <c r="A696" s="6" t="s">
        <v>226</v>
      </c>
      <c r="B696" s="6" t="s">
        <v>104</v>
      </c>
      <c r="C696" s="6" t="s">
        <v>1415</v>
      </c>
      <c r="D696" s="6" t="s">
        <v>1812</v>
      </c>
    </row>
    <row r="697" customFormat="false" ht="35.05" hidden="false" customHeight="false" outlineLevel="0" collapsed="false">
      <c r="A697" s="6" t="s">
        <v>226</v>
      </c>
      <c r="B697" s="6" t="s">
        <v>104</v>
      </c>
      <c r="C697" s="6" t="s">
        <v>1415</v>
      </c>
      <c r="D697" s="6" t="s">
        <v>233</v>
      </c>
    </row>
    <row r="698" customFormat="false" ht="46.25" hidden="false" customHeight="false" outlineLevel="0" collapsed="false">
      <c r="A698" s="6" t="s">
        <v>456</v>
      </c>
      <c r="B698" s="6" t="s">
        <v>296</v>
      </c>
      <c r="C698" s="6" t="s">
        <v>1415</v>
      </c>
      <c r="D698" s="6" t="s">
        <v>707</v>
      </c>
    </row>
    <row r="699" customFormat="false" ht="15" hidden="false" customHeight="false" outlineLevel="0" collapsed="false">
      <c r="A699" s="6" t="s">
        <v>456</v>
      </c>
      <c r="B699" s="6" t="s">
        <v>296</v>
      </c>
      <c r="C699" s="6" t="s">
        <v>1415</v>
      </c>
      <c r="D699" s="6" t="s">
        <v>1773</v>
      </c>
    </row>
    <row r="700" customFormat="false" ht="23.85" hidden="false" customHeight="false" outlineLevel="0" collapsed="false">
      <c r="A700" s="6" t="s">
        <v>456</v>
      </c>
      <c r="B700" s="6" t="s">
        <v>296</v>
      </c>
      <c r="C700" s="6" t="s">
        <v>1415</v>
      </c>
      <c r="D700" s="6" t="s">
        <v>1774</v>
      </c>
    </row>
    <row r="701" customFormat="false" ht="15" hidden="false" customHeight="false" outlineLevel="0" collapsed="false">
      <c r="A701" s="6" t="s">
        <v>456</v>
      </c>
      <c r="B701" s="6" t="s">
        <v>378</v>
      </c>
      <c r="C701" s="6" t="s">
        <v>1415</v>
      </c>
      <c r="D701" s="6" t="s">
        <v>1448</v>
      </c>
    </row>
    <row r="702" customFormat="false" ht="15" hidden="false" customHeight="false" outlineLevel="0" collapsed="false">
      <c r="A702" s="6" t="s">
        <v>456</v>
      </c>
      <c r="B702" s="6" t="s">
        <v>378</v>
      </c>
      <c r="C702" s="6" t="s">
        <v>1415</v>
      </c>
      <c r="D702" s="6" t="s">
        <v>1449</v>
      </c>
    </row>
    <row r="703" customFormat="false" ht="15" hidden="false" customHeight="false" outlineLevel="0" collapsed="false">
      <c r="A703" s="6" t="s">
        <v>456</v>
      </c>
      <c r="B703" s="6" t="s">
        <v>378</v>
      </c>
      <c r="C703" s="6" t="s">
        <v>1415</v>
      </c>
      <c r="D703" s="6" t="s">
        <v>1813</v>
      </c>
    </row>
    <row r="704" customFormat="false" ht="23.85" hidden="false" customHeight="false" outlineLevel="0" collapsed="false">
      <c r="A704" s="6" t="s">
        <v>456</v>
      </c>
      <c r="B704" s="6" t="s">
        <v>378</v>
      </c>
      <c r="C704" s="6" t="s">
        <v>1415</v>
      </c>
      <c r="D704" s="6" t="s">
        <v>463</v>
      </c>
    </row>
    <row r="705" customFormat="false" ht="15" hidden="false" customHeight="false" outlineLevel="0" collapsed="false">
      <c r="A705" s="6" t="s">
        <v>349</v>
      </c>
      <c r="B705" s="6" t="s">
        <v>104</v>
      </c>
      <c r="C705" s="6" t="s">
        <v>1415</v>
      </c>
      <c r="D705" s="6" t="s">
        <v>1814</v>
      </c>
    </row>
    <row r="706" customFormat="false" ht="23.85" hidden="false" customHeight="false" outlineLevel="0" collapsed="false">
      <c r="A706" s="6" t="s">
        <v>349</v>
      </c>
      <c r="B706" s="6" t="s">
        <v>104</v>
      </c>
      <c r="C706" s="6" t="s">
        <v>1415</v>
      </c>
      <c r="D706" s="6" t="s">
        <v>1580</v>
      </c>
    </row>
    <row r="707" customFormat="false" ht="23.85" hidden="false" customHeight="false" outlineLevel="0" collapsed="false">
      <c r="A707" s="6" t="s">
        <v>349</v>
      </c>
      <c r="B707" s="6" t="s">
        <v>104</v>
      </c>
      <c r="C707" s="6" t="s">
        <v>1415</v>
      </c>
      <c r="D707" s="6" t="s">
        <v>356</v>
      </c>
    </row>
    <row r="708" customFormat="false" ht="135.8" hidden="false" customHeight="false" outlineLevel="0" collapsed="false">
      <c r="A708" s="6" t="s">
        <v>349</v>
      </c>
      <c r="B708" s="6" t="s">
        <v>104</v>
      </c>
      <c r="C708" s="6" t="s">
        <v>1468</v>
      </c>
      <c r="D708" s="6" t="s">
        <v>1469</v>
      </c>
    </row>
    <row r="709" customFormat="false" ht="247.75" hidden="false" customHeight="false" outlineLevel="0" collapsed="false">
      <c r="A709" s="6" t="s">
        <v>349</v>
      </c>
      <c r="B709" s="6" t="s">
        <v>104</v>
      </c>
      <c r="C709" s="6" t="s">
        <v>1427</v>
      </c>
      <c r="D709" s="6" t="s">
        <v>1428</v>
      </c>
    </row>
    <row r="710" customFormat="false" ht="214.15" hidden="false" customHeight="false" outlineLevel="0" collapsed="false">
      <c r="A710" s="6" t="s">
        <v>349</v>
      </c>
      <c r="B710" s="6" t="s">
        <v>68</v>
      </c>
      <c r="C710" s="6" t="s">
        <v>1621</v>
      </c>
      <c r="D710" s="6" t="s">
        <v>1622</v>
      </c>
    </row>
    <row r="711" customFormat="false" ht="15" hidden="false" customHeight="false" outlineLevel="0" collapsed="false">
      <c r="A711" s="6" t="s">
        <v>807</v>
      </c>
      <c r="B711" s="6" t="s">
        <v>378</v>
      </c>
      <c r="C711" s="6" t="s">
        <v>1415</v>
      </c>
      <c r="D711" s="6" t="s">
        <v>814</v>
      </c>
    </row>
    <row r="712" customFormat="false" ht="23.85" hidden="false" customHeight="false" outlineLevel="0" collapsed="false">
      <c r="A712" s="6" t="s">
        <v>649</v>
      </c>
      <c r="B712" s="6" t="s">
        <v>114</v>
      </c>
      <c r="C712" s="6" t="s">
        <v>1415</v>
      </c>
      <c r="D712" s="6" t="s">
        <v>1543</v>
      </c>
    </row>
    <row r="713" customFormat="false" ht="35.05" hidden="false" customHeight="false" outlineLevel="0" collapsed="false">
      <c r="A713" s="6" t="s">
        <v>649</v>
      </c>
      <c r="B713" s="6" t="s">
        <v>296</v>
      </c>
      <c r="C713" s="6" t="s">
        <v>1415</v>
      </c>
      <c r="D713" s="6" t="s">
        <v>1815</v>
      </c>
    </row>
    <row r="714" customFormat="false" ht="46.25" hidden="false" customHeight="false" outlineLevel="0" collapsed="false">
      <c r="A714" s="6" t="s">
        <v>649</v>
      </c>
      <c r="B714" s="6" t="s">
        <v>296</v>
      </c>
      <c r="C714" s="6" t="s">
        <v>1415</v>
      </c>
      <c r="D714" s="6" t="s">
        <v>1782</v>
      </c>
    </row>
    <row r="715" customFormat="false" ht="35.05" hidden="false" customHeight="false" outlineLevel="0" collapsed="false">
      <c r="A715" s="6" t="s">
        <v>649</v>
      </c>
      <c r="B715" s="6" t="s">
        <v>378</v>
      </c>
      <c r="C715" s="6" t="s">
        <v>1415</v>
      </c>
      <c r="D715" s="6" t="s">
        <v>656</v>
      </c>
    </row>
    <row r="716" customFormat="false" ht="113.4" hidden="false" customHeight="false" outlineLevel="0" collapsed="false">
      <c r="A716" s="6" t="s">
        <v>140</v>
      </c>
      <c r="B716" s="6" t="s">
        <v>147</v>
      </c>
      <c r="C716" s="6" t="s">
        <v>1816</v>
      </c>
      <c r="D716" s="6" t="s">
        <v>1817</v>
      </c>
    </row>
    <row r="717" customFormat="false" ht="15" hidden="false" customHeight="false" outlineLevel="0" collapsed="false">
      <c r="A717" s="6" t="s">
        <v>597</v>
      </c>
      <c r="B717" s="6" t="s">
        <v>131</v>
      </c>
      <c r="C717" s="6" t="s">
        <v>1415</v>
      </c>
      <c r="D717" s="6" t="s">
        <v>1818</v>
      </c>
    </row>
    <row r="718" customFormat="false" ht="35.05" hidden="false" customHeight="false" outlineLevel="0" collapsed="false">
      <c r="A718" s="6" t="s">
        <v>597</v>
      </c>
      <c r="B718" s="6" t="s">
        <v>131</v>
      </c>
      <c r="C718" s="6" t="s">
        <v>1415</v>
      </c>
      <c r="D718" s="6" t="s">
        <v>1819</v>
      </c>
    </row>
    <row r="719" customFormat="false" ht="23.85" hidden="false" customHeight="false" outlineLevel="0" collapsed="false">
      <c r="A719" s="6" t="s">
        <v>597</v>
      </c>
      <c r="B719" s="6" t="s">
        <v>131</v>
      </c>
      <c r="C719" s="6" t="s">
        <v>1415</v>
      </c>
      <c r="D719" s="6" t="s">
        <v>499</v>
      </c>
    </row>
    <row r="720" customFormat="false" ht="15" hidden="false" customHeight="false" outlineLevel="0" collapsed="false">
      <c r="A720" s="6" t="s">
        <v>597</v>
      </c>
      <c r="B720" s="6" t="s">
        <v>131</v>
      </c>
      <c r="C720" s="6" t="s">
        <v>1415</v>
      </c>
      <c r="D720" s="6" t="s">
        <v>1573</v>
      </c>
    </row>
    <row r="721" customFormat="false" ht="23.85" hidden="false" customHeight="false" outlineLevel="0" collapsed="false">
      <c r="A721" s="6" t="s">
        <v>597</v>
      </c>
      <c r="B721" s="6" t="s">
        <v>131</v>
      </c>
      <c r="C721" s="6" t="s">
        <v>1415</v>
      </c>
      <c r="D721" s="6" t="s">
        <v>1820</v>
      </c>
    </row>
    <row r="722" customFormat="false" ht="23.85" hidden="false" customHeight="false" outlineLevel="0" collapsed="false">
      <c r="A722" s="6" t="s">
        <v>597</v>
      </c>
      <c r="B722" s="6" t="s">
        <v>568</v>
      </c>
      <c r="C722" s="6" t="s">
        <v>1415</v>
      </c>
      <c r="D722" s="6" t="s">
        <v>603</v>
      </c>
    </row>
    <row r="723" customFormat="false" ht="57.45" hidden="false" customHeight="false" outlineLevel="0" collapsed="false">
      <c r="A723" s="6" t="s">
        <v>1058</v>
      </c>
      <c r="B723" s="6" t="s">
        <v>131</v>
      </c>
      <c r="C723" s="6" t="s">
        <v>1415</v>
      </c>
      <c r="D723" s="6" t="s">
        <v>1689</v>
      </c>
    </row>
    <row r="724" customFormat="false" ht="15" hidden="false" customHeight="false" outlineLevel="0" collapsed="false">
      <c r="A724" s="6" t="s">
        <v>1058</v>
      </c>
      <c r="B724" s="6" t="s">
        <v>104</v>
      </c>
      <c r="C724" s="6" t="s">
        <v>1415</v>
      </c>
      <c r="D724" s="6" t="s">
        <v>1821</v>
      </c>
    </row>
    <row r="725" customFormat="false" ht="23.85" hidden="false" customHeight="false" outlineLevel="0" collapsed="false">
      <c r="A725" s="6" t="s">
        <v>1058</v>
      </c>
      <c r="B725" s="6" t="s">
        <v>104</v>
      </c>
      <c r="C725" s="6" t="s">
        <v>1415</v>
      </c>
      <c r="D725" s="6" t="s">
        <v>1064</v>
      </c>
    </row>
    <row r="726" customFormat="false" ht="15" hidden="false" customHeight="false" outlineLevel="0" collapsed="false">
      <c r="A726" s="6" t="s">
        <v>1058</v>
      </c>
      <c r="B726" s="6" t="s">
        <v>104</v>
      </c>
      <c r="C726" s="6" t="s">
        <v>1415</v>
      </c>
      <c r="D726" s="6" t="s">
        <v>1636</v>
      </c>
    </row>
    <row r="727" customFormat="false" ht="15" hidden="false" customHeight="false" outlineLevel="0" collapsed="false">
      <c r="A727" s="6" t="s">
        <v>1058</v>
      </c>
      <c r="B727" s="6" t="s">
        <v>104</v>
      </c>
      <c r="C727" s="6" t="s">
        <v>1415</v>
      </c>
      <c r="D727" s="6" t="s">
        <v>1016</v>
      </c>
    </row>
    <row r="728" customFormat="false" ht="23.85" hidden="false" customHeight="false" outlineLevel="0" collapsed="false">
      <c r="A728" s="6" t="s">
        <v>88</v>
      </c>
      <c r="B728" s="6" t="s">
        <v>69</v>
      </c>
      <c r="C728" s="6" t="s">
        <v>1415</v>
      </c>
      <c r="D728" s="6" t="s">
        <v>1429</v>
      </c>
    </row>
    <row r="729" customFormat="false" ht="15" hidden="false" customHeight="false" outlineLevel="0" collapsed="false">
      <c r="A729" s="6" t="s">
        <v>88</v>
      </c>
      <c r="B729" s="6" t="s">
        <v>69</v>
      </c>
      <c r="C729" s="6" t="s">
        <v>1415</v>
      </c>
      <c r="D729" s="6" t="s">
        <v>1822</v>
      </c>
    </row>
    <row r="730" customFormat="false" ht="23.85" hidden="false" customHeight="false" outlineLevel="0" collapsed="false">
      <c r="A730" s="6" t="s">
        <v>88</v>
      </c>
      <c r="B730" s="6" t="s">
        <v>69</v>
      </c>
      <c r="C730" s="6" t="s">
        <v>1415</v>
      </c>
      <c r="D730" s="6" t="s">
        <v>1670</v>
      </c>
    </row>
    <row r="731" customFormat="false" ht="35.05" hidden="false" customHeight="false" outlineLevel="0" collapsed="false">
      <c r="A731" s="6" t="s">
        <v>88</v>
      </c>
      <c r="B731" s="6" t="s">
        <v>69</v>
      </c>
      <c r="C731" s="6" t="s">
        <v>1415</v>
      </c>
      <c r="D731" s="6" t="s">
        <v>1823</v>
      </c>
    </row>
    <row r="732" customFormat="false" ht="23.85" hidden="false" customHeight="false" outlineLevel="0" collapsed="false">
      <c r="A732" s="6" t="s">
        <v>88</v>
      </c>
      <c r="B732" s="6" t="s">
        <v>69</v>
      </c>
      <c r="C732" s="6" t="s">
        <v>1415</v>
      </c>
      <c r="D732" s="6" t="s">
        <v>1824</v>
      </c>
    </row>
    <row r="733" customFormat="false" ht="35.05" hidden="false" customHeight="false" outlineLevel="0" collapsed="false">
      <c r="A733" s="6" t="s">
        <v>88</v>
      </c>
      <c r="B733" s="6" t="s">
        <v>69</v>
      </c>
      <c r="C733" s="6" t="s">
        <v>1415</v>
      </c>
      <c r="D733" s="6" t="s">
        <v>1825</v>
      </c>
    </row>
    <row r="734" customFormat="false" ht="23.85" hidden="false" customHeight="false" outlineLevel="0" collapsed="false">
      <c r="A734" s="6" t="s">
        <v>88</v>
      </c>
      <c r="B734" s="6" t="s">
        <v>114</v>
      </c>
      <c r="C734" s="6" t="s">
        <v>1415</v>
      </c>
      <c r="D734" s="6" t="s">
        <v>1826</v>
      </c>
    </row>
    <row r="735" customFormat="false" ht="23.85" hidden="false" customHeight="false" outlineLevel="0" collapsed="false">
      <c r="A735" s="6" t="s">
        <v>88</v>
      </c>
      <c r="B735" s="6" t="s">
        <v>114</v>
      </c>
      <c r="C735" s="6" t="s">
        <v>1415</v>
      </c>
      <c r="D735" s="6" t="s">
        <v>1711</v>
      </c>
    </row>
    <row r="736" customFormat="false" ht="35.05" hidden="false" customHeight="false" outlineLevel="0" collapsed="false">
      <c r="A736" s="6" t="s">
        <v>88</v>
      </c>
      <c r="B736" s="6" t="s">
        <v>156</v>
      </c>
      <c r="C736" s="6" t="s">
        <v>1415</v>
      </c>
      <c r="D736" s="6" t="s">
        <v>1495</v>
      </c>
    </row>
    <row r="737" customFormat="false" ht="23.85" hidden="false" customHeight="false" outlineLevel="0" collapsed="false">
      <c r="A737" s="6" t="s">
        <v>88</v>
      </c>
      <c r="B737" s="6" t="s">
        <v>131</v>
      </c>
      <c r="C737" s="6" t="s">
        <v>1415</v>
      </c>
      <c r="D737" s="6" t="s">
        <v>1500</v>
      </c>
    </row>
    <row r="738" customFormat="false" ht="23.85" hidden="false" customHeight="false" outlineLevel="0" collapsed="false">
      <c r="A738" s="6" t="s">
        <v>88</v>
      </c>
      <c r="B738" s="6" t="s">
        <v>131</v>
      </c>
      <c r="C738" s="6" t="s">
        <v>1415</v>
      </c>
      <c r="D738" s="6" t="s">
        <v>1827</v>
      </c>
    </row>
    <row r="739" customFormat="false" ht="23.85" hidden="false" customHeight="false" outlineLevel="0" collapsed="false">
      <c r="A739" s="6" t="s">
        <v>88</v>
      </c>
      <c r="B739" s="6" t="s">
        <v>131</v>
      </c>
      <c r="C739" s="6" t="s">
        <v>1415</v>
      </c>
      <c r="D739" s="6" t="s">
        <v>1828</v>
      </c>
    </row>
    <row r="740" customFormat="false" ht="15" hidden="false" customHeight="false" outlineLevel="0" collapsed="false">
      <c r="A740" s="6" t="s">
        <v>88</v>
      </c>
      <c r="B740" s="6" t="s">
        <v>296</v>
      </c>
      <c r="C740" s="6" t="s">
        <v>1415</v>
      </c>
      <c r="D740" s="6" t="s">
        <v>1829</v>
      </c>
    </row>
    <row r="741" customFormat="false" ht="23.85" hidden="false" customHeight="false" outlineLevel="0" collapsed="false">
      <c r="A741" s="6" t="s">
        <v>88</v>
      </c>
      <c r="B741" s="6" t="s">
        <v>296</v>
      </c>
      <c r="C741" s="6" t="s">
        <v>1415</v>
      </c>
      <c r="D741" s="6" t="s">
        <v>1830</v>
      </c>
    </row>
    <row r="742" customFormat="false" ht="23.85" hidden="false" customHeight="false" outlineLevel="0" collapsed="false">
      <c r="A742" s="6" t="s">
        <v>88</v>
      </c>
      <c r="B742" s="6" t="s">
        <v>296</v>
      </c>
      <c r="C742" s="6" t="s">
        <v>1415</v>
      </c>
      <c r="D742" s="6" t="s">
        <v>1831</v>
      </c>
    </row>
    <row r="743" customFormat="false" ht="35.05" hidden="false" customHeight="false" outlineLevel="0" collapsed="false">
      <c r="A743" s="6" t="s">
        <v>88</v>
      </c>
      <c r="B743" s="6" t="s">
        <v>296</v>
      </c>
      <c r="C743" s="6" t="s">
        <v>1415</v>
      </c>
      <c r="D743" s="6" t="s">
        <v>1832</v>
      </c>
    </row>
    <row r="744" customFormat="false" ht="23.85" hidden="false" customHeight="false" outlineLevel="0" collapsed="false">
      <c r="A744" s="6" t="s">
        <v>88</v>
      </c>
      <c r="B744" s="6" t="s">
        <v>568</v>
      </c>
      <c r="C744" s="6" t="s">
        <v>1415</v>
      </c>
      <c r="D744" s="6" t="s">
        <v>1833</v>
      </c>
    </row>
    <row r="745" customFormat="false" ht="23.85" hidden="false" customHeight="false" outlineLevel="0" collapsed="false">
      <c r="A745" s="6" t="s">
        <v>88</v>
      </c>
      <c r="B745" s="6" t="s">
        <v>568</v>
      </c>
      <c r="C745" s="6" t="s">
        <v>1415</v>
      </c>
      <c r="D745" s="6" t="s">
        <v>1834</v>
      </c>
    </row>
    <row r="746" customFormat="false" ht="35.05" hidden="false" customHeight="false" outlineLevel="0" collapsed="false">
      <c r="A746" s="6" t="s">
        <v>88</v>
      </c>
      <c r="B746" s="6" t="s">
        <v>264</v>
      </c>
      <c r="C746" s="6" t="s">
        <v>1415</v>
      </c>
      <c r="D746" s="6" t="s">
        <v>1835</v>
      </c>
    </row>
    <row r="747" customFormat="false" ht="23.85" hidden="false" customHeight="false" outlineLevel="0" collapsed="false">
      <c r="A747" s="6" t="s">
        <v>88</v>
      </c>
      <c r="B747" s="6" t="s">
        <v>264</v>
      </c>
      <c r="C747" s="6" t="s">
        <v>1415</v>
      </c>
      <c r="D747" s="6" t="s">
        <v>1516</v>
      </c>
    </row>
    <row r="748" customFormat="false" ht="23.85" hidden="false" customHeight="false" outlineLevel="0" collapsed="false">
      <c r="A748" s="6" t="s">
        <v>88</v>
      </c>
      <c r="B748" s="6" t="s">
        <v>264</v>
      </c>
      <c r="C748" s="6" t="s">
        <v>1415</v>
      </c>
      <c r="D748" s="6" t="s">
        <v>1836</v>
      </c>
    </row>
    <row r="749" customFormat="false" ht="35.05" hidden="false" customHeight="false" outlineLevel="0" collapsed="false">
      <c r="A749" s="6" t="s">
        <v>88</v>
      </c>
      <c r="B749" s="6" t="s">
        <v>264</v>
      </c>
      <c r="C749" s="6" t="s">
        <v>1415</v>
      </c>
      <c r="D749" s="6" t="s">
        <v>1558</v>
      </c>
    </row>
    <row r="750" customFormat="false" ht="35.05" hidden="false" customHeight="false" outlineLevel="0" collapsed="false">
      <c r="A750" s="6" t="s">
        <v>88</v>
      </c>
      <c r="B750" s="6" t="s">
        <v>264</v>
      </c>
      <c r="C750" s="6" t="s">
        <v>1415</v>
      </c>
      <c r="D750" s="6" t="s">
        <v>1837</v>
      </c>
    </row>
    <row r="751" customFormat="false" ht="23.85" hidden="false" customHeight="false" outlineLevel="0" collapsed="false">
      <c r="A751" s="6" t="s">
        <v>88</v>
      </c>
      <c r="B751" s="6" t="s">
        <v>304</v>
      </c>
      <c r="C751" s="6" t="s">
        <v>1415</v>
      </c>
      <c r="D751" s="6" t="s">
        <v>1838</v>
      </c>
    </row>
    <row r="752" customFormat="false" ht="35.05" hidden="false" customHeight="false" outlineLevel="0" collapsed="false">
      <c r="A752" s="6" t="s">
        <v>88</v>
      </c>
      <c r="B752" s="6" t="s">
        <v>304</v>
      </c>
      <c r="C752" s="6" t="s">
        <v>1415</v>
      </c>
      <c r="D752" s="6" t="s">
        <v>1559</v>
      </c>
    </row>
    <row r="753" customFormat="false" ht="23.85" hidden="false" customHeight="false" outlineLevel="0" collapsed="false">
      <c r="A753" s="6" t="s">
        <v>88</v>
      </c>
      <c r="B753" s="6" t="s">
        <v>304</v>
      </c>
      <c r="C753" s="6" t="s">
        <v>1415</v>
      </c>
      <c r="D753" s="6" t="s">
        <v>305</v>
      </c>
    </row>
    <row r="754" customFormat="false" ht="35.05" hidden="false" customHeight="false" outlineLevel="0" collapsed="false">
      <c r="A754" s="6" t="s">
        <v>88</v>
      </c>
      <c r="B754" s="6" t="s">
        <v>304</v>
      </c>
      <c r="C754" s="6" t="s">
        <v>1415</v>
      </c>
      <c r="D754" s="6" t="s">
        <v>1560</v>
      </c>
    </row>
    <row r="755" customFormat="false" ht="15" hidden="false" customHeight="false" outlineLevel="0" collapsed="false">
      <c r="A755" s="6" t="s">
        <v>88</v>
      </c>
      <c r="B755" s="6" t="s">
        <v>304</v>
      </c>
      <c r="C755" s="6" t="s">
        <v>1415</v>
      </c>
      <c r="D755" s="6" t="s">
        <v>1839</v>
      </c>
    </row>
    <row r="756" customFormat="false" ht="23.85" hidden="false" customHeight="false" outlineLevel="0" collapsed="false">
      <c r="A756" s="6" t="s">
        <v>88</v>
      </c>
      <c r="B756" s="6" t="s">
        <v>304</v>
      </c>
      <c r="C756" s="6" t="s">
        <v>1415</v>
      </c>
      <c r="D756" s="6" t="s">
        <v>1561</v>
      </c>
    </row>
    <row r="757" customFormat="false" ht="35.05" hidden="false" customHeight="false" outlineLevel="0" collapsed="false">
      <c r="A757" s="6" t="s">
        <v>88</v>
      </c>
      <c r="B757" s="6" t="s">
        <v>224</v>
      </c>
      <c r="C757" s="6" t="s">
        <v>1415</v>
      </c>
      <c r="D757" s="6" t="s">
        <v>1840</v>
      </c>
    </row>
    <row r="758" customFormat="false" ht="23.85" hidden="false" customHeight="false" outlineLevel="0" collapsed="false">
      <c r="A758" s="6" t="s">
        <v>88</v>
      </c>
      <c r="B758" s="6" t="s">
        <v>224</v>
      </c>
      <c r="C758" s="6" t="s">
        <v>1415</v>
      </c>
      <c r="D758" s="6" t="s">
        <v>1841</v>
      </c>
    </row>
    <row r="759" customFormat="false" ht="23.85" hidden="false" customHeight="false" outlineLevel="0" collapsed="false">
      <c r="A759" s="6" t="s">
        <v>88</v>
      </c>
      <c r="B759" s="6" t="s">
        <v>224</v>
      </c>
      <c r="C759" s="6" t="s">
        <v>1415</v>
      </c>
      <c r="D759" s="6" t="s">
        <v>1775</v>
      </c>
    </row>
    <row r="760" customFormat="false" ht="23.85" hidden="false" customHeight="false" outlineLevel="0" collapsed="false">
      <c r="A760" s="6" t="s">
        <v>88</v>
      </c>
      <c r="B760" s="6" t="s">
        <v>224</v>
      </c>
      <c r="C760" s="6" t="s">
        <v>1415</v>
      </c>
      <c r="D760" s="6" t="s">
        <v>1842</v>
      </c>
    </row>
    <row r="761" customFormat="false" ht="23.85" hidden="false" customHeight="false" outlineLevel="0" collapsed="false">
      <c r="A761" s="6" t="s">
        <v>88</v>
      </c>
      <c r="B761" s="6" t="s">
        <v>224</v>
      </c>
      <c r="C761" s="6" t="s">
        <v>1415</v>
      </c>
      <c r="D761" s="6" t="s">
        <v>1843</v>
      </c>
    </row>
    <row r="762" customFormat="false" ht="23.85" hidden="false" customHeight="false" outlineLevel="0" collapsed="false">
      <c r="A762" s="6" t="s">
        <v>88</v>
      </c>
      <c r="B762" s="6" t="s">
        <v>224</v>
      </c>
      <c r="C762" s="6" t="s">
        <v>1415</v>
      </c>
      <c r="D762" s="6" t="s">
        <v>1844</v>
      </c>
    </row>
    <row r="763" customFormat="false" ht="15" hidden="false" customHeight="false" outlineLevel="0" collapsed="false">
      <c r="A763" s="6" t="s">
        <v>88</v>
      </c>
      <c r="B763" s="6" t="s">
        <v>224</v>
      </c>
      <c r="C763" s="6" t="s">
        <v>1845</v>
      </c>
      <c r="D763" s="6" t="s">
        <v>1846</v>
      </c>
    </row>
    <row r="764" customFormat="false" ht="15" hidden="false" customHeight="false" outlineLevel="0" collapsed="false">
      <c r="A764" s="6" t="s">
        <v>88</v>
      </c>
      <c r="B764" s="6" t="s">
        <v>265</v>
      </c>
      <c r="C764" s="6" t="s">
        <v>1415</v>
      </c>
      <c r="D764" s="6" t="s">
        <v>1847</v>
      </c>
    </row>
    <row r="765" customFormat="false" ht="23.85" hidden="false" customHeight="false" outlineLevel="0" collapsed="false">
      <c r="A765" s="6" t="s">
        <v>88</v>
      </c>
      <c r="B765" s="6" t="s">
        <v>265</v>
      </c>
      <c r="C765" s="6" t="s">
        <v>1415</v>
      </c>
      <c r="D765" s="6" t="s">
        <v>1848</v>
      </c>
    </row>
    <row r="766" customFormat="false" ht="15" hidden="false" customHeight="false" outlineLevel="0" collapsed="false">
      <c r="A766" s="6" t="s">
        <v>88</v>
      </c>
      <c r="B766" s="6" t="s">
        <v>138</v>
      </c>
      <c r="C766" s="6" t="s">
        <v>1415</v>
      </c>
      <c r="D766" s="6" t="s">
        <v>1849</v>
      </c>
    </row>
    <row r="767" customFormat="false" ht="15" hidden="false" customHeight="false" outlineLevel="0" collapsed="false">
      <c r="A767" s="6" t="s">
        <v>88</v>
      </c>
      <c r="B767" s="6" t="s">
        <v>138</v>
      </c>
      <c r="C767" s="6" t="s">
        <v>1415</v>
      </c>
      <c r="D767" s="6" t="s">
        <v>1850</v>
      </c>
    </row>
    <row r="768" customFormat="false" ht="23.85" hidden="false" customHeight="false" outlineLevel="0" collapsed="false">
      <c r="A768" s="6" t="s">
        <v>88</v>
      </c>
      <c r="B768" s="6" t="s">
        <v>138</v>
      </c>
      <c r="C768" s="6" t="s">
        <v>1415</v>
      </c>
      <c r="D768" s="6" t="s">
        <v>1851</v>
      </c>
    </row>
    <row r="769" customFormat="false" ht="35.05" hidden="false" customHeight="false" outlineLevel="0" collapsed="false">
      <c r="A769" s="6" t="s">
        <v>88</v>
      </c>
      <c r="B769" s="6" t="s">
        <v>138</v>
      </c>
      <c r="C769" s="6" t="s">
        <v>1415</v>
      </c>
      <c r="D769" s="6" t="s">
        <v>1503</v>
      </c>
    </row>
    <row r="770" customFormat="false" ht="15" hidden="false" customHeight="false" outlineLevel="0" collapsed="false">
      <c r="A770" s="6" t="s">
        <v>88</v>
      </c>
      <c r="B770" s="6" t="s">
        <v>138</v>
      </c>
      <c r="C770" s="6" t="s">
        <v>1415</v>
      </c>
      <c r="D770" s="6" t="s">
        <v>1852</v>
      </c>
    </row>
    <row r="771" customFormat="false" ht="46.25" hidden="false" customHeight="false" outlineLevel="0" collapsed="false">
      <c r="A771" s="6" t="s">
        <v>88</v>
      </c>
      <c r="B771" s="6" t="s">
        <v>138</v>
      </c>
      <c r="C771" s="6" t="s">
        <v>1415</v>
      </c>
      <c r="D771" s="6" t="s">
        <v>1507</v>
      </c>
    </row>
    <row r="772" customFormat="false" ht="35.05" hidden="false" customHeight="false" outlineLevel="0" collapsed="false">
      <c r="A772" s="6" t="s">
        <v>88</v>
      </c>
      <c r="B772" s="6" t="s">
        <v>138</v>
      </c>
      <c r="C772" s="6" t="s">
        <v>1415</v>
      </c>
      <c r="D772" s="6" t="s">
        <v>1853</v>
      </c>
    </row>
    <row r="773" customFormat="false" ht="23.85" hidden="false" customHeight="false" outlineLevel="0" collapsed="false">
      <c r="A773" s="6" t="s">
        <v>88</v>
      </c>
      <c r="B773" s="6" t="s">
        <v>138</v>
      </c>
      <c r="C773" s="6" t="s">
        <v>1415</v>
      </c>
      <c r="D773" s="6" t="s">
        <v>1854</v>
      </c>
    </row>
    <row r="774" customFormat="false" ht="35.05" hidden="false" customHeight="false" outlineLevel="0" collapsed="false">
      <c r="A774" s="6" t="s">
        <v>88</v>
      </c>
      <c r="B774" s="6" t="s">
        <v>138</v>
      </c>
      <c r="C774" s="6" t="s">
        <v>1415</v>
      </c>
      <c r="D774" s="6" t="s">
        <v>1600</v>
      </c>
    </row>
    <row r="775" customFormat="false" ht="23.85" hidden="false" customHeight="false" outlineLevel="0" collapsed="false">
      <c r="A775" s="6" t="s">
        <v>88</v>
      </c>
      <c r="B775" s="6" t="s">
        <v>138</v>
      </c>
      <c r="C775" s="6" t="s">
        <v>1415</v>
      </c>
      <c r="D775" s="6" t="s">
        <v>1855</v>
      </c>
    </row>
    <row r="776" customFormat="false" ht="15" hidden="false" customHeight="false" outlineLevel="0" collapsed="false">
      <c r="A776" s="6" t="s">
        <v>88</v>
      </c>
      <c r="B776" s="6" t="s">
        <v>138</v>
      </c>
      <c r="C776" s="6" t="s">
        <v>1415</v>
      </c>
      <c r="D776" s="6" t="s">
        <v>1856</v>
      </c>
    </row>
    <row r="777" customFormat="false" ht="15" hidden="false" customHeight="false" outlineLevel="0" collapsed="false">
      <c r="A777" s="6" t="s">
        <v>88</v>
      </c>
      <c r="B777" s="6" t="s">
        <v>138</v>
      </c>
      <c r="C777" s="6" t="s">
        <v>1415</v>
      </c>
      <c r="D777" s="6" t="s">
        <v>1857</v>
      </c>
    </row>
    <row r="778" customFormat="false" ht="15" hidden="false" customHeight="false" outlineLevel="0" collapsed="false">
      <c r="A778" s="6" t="s">
        <v>88</v>
      </c>
      <c r="B778" s="6" t="s">
        <v>138</v>
      </c>
      <c r="C778" s="6" t="s">
        <v>1415</v>
      </c>
      <c r="D778" s="6" t="s">
        <v>1858</v>
      </c>
    </row>
    <row r="779" customFormat="false" ht="23.85" hidden="false" customHeight="false" outlineLevel="0" collapsed="false">
      <c r="A779" s="6" t="s">
        <v>88</v>
      </c>
      <c r="B779" s="6" t="s">
        <v>138</v>
      </c>
      <c r="C779" s="6" t="s">
        <v>1415</v>
      </c>
      <c r="D779" s="6" t="s">
        <v>1859</v>
      </c>
    </row>
    <row r="780" customFormat="false" ht="15" hidden="false" customHeight="false" outlineLevel="0" collapsed="false">
      <c r="A780" s="6" t="s">
        <v>88</v>
      </c>
      <c r="B780" s="6" t="s">
        <v>138</v>
      </c>
      <c r="C780" s="6" t="s">
        <v>1415</v>
      </c>
      <c r="D780" s="6" t="s">
        <v>1860</v>
      </c>
    </row>
    <row r="781" customFormat="false" ht="35.05" hidden="false" customHeight="false" outlineLevel="0" collapsed="false">
      <c r="A781" s="6" t="s">
        <v>88</v>
      </c>
      <c r="B781" s="6" t="s">
        <v>138</v>
      </c>
      <c r="C781" s="6" t="s">
        <v>1415</v>
      </c>
      <c r="D781" s="6" t="s">
        <v>1800</v>
      </c>
    </row>
    <row r="782" customFormat="false" ht="23.85" hidden="false" customHeight="false" outlineLevel="0" collapsed="false">
      <c r="A782" s="6" t="s">
        <v>88</v>
      </c>
      <c r="B782" s="6" t="s">
        <v>70</v>
      </c>
      <c r="C782" s="6" t="s">
        <v>1415</v>
      </c>
      <c r="D782" s="6" t="s">
        <v>1684</v>
      </c>
    </row>
    <row r="783" customFormat="false" ht="35.05" hidden="false" customHeight="false" outlineLevel="0" collapsed="false">
      <c r="A783" s="6" t="s">
        <v>88</v>
      </c>
      <c r="B783" s="6" t="s">
        <v>70</v>
      </c>
      <c r="C783" s="6" t="s">
        <v>1415</v>
      </c>
      <c r="D783" s="6" t="s">
        <v>87</v>
      </c>
    </row>
    <row r="784" customFormat="false" ht="46.25" hidden="false" customHeight="false" outlineLevel="0" collapsed="false">
      <c r="A784" s="6" t="s">
        <v>88</v>
      </c>
      <c r="B784" s="6" t="s">
        <v>70</v>
      </c>
      <c r="C784" s="6" t="s">
        <v>1415</v>
      </c>
      <c r="D784" s="6" t="s">
        <v>407</v>
      </c>
    </row>
    <row r="785" customFormat="false" ht="23.85" hidden="false" customHeight="false" outlineLevel="0" collapsed="false">
      <c r="A785" s="6" t="s">
        <v>88</v>
      </c>
      <c r="B785" s="6" t="s">
        <v>70</v>
      </c>
      <c r="C785" s="6" t="s">
        <v>1415</v>
      </c>
      <c r="D785" s="6" t="s">
        <v>1861</v>
      </c>
    </row>
    <row r="786" customFormat="false" ht="15" hidden="false" customHeight="false" outlineLevel="0" collapsed="false">
      <c r="A786" s="6" t="s">
        <v>88</v>
      </c>
      <c r="B786" s="6" t="s">
        <v>70</v>
      </c>
      <c r="C786" s="6" t="s">
        <v>1415</v>
      </c>
      <c r="D786" s="6" t="s">
        <v>1862</v>
      </c>
    </row>
    <row r="787" customFormat="false" ht="35.05" hidden="false" customHeight="false" outlineLevel="0" collapsed="false">
      <c r="A787" s="6" t="s">
        <v>88</v>
      </c>
      <c r="B787" s="6" t="s">
        <v>70</v>
      </c>
      <c r="C787" s="6" t="s">
        <v>1415</v>
      </c>
      <c r="D787" s="6" t="s">
        <v>1863</v>
      </c>
    </row>
    <row r="788" customFormat="false" ht="23.85" hidden="false" customHeight="false" outlineLevel="0" collapsed="false">
      <c r="A788" s="6" t="s">
        <v>88</v>
      </c>
      <c r="B788" s="6" t="s">
        <v>70</v>
      </c>
      <c r="C788" s="6" t="s">
        <v>1415</v>
      </c>
      <c r="D788" s="6" t="s">
        <v>1864</v>
      </c>
    </row>
    <row r="789" customFormat="false" ht="35.05" hidden="false" customHeight="false" outlineLevel="0" collapsed="false">
      <c r="A789" s="6" t="s">
        <v>88</v>
      </c>
      <c r="B789" s="6" t="s">
        <v>70</v>
      </c>
      <c r="C789" s="6" t="s">
        <v>1415</v>
      </c>
      <c r="D789" s="6" t="s">
        <v>71</v>
      </c>
    </row>
    <row r="790" customFormat="false" ht="15" hidden="false" customHeight="false" outlineLevel="0" collapsed="false">
      <c r="A790" s="6" t="s">
        <v>88</v>
      </c>
      <c r="B790" s="6" t="s">
        <v>70</v>
      </c>
      <c r="C790" s="6" t="s">
        <v>1415</v>
      </c>
      <c r="D790" s="6" t="s">
        <v>1865</v>
      </c>
    </row>
    <row r="791" customFormat="false" ht="23.85" hidden="false" customHeight="false" outlineLevel="0" collapsed="false">
      <c r="A791" s="6" t="s">
        <v>88</v>
      </c>
      <c r="B791" s="6" t="s">
        <v>70</v>
      </c>
      <c r="C791" s="6" t="s">
        <v>1415</v>
      </c>
      <c r="D791" s="6" t="s">
        <v>1866</v>
      </c>
    </row>
    <row r="792" customFormat="false" ht="35.05" hidden="false" customHeight="false" outlineLevel="0" collapsed="false">
      <c r="A792" s="6" t="s">
        <v>88</v>
      </c>
      <c r="B792" s="6" t="s">
        <v>70</v>
      </c>
      <c r="C792" s="6" t="s">
        <v>1415</v>
      </c>
      <c r="D792" s="6" t="s">
        <v>1867</v>
      </c>
    </row>
    <row r="793" customFormat="false" ht="35.05" hidden="false" customHeight="false" outlineLevel="0" collapsed="false">
      <c r="A793" s="6" t="s">
        <v>88</v>
      </c>
      <c r="B793" s="6" t="s">
        <v>70</v>
      </c>
      <c r="C793" s="6" t="s">
        <v>1415</v>
      </c>
      <c r="D793" s="6" t="s">
        <v>1868</v>
      </c>
    </row>
    <row r="794" customFormat="false" ht="35.05" hidden="false" customHeight="false" outlineLevel="0" collapsed="false">
      <c r="A794" s="6" t="s">
        <v>88</v>
      </c>
      <c r="B794" s="6" t="s">
        <v>70</v>
      </c>
      <c r="C794" s="6" t="s">
        <v>1415</v>
      </c>
      <c r="D794" s="6" t="s">
        <v>1869</v>
      </c>
    </row>
    <row r="795" customFormat="false" ht="46.25" hidden="false" customHeight="false" outlineLevel="0" collapsed="false">
      <c r="A795" s="6" t="s">
        <v>88</v>
      </c>
      <c r="B795" s="6" t="s">
        <v>70</v>
      </c>
      <c r="C795" s="6" t="s">
        <v>1415</v>
      </c>
      <c r="D795" s="6" t="s">
        <v>1870</v>
      </c>
    </row>
    <row r="796" customFormat="false" ht="23.85" hidden="false" customHeight="false" outlineLevel="0" collapsed="false">
      <c r="A796" s="6" t="s">
        <v>88</v>
      </c>
      <c r="B796" s="6" t="s">
        <v>70</v>
      </c>
      <c r="C796" s="6" t="s">
        <v>1415</v>
      </c>
      <c r="D796" s="6" t="s">
        <v>1755</v>
      </c>
    </row>
    <row r="797" customFormat="false" ht="23.85" hidden="false" customHeight="false" outlineLevel="0" collapsed="false">
      <c r="A797" s="6" t="s">
        <v>88</v>
      </c>
      <c r="B797" s="6" t="s">
        <v>70</v>
      </c>
      <c r="C797" s="6" t="s">
        <v>1415</v>
      </c>
      <c r="D797" s="6" t="s">
        <v>1871</v>
      </c>
    </row>
    <row r="798" customFormat="false" ht="35.05" hidden="false" customHeight="false" outlineLevel="0" collapsed="false">
      <c r="A798" s="6" t="s">
        <v>88</v>
      </c>
      <c r="B798" s="6" t="s">
        <v>70</v>
      </c>
      <c r="C798" s="6" t="s">
        <v>1415</v>
      </c>
      <c r="D798" s="6" t="s">
        <v>217</v>
      </c>
    </row>
    <row r="799" customFormat="false" ht="35.05" hidden="false" customHeight="false" outlineLevel="0" collapsed="false">
      <c r="A799" s="6" t="s">
        <v>88</v>
      </c>
      <c r="B799" s="6" t="s">
        <v>70</v>
      </c>
      <c r="C799" s="6" t="s">
        <v>1415</v>
      </c>
      <c r="D799" s="6" t="s">
        <v>1872</v>
      </c>
    </row>
    <row r="800" customFormat="false" ht="23.85" hidden="false" customHeight="false" outlineLevel="0" collapsed="false">
      <c r="A800" s="6" t="s">
        <v>88</v>
      </c>
      <c r="B800" s="6" t="s">
        <v>70</v>
      </c>
      <c r="C800" s="6" t="s">
        <v>1415</v>
      </c>
      <c r="D800" s="6" t="s">
        <v>242</v>
      </c>
    </row>
    <row r="801" customFormat="false" ht="23.85" hidden="false" customHeight="false" outlineLevel="0" collapsed="false">
      <c r="A801" s="6" t="s">
        <v>88</v>
      </c>
      <c r="B801" s="6" t="s">
        <v>70</v>
      </c>
      <c r="C801" s="6" t="s">
        <v>1415</v>
      </c>
      <c r="D801" s="6" t="s">
        <v>1873</v>
      </c>
    </row>
    <row r="802" customFormat="false" ht="23.85" hidden="false" customHeight="false" outlineLevel="0" collapsed="false">
      <c r="A802" s="6" t="s">
        <v>88</v>
      </c>
      <c r="B802" s="6" t="s">
        <v>70</v>
      </c>
      <c r="C802" s="6" t="s">
        <v>1415</v>
      </c>
      <c r="D802" s="6" t="s">
        <v>257</v>
      </c>
    </row>
    <row r="803" customFormat="false" ht="35.05" hidden="false" customHeight="false" outlineLevel="0" collapsed="false">
      <c r="A803" s="6" t="s">
        <v>88</v>
      </c>
      <c r="B803" s="6" t="s">
        <v>70</v>
      </c>
      <c r="C803" s="6" t="s">
        <v>1415</v>
      </c>
      <c r="D803" s="6" t="s">
        <v>1874</v>
      </c>
    </row>
    <row r="804" customFormat="false" ht="15" hidden="false" customHeight="false" outlineLevel="0" collapsed="false">
      <c r="A804" s="6" t="s">
        <v>88</v>
      </c>
      <c r="B804" s="6" t="s">
        <v>70</v>
      </c>
      <c r="C804" s="6" t="s">
        <v>1415</v>
      </c>
      <c r="D804" s="6" t="s">
        <v>1875</v>
      </c>
    </row>
    <row r="805" customFormat="false" ht="35.05" hidden="false" customHeight="false" outlineLevel="0" collapsed="false">
      <c r="A805" s="6" t="s">
        <v>88</v>
      </c>
      <c r="B805" s="6" t="s">
        <v>95</v>
      </c>
      <c r="C805" s="6" t="s">
        <v>1415</v>
      </c>
      <c r="D805" s="6" t="s">
        <v>96</v>
      </c>
    </row>
    <row r="806" customFormat="false" ht="15" hidden="false" customHeight="false" outlineLevel="0" collapsed="false">
      <c r="A806" s="6" t="s">
        <v>971</v>
      </c>
      <c r="B806" s="6" t="s">
        <v>114</v>
      </c>
      <c r="C806" s="6" t="s">
        <v>1415</v>
      </c>
      <c r="D806" s="6" t="s">
        <v>1876</v>
      </c>
    </row>
    <row r="807" customFormat="false" ht="15" hidden="false" customHeight="false" outlineLevel="0" collapsed="false">
      <c r="A807" s="6" t="s">
        <v>971</v>
      </c>
      <c r="B807" s="6" t="s">
        <v>156</v>
      </c>
      <c r="C807" s="6" t="s">
        <v>1415</v>
      </c>
      <c r="D807" s="6" t="s">
        <v>1652</v>
      </c>
    </row>
    <row r="808" customFormat="false" ht="23.85" hidden="false" customHeight="false" outlineLevel="0" collapsed="false">
      <c r="A808" s="6" t="s">
        <v>971</v>
      </c>
      <c r="B808" s="6" t="s">
        <v>224</v>
      </c>
      <c r="C808" s="6" t="s">
        <v>1415</v>
      </c>
      <c r="D808" s="6" t="s">
        <v>423</v>
      </c>
    </row>
    <row r="809" customFormat="false" ht="23.85" hidden="false" customHeight="false" outlineLevel="0" collapsed="false">
      <c r="A809" s="6" t="s">
        <v>971</v>
      </c>
      <c r="B809" s="6" t="s">
        <v>224</v>
      </c>
      <c r="C809" s="6" t="s">
        <v>1415</v>
      </c>
      <c r="D809" s="6" t="s">
        <v>976</v>
      </c>
    </row>
    <row r="810" customFormat="false" ht="15" hidden="false" customHeight="false" outlineLevel="0" collapsed="false">
      <c r="A810" s="6" t="s">
        <v>971</v>
      </c>
      <c r="B810" s="6" t="s">
        <v>265</v>
      </c>
      <c r="C810" s="6" t="s">
        <v>1415</v>
      </c>
      <c r="D810" s="6" t="s">
        <v>1583</v>
      </c>
    </row>
    <row r="811" customFormat="false" ht="23.85" hidden="false" customHeight="false" outlineLevel="0" collapsed="false">
      <c r="A811" s="6" t="s">
        <v>971</v>
      </c>
      <c r="B811" s="6" t="s">
        <v>70</v>
      </c>
      <c r="C811" s="6" t="s">
        <v>1415</v>
      </c>
      <c r="D811" s="6" t="s">
        <v>1655</v>
      </c>
    </row>
    <row r="812" customFormat="false" ht="46.25" hidden="false" customHeight="false" outlineLevel="0" collapsed="false">
      <c r="A812" s="6" t="s">
        <v>971</v>
      </c>
      <c r="B812" s="6" t="s">
        <v>68</v>
      </c>
      <c r="C812" s="6" t="s">
        <v>1877</v>
      </c>
      <c r="D812" s="6" t="s">
        <v>1878</v>
      </c>
    </row>
    <row r="813" customFormat="false" ht="35.05" hidden="false" customHeight="false" outlineLevel="0" collapsed="false">
      <c r="A813" s="6" t="s">
        <v>149</v>
      </c>
      <c r="B813" s="6" t="s">
        <v>156</v>
      </c>
      <c r="C813" s="6" t="s">
        <v>1415</v>
      </c>
      <c r="D813" s="6" t="s">
        <v>1495</v>
      </c>
    </row>
    <row r="814" customFormat="false" ht="46.25" hidden="false" customHeight="false" outlineLevel="0" collapsed="false">
      <c r="A814" s="6" t="s">
        <v>149</v>
      </c>
      <c r="B814" s="6" t="s">
        <v>131</v>
      </c>
      <c r="C814" s="6" t="s">
        <v>1415</v>
      </c>
      <c r="D814" s="6" t="s">
        <v>157</v>
      </c>
    </row>
    <row r="815" customFormat="false" ht="23.85" hidden="false" customHeight="false" outlineLevel="0" collapsed="false">
      <c r="A815" s="6" t="s">
        <v>97</v>
      </c>
      <c r="B815" s="6" t="s">
        <v>69</v>
      </c>
      <c r="C815" s="6" t="s">
        <v>1415</v>
      </c>
      <c r="D815" s="6" t="s">
        <v>1429</v>
      </c>
    </row>
    <row r="816" customFormat="false" ht="35.05" hidden="false" customHeight="false" outlineLevel="0" collapsed="false">
      <c r="A816" s="6" t="s">
        <v>97</v>
      </c>
      <c r="B816" s="6" t="s">
        <v>69</v>
      </c>
      <c r="C816" s="6" t="s">
        <v>1415</v>
      </c>
      <c r="D816" s="6" t="s">
        <v>1668</v>
      </c>
    </row>
    <row r="817" customFormat="false" ht="23.85" hidden="false" customHeight="false" outlineLevel="0" collapsed="false">
      <c r="A817" s="6" t="s">
        <v>97</v>
      </c>
      <c r="B817" s="6" t="s">
        <v>69</v>
      </c>
      <c r="C817" s="6" t="s">
        <v>1415</v>
      </c>
      <c r="D817" s="6" t="s">
        <v>1879</v>
      </c>
    </row>
    <row r="818" customFormat="false" ht="35.05" hidden="false" customHeight="false" outlineLevel="0" collapsed="false">
      <c r="A818" s="6" t="s">
        <v>97</v>
      </c>
      <c r="B818" s="6" t="s">
        <v>69</v>
      </c>
      <c r="C818" s="6" t="s">
        <v>1415</v>
      </c>
      <c r="D818" s="6" t="s">
        <v>1669</v>
      </c>
    </row>
    <row r="819" customFormat="false" ht="23.85" hidden="false" customHeight="false" outlineLevel="0" collapsed="false">
      <c r="A819" s="6" t="s">
        <v>97</v>
      </c>
      <c r="B819" s="6" t="s">
        <v>69</v>
      </c>
      <c r="C819" s="6" t="s">
        <v>1415</v>
      </c>
      <c r="D819" s="6" t="s">
        <v>1670</v>
      </c>
    </row>
    <row r="820" customFormat="false" ht="46.25" hidden="false" customHeight="false" outlineLevel="0" collapsed="false">
      <c r="A820" s="6" t="s">
        <v>97</v>
      </c>
      <c r="B820" s="6" t="s">
        <v>69</v>
      </c>
      <c r="C820" s="6" t="s">
        <v>1415</v>
      </c>
      <c r="D820" s="6" t="s">
        <v>1671</v>
      </c>
    </row>
    <row r="821" customFormat="false" ht="23.85" hidden="false" customHeight="false" outlineLevel="0" collapsed="false">
      <c r="A821" s="6" t="s">
        <v>97</v>
      </c>
      <c r="B821" s="6" t="s">
        <v>69</v>
      </c>
      <c r="C821" s="6" t="s">
        <v>1415</v>
      </c>
      <c r="D821" s="6" t="s">
        <v>1880</v>
      </c>
    </row>
    <row r="822" customFormat="false" ht="23.85" hidden="false" customHeight="false" outlineLevel="0" collapsed="false">
      <c r="A822" s="6" t="s">
        <v>97</v>
      </c>
      <c r="B822" s="6" t="s">
        <v>114</v>
      </c>
      <c r="C822" s="6" t="s">
        <v>1415</v>
      </c>
      <c r="D822" s="6" t="s">
        <v>1672</v>
      </c>
    </row>
    <row r="823" customFormat="false" ht="15" hidden="false" customHeight="false" outlineLevel="0" collapsed="false">
      <c r="A823" s="6" t="s">
        <v>97</v>
      </c>
      <c r="B823" s="6" t="s">
        <v>114</v>
      </c>
      <c r="C823" s="6" t="s">
        <v>1415</v>
      </c>
      <c r="D823" s="6" t="s">
        <v>1881</v>
      </c>
    </row>
    <row r="824" customFormat="false" ht="35.05" hidden="false" customHeight="false" outlineLevel="0" collapsed="false">
      <c r="A824" s="6" t="s">
        <v>97</v>
      </c>
      <c r="B824" s="6" t="s">
        <v>114</v>
      </c>
      <c r="C824" s="6" t="s">
        <v>1415</v>
      </c>
      <c r="D824" s="6" t="s">
        <v>1477</v>
      </c>
    </row>
    <row r="825" customFormat="false" ht="15" hidden="false" customHeight="false" outlineLevel="0" collapsed="false">
      <c r="A825" s="6" t="s">
        <v>97</v>
      </c>
      <c r="B825" s="6" t="s">
        <v>114</v>
      </c>
      <c r="C825" s="6" t="s">
        <v>1415</v>
      </c>
      <c r="D825" s="6" t="s">
        <v>1434</v>
      </c>
    </row>
    <row r="826" customFormat="false" ht="35.05" hidden="false" customHeight="false" outlineLevel="0" collapsed="false">
      <c r="A826" s="6" t="s">
        <v>97</v>
      </c>
      <c r="B826" s="6" t="s">
        <v>156</v>
      </c>
      <c r="C826" s="6" t="s">
        <v>1415</v>
      </c>
      <c r="D826" s="6" t="s">
        <v>1495</v>
      </c>
    </row>
    <row r="827" customFormat="false" ht="46.25" hidden="false" customHeight="false" outlineLevel="0" collapsed="false">
      <c r="A827" s="6" t="s">
        <v>97</v>
      </c>
      <c r="B827" s="6" t="s">
        <v>131</v>
      </c>
      <c r="C827" s="6" t="s">
        <v>1415</v>
      </c>
      <c r="D827" s="6" t="s">
        <v>1499</v>
      </c>
    </row>
    <row r="828" customFormat="false" ht="35.05" hidden="false" customHeight="false" outlineLevel="0" collapsed="false">
      <c r="A828" s="6" t="s">
        <v>97</v>
      </c>
      <c r="B828" s="6" t="s">
        <v>296</v>
      </c>
      <c r="C828" s="6" t="s">
        <v>1415</v>
      </c>
      <c r="D828" s="6" t="s">
        <v>1435</v>
      </c>
    </row>
    <row r="829" customFormat="false" ht="35.05" hidden="false" customHeight="false" outlineLevel="0" collapsed="false">
      <c r="A829" s="6" t="s">
        <v>97</v>
      </c>
      <c r="B829" s="6" t="s">
        <v>378</v>
      </c>
      <c r="C829" s="6" t="s">
        <v>1415</v>
      </c>
      <c r="D829" s="6" t="s">
        <v>1882</v>
      </c>
    </row>
    <row r="830" customFormat="false" ht="23.85" hidden="false" customHeight="false" outlineLevel="0" collapsed="false">
      <c r="A830" s="6" t="s">
        <v>97</v>
      </c>
      <c r="B830" s="6" t="s">
        <v>568</v>
      </c>
      <c r="C830" s="6" t="s">
        <v>1415</v>
      </c>
      <c r="D830" s="6" t="s">
        <v>1833</v>
      </c>
    </row>
    <row r="831" customFormat="false" ht="35.05" hidden="false" customHeight="false" outlineLevel="0" collapsed="false">
      <c r="A831" s="6" t="s">
        <v>97</v>
      </c>
      <c r="B831" s="6" t="s">
        <v>264</v>
      </c>
      <c r="C831" s="6" t="s">
        <v>1415</v>
      </c>
      <c r="D831" s="6" t="s">
        <v>1883</v>
      </c>
    </row>
    <row r="832" customFormat="false" ht="23.85" hidden="false" customHeight="false" outlineLevel="0" collapsed="false">
      <c r="A832" s="6" t="s">
        <v>97</v>
      </c>
      <c r="B832" s="6" t="s">
        <v>264</v>
      </c>
      <c r="C832" s="6" t="s">
        <v>1415</v>
      </c>
      <c r="D832" s="6" t="s">
        <v>1790</v>
      </c>
    </row>
    <row r="833" customFormat="false" ht="23.85" hidden="false" customHeight="false" outlineLevel="0" collapsed="false">
      <c r="A833" s="6" t="s">
        <v>97</v>
      </c>
      <c r="B833" s="6" t="s">
        <v>264</v>
      </c>
      <c r="C833" s="6" t="s">
        <v>1415</v>
      </c>
      <c r="D833" s="6" t="s">
        <v>1792</v>
      </c>
    </row>
    <row r="834" customFormat="false" ht="35.05" hidden="false" customHeight="false" outlineLevel="0" collapsed="false">
      <c r="A834" s="6" t="s">
        <v>97</v>
      </c>
      <c r="B834" s="6" t="s">
        <v>264</v>
      </c>
      <c r="C834" s="6" t="s">
        <v>1415</v>
      </c>
      <c r="D834" s="6" t="s">
        <v>1793</v>
      </c>
    </row>
    <row r="835" customFormat="false" ht="23.85" hidden="false" customHeight="false" outlineLevel="0" collapsed="false">
      <c r="A835" s="6" t="s">
        <v>97</v>
      </c>
      <c r="B835" s="6" t="s">
        <v>264</v>
      </c>
      <c r="C835" s="6" t="s">
        <v>1415</v>
      </c>
      <c r="D835" s="6" t="s">
        <v>1884</v>
      </c>
    </row>
    <row r="836" customFormat="false" ht="23.85" hidden="false" customHeight="false" outlineLevel="0" collapsed="false">
      <c r="A836" s="6" t="s">
        <v>97</v>
      </c>
      <c r="B836" s="6" t="s">
        <v>264</v>
      </c>
      <c r="C836" s="6" t="s">
        <v>1415</v>
      </c>
      <c r="D836" s="6" t="s">
        <v>1885</v>
      </c>
    </row>
    <row r="837" customFormat="false" ht="23.85" hidden="false" customHeight="false" outlineLevel="0" collapsed="false">
      <c r="A837" s="6" t="s">
        <v>97</v>
      </c>
      <c r="B837" s="6" t="s">
        <v>304</v>
      </c>
      <c r="C837" s="6" t="s">
        <v>1415</v>
      </c>
      <c r="D837" s="6" t="s">
        <v>1886</v>
      </c>
    </row>
    <row r="838" customFormat="false" ht="15" hidden="false" customHeight="false" outlineLevel="0" collapsed="false">
      <c r="A838" s="6" t="s">
        <v>97</v>
      </c>
      <c r="B838" s="6" t="s">
        <v>304</v>
      </c>
      <c r="C838" s="6" t="s">
        <v>1415</v>
      </c>
      <c r="D838" s="6" t="s">
        <v>1887</v>
      </c>
    </row>
    <row r="839" customFormat="false" ht="15" hidden="false" customHeight="false" outlineLevel="0" collapsed="false">
      <c r="A839" s="6" t="s">
        <v>97</v>
      </c>
      <c r="B839" s="6" t="s">
        <v>304</v>
      </c>
      <c r="C839" s="6" t="s">
        <v>1415</v>
      </c>
      <c r="D839" s="6" t="s">
        <v>1839</v>
      </c>
    </row>
    <row r="840" customFormat="false" ht="23.85" hidden="false" customHeight="false" outlineLevel="0" collapsed="false">
      <c r="A840" s="6" t="s">
        <v>97</v>
      </c>
      <c r="B840" s="6" t="s">
        <v>304</v>
      </c>
      <c r="C840" s="6" t="s">
        <v>1415</v>
      </c>
      <c r="D840" s="6" t="s">
        <v>1561</v>
      </c>
    </row>
    <row r="841" customFormat="false" ht="35.05" hidden="false" customHeight="false" outlineLevel="0" collapsed="false">
      <c r="A841" s="6" t="s">
        <v>97</v>
      </c>
      <c r="B841" s="6" t="s">
        <v>304</v>
      </c>
      <c r="C841" s="6" t="s">
        <v>1415</v>
      </c>
      <c r="D841" s="6" t="s">
        <v>1888</v>
      </c>
    </row>
    <row r="842" customFormat="false" ht="23.85" hidden="false" customHeight="false" outlineLevel="0" collapsed="false">
      <c r="A842" s="6" t="s">
        <v>97</v>
      </c>
      <c r="B842" s="6" t="s">
        <v>304</v>
      </c>
      <c r="C842" s="6" t="s">
        <v>1415</v>
      </c>
      <c r="D842" s="6" t="s">
        <v>1599</v>
      </c>
    </row>
    <row r="843" customFormat="false" ht="23.85" hidden="false" customHeight="false" outlineLevel="0" collapsed="false">
      <c r="A843" s="6" t="s">
        <v>97</v>
      </c>
      <c r="B843" s="6" t="s">
        <v>224</v>
      </c>
      <c r="C843" s="6" t="s">
        <v>1415</v>
      </c>
      <c r="D843" s="6" t="s">
        <v>1889</v>
      </c>
    </row>
    <row r="844" customFormat="false" ht="23.85" hidden="false" customHeight="false" outlineLevel="0" collapsed="false">
      <c r="A844" s="6" t="s">
        <v>97</v>
      </c>
      <c r="B844" s="6" t="s">
        <v>224</v>
      </c>
      <c r="C844" s="6" t="s">
        <v>1415</v>
      </c>
      <c r="D844" s="6" t="s">
        <v>1890</v>
      </c>
    </row>
    <row r="845" customFormat="false" ht="35.05" hidden="false" customHeight="false" outlineLevel="0" collapsed="false">
      <c r="A845" s="6" t="s">
        <v>97</v>
      </c>
      <c r="B845" s="6" t="s">
        <v>224</v>
      </c>
      <c r="C845" s="6" t="s">
        <v>1415</v>
      </c>
      <c r="D845" s="6" t="s">
        <v>1840</v>
      </c>
    </row>
    <row r="846" customFormat="false" ht="23.85" hidden="false" customHeight="false" outlineLevel="0" collapsed="false">
      <c r="A846" s="6" t="s">
        <v>97</v>
      </c>
      <c r="B846" s="6" t="s">
        <v>224</v>
      </c>
      <c r="C846" s="6" t="s">
        <v>1415</v>
      </c>
      <c r="D846" s="6" t="s">
        <v>1841</v>
      </c>
    </row>
    <row r="847" customFormat="false" ht="15" hidden="false" customHeight="false" outlineLevel="0" collapsed="false">
      <c r="A847" s="6" t="s">
        <v>97</v>
      </c>
      <c r="B847" s="6" t="s">
        <v>224</v>
      </c>
      <c r="C847" s="6" t="s">
        <v>1845</v>
      </c>
      <c r="D847" s="6" t="s">
        <v>1846</v>
      </c>
    </row>
    <row r="848" customFormat="false" ht="15" hidden="false" customHeight="false" outlineLevel="0" collapsed="false">
      <c r="A848" s="6" t="s">
        <v>97</v>
      </c>
      <c r="B848" s="6" t="s">
        <v>138</v>
      </c>
      <c r="C848" s="6" t="s">
        <v>1415</v>
      </c>
      <c r="D848" s="6" t="s">
        <v>1504</v>
      </c>
    </row>
    <row r="849" customFormat="false" ht="15" hidden="false" customHeight="false" outlineLevel="0" collapsed="false">
      <c r="A849" s="6" t="s">
        <v>97</v>
      </c>
      <c r="B849" s="6" t="s">
        <v>138</v>
      </c>
      <c r="C849" s="6" t="s">
        <v>1415</v>
      </c>
      <c r="D849" s="6" t="s">
        <v>1891</v>
      </c>
    </row>
    <row r="850" customFormat="false" ht="35.05" hidden="false" customHeight="false" outlineLevel="0" collapsed="false">
      <c r="A850" s="6" t="s">
        <v>97</v>
      </c>
      <c r="B850" s="6" t="s">
        <v>138</v>
      </c>
      <c r="C850" s="6" t="s">
        <v>1415</v>
      </c>
      <c r="D850" s="6" t="s">
        <v>371</v>
      </c>
    </row>
    <row r="851" customFormat="false" ht="15" hidden="false" customHeight="false" outlineLevel="0" collapsed="false">
      <c r="A851" s="6" t="s">
        <v>97</v>
      </c>
      <c r="B851" s="6" t="s">
        <v>138</v>
      </c>
      <c r="C851" s="6" t="s">
        <v>1415</v>
      </c>
      <c r="D851" s="6" t="s">
        <v>1892</v>
      </c>
    </row>
    <row r="852" customFormat="false" ht="15" hidden="false" customHeight="false" outlineLevel="0" collapsed="false">
      <c r="A852" s="6" t="s">
        <v>97</v>
      </c>
      <c r="B852" s="6" t="s">
        <v>138</v>
      </c>
      <c r="C852" s="6" t="s">
        <v>1415</v>
      </c>
      <c r="D852" s="6" t="s">
        <v>1893</v>
      </c>
    </row>
    <row r="853" customFormat="false" ht="46.25" hidden="false" customHeight="false" outlineLevel="0" collapsed="false">
      <c r="A853" s="6" t="s">
        <v>97</v>
      </c>
      <c r="B853" s="6" t="s">
        <v>138</v>
      </c>
      <c r="C853" s="6" t="s">
        <v>1415</v>
      </c>
      <c r="D853" s="6" t="s">
        <v>1507</v>
      </c>
    </row>
    <row r="854" customFormat="false" ht="15" hidden="false" customHeight="false" outlineLevel="0" collapsed="false">
      <c r="A854" s="6" t="s">
        <v>97</v>
      </c>
      <c r="B854" s="6" t="s">
        <v>70</v>
      </c>
      <c r="C854" s="6" t="s">
        <v>1415</v>
      </c>
      <c r="D854" s="6" t="s">
        <v>1894</v>
      </c>
    </row>
    <row r="855" customFormat="false" ht="23.85" hidden="false" customHeight="false" outlineLevel="0" collapsed="false">
      <c r="A855" s="6" t="s">
        <v>97</v>
      </c>
      <c r="B855" s="6" t="s">
        <v>70</v>
      </c>
      <c r="C855" s="6" t="s">
        <v>1415</v>
      </c>
      <c r="D855" s="6" t="s">
        <v>1684</v>
      </c>
    </row>
    <row r="856" customFormat="false" ht="35.05" hidden="false" customHeight="false" outlineLevel="0" collapsed="false">
      <c r="A856" s="6" t="s">
        <v>97</v>
      </c>
      <c r="B856" s="6" t="s">
        <v>70</v>
      </c>
      <c r="C856" s="6" t="s">
        <v>1415</v>
      </c>
      <c r="D856" s="6" t="s">
        <v>87</v>
      </c>
    </row>
    <row r="857" customFormat="false" ht="23.85" hidden="false" customHeight="false" outlineLevel="0" collapsed="false">
      <c r="A857" s="6" t="s">
        <v>97</v>
      </c>
      <c r="B857" s="6" t="s">
        <v>104</v>
      </c>
      <c r="C857" s="6" t="s">
        <v>1415</v>
      </c>
      <c r="D857" s="6" t="s">
        <v>105</v>
      </c>
    </row>
    <row r="858" customFormat="false" ht="23.85" hidden="false" customHeight="false" outlineLevel="0" collapsed="false">
      <c r="A858" s="6" t="s">
        <v>234</v>
      </c>
      <c r="B858" s="6" t="s">
        <v>69</v>
      </c>
      <c r="C858" s="6" t="s">
        <v>1415</v>
      </c>
      <c r="D858" s="6" t="s">
        <v>1895</v>
      </c>
    </row>
    <row r="859" customFormat="false" ht="35.05" hidden="false" customHeight="false" outlineLevel="0" collapsed="false">
      <c r="A859" s="6" t="s">
        <v>234</v>
      </c>
      <c r="B859" s="6" t="s">
        <v>69</v>
      </c>
      <c r="C859" s="6" t="s">
        <v>1415</v>
      </c>
      <c r="D859" s="6" t="s">
        <v>1669</v>
      </c>
    </row>
    <row r="860" customFormat="false" ht="23.85" hidden="false" customHeight="false" outlineLevel="0" collapsed="false">
      <c r="A860" s="6" t="s">
        <v>234</v>
      </c>
      <c r="B860" s="6" t="s">
        <v>114</v>
      </c>
      <c r="C860" s="6" t="s">
        <v>1415</v>
      </c>
      <c r="D860" s="6" t="s">
        <v>1478</v>
      </c>
    </row>
    <row r="861" customFormat="false" ht="23.85" hidden="false" customHeight="false" outlineLevel="0" collapsed="false">
      <c r="A861" s="6" t="s">
        <v>234</v>
      </c>
      <c r="B861" s="6" t="s">
        <v>114</v>
      </c>
      <c r="C861" s="6" t="s">
        <v>1415</v>
      </c>
      <c r="D861" s="6" t="s">
        <v>1479</v>
      </c>
    </row>
    <row r="862" customFormat="false" ht="57.45" hidden="false" customHeight="false" outlineLevel="0" collapsed="false">
      <c r="A862" s="6" t="s">
        <v>234</v>
      </c>
      <c r="B862" s="6" t="s">
        <v>114</v>
      </c>
      <c r="C862" s="6" t="s">
        <v>1415</v>
      </c>
      <c r="D862" s="6" t="s">
        <v>1896</v>
      </c>
    </row>
    <row r="863" customFormat="false" ht="23.85" hidden="false" customHeight="false" outlineLevel="0" collapsed="false">
      <c r="A863" s="6" t="s">
        <v>234</v>
      </c>
      <c r="B863" s="6" t="s">
        <v>114</v>
      </c>
      <c r="C863" s="6" t="s">
        <v>1415</v>
      </c>
      <c r="D863" s="6" t="s">
        <v>1897</v>
      </c>
    </row>
    <row r="864" customFormat="false" ht="57.45" hidden="false" customHeight="false" outlineLevel="0" collapsed="false">
      <c r="A864" s="6" t="s">
        <v>234</v>
      </c>
      <c r="B864" s="6" t="s">
        <v>114</v>
      </c>
      <c r="C864" s="6" t="s">
        <v>1415</v>
      </c>
      <c r="D864" s="6" t="s">
        <v>1898</v>
      </c>
    </row>
    <row r="865" customFormat="false" ht="23.85" hidden="false" customHeight="false" outlineLevel="0" collapsed="false">
      <c r="A865" s="6" t="s">
        <v>234</v>
      </c>
      <c r="B865" s="6" t="s">
        <v>114</v>
      </c>
      <c r="C865" s="6" t="s">
        <v>1415</v>
      </c>
      <c r="D865" s="6" t="s">
        <v>1899</v>
      </c>
    </row>
    <row r="866" customFormat="false" ht="35.05" hidden="false" customHeight="false" outlineLevel="0" collapsed="false">
      <c r="A866" s="6" t="s">
        <v>234</v>
      </c>
      <c r="B866" s="6" t="s">
        <v>114</v>
      </c>
      <c r="C866" s="6" t="s">
        <v>1415</v>
      </c>
      <c r="D866" s="6" t="s">
        <v>1900</v>
      </c>
    </row>
    <row r="867" customFormat="false" ht="15" hidden="false" customHeight="false" outlineLevel="0" collapsed="false">
      <c r="A867" s="6" t="s">
        <v>234</v>
      </c>
      <c r="B867" s="6" t="s">
        <v>114</v>
      </c>
      <c r="C867" s="6" t="s">
        <v>1415</v>
      </c>
      <c r="D867" s="6" t="s">
        <v>1901</v>
      </c>
    </row>
    <row r="868" customFormat="false" ht="15" hidden="false" customHeight="false" outlineLevel="0" collapsed="false">
      <c r="A868" s="6" t="s">
        <v>234</v>
      </c>
      <c r="B868" s="6" t="s">
        <v>114</v>
      </c>
      <c r="C868" s="6" t="s">
        <v>1415</v>
      </c>
      <c r="D868" s="6" t="s">
        <v>1902</v>
      </c>
    </row>
    <row r="869" customFormat="false" ht="23.85" hidden="false" customHeight="false" outlineLevel="0" collapsed="false">
      <c r="A869" s="6" t="s">
        <v>234</v>
      </c>
      <c r="B869" s="6" t="s">
        <v>114</v>
      </c>
      <c r="C869" s="6" t="s">
        <v>1415</v>
      </c>
      <c r="D869" s="6" t="s">
        <v>1734</v>
      </c>
    </row>
    <row r="870" customFormat="false" ht="35.05" hidden="false" customHeight="false" outlineLevel="0" collapsed="false">
      <c r="A870" s="6" t="s">
        <v>234</v>
      </c>
      <c r="B870" s="6" t="s">
        <v>114</v>
      </c>
      <c r="C870" s="6" t="s">
        <v>1415</v>
      </c>
      <c r="D870" s="6" t="s">
        <v>1903</v>
      </c>
    </row>
    <row r="871" customFormat="false" ht="23.85" hidden="false" customHeight="false" outlineLevel="0" collapsed="false">
      <c r="A871" s="6" t="s">
        <v>234</v>
      </c>
      <c r="B871" s="6" t="s">
        <v>114</v>
      </c>
      <c r="C871" s="6" t="s">
        <v>1415</v>
      </c>
      <c r="D871" s="6" t="s">
        <v>1904</v>
      </c>
    </row>
    <row r="872" customFormat="false" ht="23.85" hidden="false" customHeight="false" outlineLevel="0" collapsed="false">
      <c r="A872" s="6" t="s">
        <v>234</v>
      </c>
      <c r="B872" s="6" t="s">
        <v>114</v>
      </c>
      <c r="C872" s="6" t="s">
        <v>1415</v>
      </c>
      <c r="D872" s="6" t="s">
        <v>1905</v>
      </c>
    </row>
    <row r="873" customFormat="false" ht="23.85" hidden="false" customHeight="false" outlineLevel="0" collapsed="false">
      <c r="A873" s="6" t="s">
        <v>234</v>
      </c>
      <c r="B873" s="6" t="s">
        <v>114</v>
      </c>
      <c r="C873" s="6" t="s">
        <v>1415</v>
      </c>
      <c r="D873" s="6" t="s">
        <v>1906</v>
      </c>
    </row>
    <row r="874" customFormat="false" ht="15" hidden="false" customHeight="false" outlineLevel="0" collapsed="false">
      <c r="A874" s="6" t="s">
        <v>234</v>
      </c>
      <c r="B874" s="6" t="s">
        <v>114</v>
      </c>
      <c r="C874" s="6" t="s">
        <v>1415</v>
      </c>
      <c r="D874" s="6" t="s">
        <v>1735</v>
      </c>
    </row>
    <row r="875" customFormat="false" ht="23.85" hidden="false" customHeight="false" outlineLevel="0" collapsed="false">
      <c r="A875" s="6" t="s">
        <v>234</v>
      </c>
      <c r="B875" s="6" t="s">
        <v>114</v>
      </c>
      <c r="C875" s="6" t="s">
        <v>1415</v>
      </c>
      <c r="D875" s="6" t="s">
        <v>1804</v>
      </c>
    </row>
    <row r="876" customFormat="false" ht="46.25" hidden="false" customHeight="false" outlineLevel="0" collapsed="false">
      <c r="A876" s="6" t="s">
        <v>234</v>
      </c>
      <c r="B876" s="6" t="s">
        <v>114</v>
      </c>
      <c r="C876" s="6" t="s">
        <v>1415</v>
      </c>
      <c r="D876" s="6" t="s">
        <v>1737</v>
      </c>
    </row>
    <row r="877" customFormat="false" ht="23.85" hidden="false" customHeight="false" outlineLevel="0" collapsed="false">
      <c r="A877" s="6" t="s">
        <v>234</v>
      </c>
      <c r="B877" s="6" t="s">
        <v>114</v>
      </c>
      <c r="C877" s="6" t="s">
        <v>1415</v>
      </c>
      <c r="D877" s="6" t="s">
        <v>1907</v>
      </c>
    </row>
    <row r="878" customFormat="false" ht="15" hidden="false" customHeight="false" outlineLevel="0" collapsed="false">
      <c r="A878" s="6" t="s">
        <v>234</v>
      </c>
      <c r="B878" s="6" t="s">
        <v>114</v>
      </c>
      <c r="C878" s="6" t="s">
        <v>1415</v>
      </c>
      <c r="D878" s="6" t="s">
        <v>1738</v>
      </c>
    </row>
    <row r="879" customFormat="false" ht="35.05" hidden="false" customHeight="false" outlineLevel="0" collapsed="false">
      <c r="A879" s="6" t="s">
        <v>234</v>
      </c>
      <c r="B879" s="6" t="s">
        <v>114</v>
      </c>
      <c r="C879" s="6" t="s">
        <v>1415</v>
      </c>
      <c r="D879" s="6" t="s">
        <v>1535</v>
      </c>
    </row>
    <row r="880" customFormat="false" ht="46.25" hidden="false" customHeight="false" outlineLevel="0" collapsed="false">
      <c r="A880" s="6" t="s">
        <v>234</v>
      </c>
      <c r="B880" s="6" t="s">
        <v>114</v>
      </c>
      <c r="C880" s="6" t="s">
        <v>1415</v>
      </c>
      <c r="D880" s="6" t="s">
        <v>1536</v>
      </c>
    </row>
    <row r="881" customFormat="false" ht="46.25" hidden="false" customHeight="false" outlineLevel="0" collapsed="false">
      <c r="A881" s="6" t="s">
        <v>234</v>
      </c>
      <c r="B881" s="6" t="s">
        <v>114</v>
      </c>
      <c r="C881" s="6" t="s">
        <v>1415</v>
      </c>
      <c r="D881" s="6" t="s">
        <v>1538</v>
      </c>
    </row>
    <row r="882" customFormat="false" ht="15" hidden="false" customHeight="false" outlineLevel="0" collapsed="false">
      <c r="A882" s="6" t="s">
        <v>234</v>
      </c>
      <c r="B882" s="6" t="s">
        <v>114</v>
      </c>
      <c r="C882" s="6" t="s">
        <v>1415</v>
      </c>
      <c r="D882" s="6" t="s">
        <v>1539</v>
      </c>
    </row>
    <row r="883" customFormat="false" ht="35.05" hidden="false" customHeight="false" outlineLevel="0" collapsed="false">
      <c r="A883" s="6" t="s">
        <v>234</v>
      </c>
      <c r="B883" s="6" t="s">
        <v>114</v>
      </c>
      <c r="C883" s="6" t="s">
        <v>1415</v>
      </c>
      <c r="D883" s="6" t="s">
        <v>1908</v>
      </c>
    </row>
    <row r="884" customFormat="false" ht="15" hidden="false" customHeight="false" outlineLevel="0" collapsed="false">
      <c r="A884" s="6" t="s">
        <v>234</v>
      </c>
      <c r="B884" s="6" t="s">
        <v>114</v>
      </c>
      <c r="C884" s="6" t="s">
        <v>1415</v>
      </c>
      <c r="D884" s="6" t="s">
        <v>1739</v>
      </c>
    </row>
    <row r="885" customFormat="false" ht="35.05" hidden="false" customHeight="false" outlineLevel="0" collapsed="false">
      <c r="A885" s="6" t="s">
        <v>234</v>
      </c>
      <c r="B885" s="6" t="s">
        <v>114</v>
      </c>
      <c r="C885" s="6" t="s">
        <v>1415</v>
      </c>
      <c r="D885" s="6" t="s">
        <v>1909</v>
      </c>
    </row>
    <row r="886" customFormat="false" ht="35.05" hidden="false" customHeight="false" outlineLevel="0" collapsed="false">
      <c r="A886" s="6" t="s">
        <v>234</v>
      </c>
      <c r="B886" s="6" t="s">
        <v>114</v>
      </c>
      <c r="C886" s="6" t="s">
        <v>1415</v>
      </c>
      <c r="D886" s="6" t="s">
        <v>1910</v>
      </c>
    </row>
    <row r="887" customFormat="false" ht="15" hidden="false" customHeight="false" outlineLevel="0" collapsed="false">
      <c r="A887" s="6" t="s">
        <v>234</v>
      </c>
      <c r="B887" s="6" t="s">
        <v>156</v>
      </c>
      <c r="C887" s="6" t="s">
        <v>1415</v>
      </c>
      <c r="D887" s="6" t="s">
        <v>1911</v>
      </c>
    </row>
    <row r="888" customFormat="false" ht="23.85" hidden="false" customHeight="false" outlineLevel="0" collapsed="false">
      <c r="A888" s="6" t="s">
        <v>234</v>
      </c>
      <c r="B888" s="6" t="s">
        <v>156</v>
      </c>
      <c r="C888" s="6" t="s">
        <v>1415</v>
      </c>
      <c r="D888" s="6" t="s">
        <v>1741</v>
      </c>
    </row>
    <row r="889" customFormat="false" ht="23.85" hidden="false" customHeight="false" outlineLevel="0" collapsed="false">
      <c r="A889" s="6" t="s">
        <v>234</v>
      </c>
      <c r="B889" s="6" t="s">
        <v>156</v>
      </c>
      <c r="C889" s="6" t="s">
        <v>1415</v>
      </c>
      <c r="D889" s="6" t="s">
        <v>1742</v>
      </c>
    </row>
    <row r="890" customFormat="false" ht="15" hidden="false" customHeight="false" outlineLevel="0" collapsed="false">
      <c r="A890" s="6" t="s">
        <v>234</v>
      </c>
      <c r="B890" s="6" t="s">
        <v>156</v>
      </c>
      <c r="C890" s="6" t="s">
        <v>1415</v>
      </c>
      <c r="D890" s="6" t="s">
        <v>1912</v>
      </c>
    </row>
    <row r="891" customFormat="false" ht="23.85" hidden="false" customHeight="false" outlineLevel="0" collapsed="false">
      <c r="A891" s="6" t="s">
        <v>234</v>
      </c>
      <c r="B891" s="6" t="s">
        <v>156</v>
      </c>
      <c r="C891" s="6" t="s">
        <v>1415</v>
      </c>
      <c r="D891" s="6" t="s">
        <v>1591</v>
      </c>
    </row>
    <row r="892" customFormat="false" ht="35.05" hidden="false" customHeight="false" outlineLevel="0" collapsed="false">
      <c r="A892" s="6" t="s">
        <v>234</v>
      </c>
      <c r="B892" s="6" t="s">
        <v>156</v>
      </c>
      <c r="C892" s="6" t="s">
        <v>1415</v>
      </c>
      <c r="D892" s="6" t="s">
        <v>1572</v>
      </c>
    </row>
    <row r="893" customFormat="false" ht="35.05" hidden="false" customHeight="false" outlineLevel="0" collapsed="false">
      <c r="A893" s="6" t="s">
        <v>234</v>
      </c>
      <c r="B893" s="6" t="s">
        <v>156</v>
      </c>
      <c r="C893" s="6" t="s">
        <v>1415</v>
      </c>
      <c r="D893" s="6" t="s">
        <v>1913</v>
      </c>
    </row>
    <row r="894" customFormat="false" ht="46.25" hidden="false" customHeight="false" outlineLevel="0" collapsed="false">
      <c r="A894" s="6" t="s">
        <v>234</v>
      </c>
      <c r="B894" s="6" t="s">
        <v>156</v>
      </c>
      <c r="C894" s="6" t="s">
        <v>1415</v>
      </c>
      <c r="D894" s="6" t="s">
        <v>1914</v>
      </c>
    </row>
    <row r="895" customFormat="false" ht="46.25" hidden="false" customHeight="false" outlineLevel="0" collapsed="false">
      <c r="A895" s="6" t="s">
        <v>234</v>
      </c>
      <c r="B895" s="6" t="s">
        <v>156</v>
      </c>
      <c r="C895" s="6" t="s">
        <v>1415</v>
      </c>
      <c r="D895" s="6" t="s">
        <v>1475</v>
      </c>
    </row>
    <row r="896" customFormat="false" ht="35.05" hidden="false" customHeight="false" outlineLevel="0" collapsed="false">
      <c r="A896" s="6" t="s">
        <v>234</v>
      </c>
      <c r="B896" s="6" t="s">
        <v>156</v>
      </c>
      <c r="C896" s="6" t="s">
        <v>1415</v>
      </c>
      <c r="D896" s="6" t="s">
        <v>1915</v>
      </c>
    </row>
    <row r="897" customFormat="false" ht="35.05" hidden="false" customHeight="false" outlineLevel="0" collapsed="false">
      <c r="A897" s="6" t="s">
        <v>234</v>
      </c>
      <c r="B897" s="6" t="s">
        <v>156</v>
      </c>
      <c r="C897" s="6" t="s">
        <v>1415</v>
      </c>
      <c r="D897" s="6" t="s">
        <v>1916</v>
      </c>
    </row>
    <row r="898" customFormat="false" ht="23.85" hidden="false" customHeight="false" outlineLevel="0" collapsed="false">
      <c r="A898" s="6" t="s">
        <v>234</v>
      </c>
      <c r="B898" s="6" t="s">
        <v>156</v>
      </c>
      <c r="C898" s="6" t="s">
        <v>1415</v>
      </c>
      <c r="D898" s="6" t="s">
        <v>1474</v>
      </c>
    </row>
    <row r="899" customFormat="false" ht="35.05" hidden="false" customHeight="false" outlineLevel="0" collapsed="false">
      <c r="A899" s="6" t="s">
        <v>234</v>
      </c>
      <c r="B899" s="6" t="s">
        <v>296</v>
      </c>
      <c r="C899" s="6" t="s">
        <v>1415</v>
      </c>
      <c r="D899" s="6" t="s">
        <v>1917</v>
      </c>
    </row>
    <row r="900" customFormat="false" ht="35.05" hidden="false" customHeight="false" outlineLevel="0" collapsed="false">
      <c r="A900" s="6" t="s">
        <v>234</v>
      </c>
      <c r="B900" s="6" t="s">
        <v>296</v>
      </c>
      <c r="C900" s="6" t="s">
        <v>1415</v>
      </c>
      <c r="D900" s="6" t="s">
        <v>1918</v>
      </c>
    </row>
    <row r="901" customFormat="false" ht="46.25" hidden="false" customHeight="false" outlineLevel="0" collapsed="false">
      <c r="A901" s="6" t="s">
        <v>234</v>
      </c>
      <c r="B901" s="6" t="s">
        <v>296</v>
      </c>
      <c r="C901" s="6" t="s">
        <v>1415</v>
      </c>
      <c r="D901" s="6" t="s">
        <v>1510</v>
      </c>
    </row>
    <row r="902" customFormat="false" ht="23.85" hidden="false" customHeight="false" outlineLevel="0" collapsed="false">
      <c r="A902" s="6" t="s">
        <v>234</v>
      </c>
      <c r="B902" s="6" t="s">
        <v>296</v>
      </c>
      <c r="C902" s="6" t="s">
        <v>1415</v>
      </c>
      <c r="D902" s="6" t="s">
        <v>1511</v>
      </c>
    </row>
    <row r="903" customFormat="false" ht="35.05" hidden="false" customHeight="false" outlineLevel="0" collapsed="false">
      <c r="A903" s="6" t="s">
        <v>234</v>
      </c>
      <c r="B903" s="6" t="s">
        <v>296</v>
      </c>
      <c r="C903" s="6" t="s">
        <v>1415</v>
      </c>
      <c r="D903" s="6" t="s">
        <v>1512</v>
      </c>
    </row>
    <row r="904" customFormat="false" ht="23.85" hidden="false" customHeight="false" outlineLevel="0" collapsed="false">
      <c r="A904" s="6" t="s">
        <v>234</v>
      </c>
      <c r="B904" s="6" t="s">
        <v>296</v>
      </c>
      <c r="C904" s="6" t="s">
        <v>1415</v>
      </c>
      <c r="D904" s="6" t="s">
        <v>1919</v>
      </c>
    </row>
    <row r="905" customFormat="false" ht="15" hidden="false" customHeight="false" outlineLevel="0" collapsed="false">
      <c r="A905" s="6" t="s">
        <v>234</v>
      </c>
      <c r="B905" s="6" t="s">
        <v>296</v>
      </c>
      <c r="C905" s="6" t="s">
        <v>1415</v>
      </c>
      <c r="D905" s="6" t="s">
        <v>1920</v>
      </c>
    </row>
    <row r="906" customFormat="false" ht="23.85" hidden="false" customHeight="false" outlineLevel="0" collapsed="false">
      <c r="A906" s="6" t="s">
        <v>234</v>
      </c>
      <c r="B906" s="6" t="s">
        <v>296</v>
      </c>
      <c r="C906" s="6" t="s">
        <v>1415</v>
      </c>
      <c r="D906" s="6" t="s">
        <v>1921</v>
      </c>
    </row>
    <row r="907" customFormat="false" ht="23.85" hidden="false" customHeight="false" outlineLevel="0" collapsed="false">
      <c r="A907" s="6" t="s">
        <v>234</v>
      </c>
      <c r="B907" s="6" t="s">
        <v>296</v>
      </c>
      <c r="C907" s="6" t="s">
        <v>1415</v>
      </c>
      <c r="D907" s="6" t="s">
        <v>1922</v>
      </c>
    </row>
    <row r="908" customFormat="false" ht="35.05" hidden="false" customHeight="false" outlineLevel="0" collapsed="false">
      <c r="A908" s="6" t="s">
        <v>234</v>
      </c>
      <c r="B908" s="6" t="s">
        <v>378</v>
      </c>
      <c r="C908" s="6" t="s">
        <v>1415</v>
      </c>
      <c r="D908" s="6" t="s">
        <v>1646</v>
      </c>
    </row>
    <row r="909" customFormat="false" ht="15" hidden="false" customHeight="false" outlineLevel="0" collapsed="false">
      <c r="A909" s="6" t="s">
        <v>234</v>
      </c>
      <c r="B909" s="6" t="s">
        <v>1923</v>
      </c>
      <c r="C909" s="6" t="s">
        <v>1415</v>
      </c>
      <c r="D909" s="6" t="s">
        <v>1924</v>
      </c>
    </row>
    <row r="910" customFormat="false" ht="23.85" hidden="false" customHeight="false" outlineLevel="0" collapsed="false">
      <c r="A910" s="6" t="s">
        <v>234</v>
      </c>
      <c r="B910" s="6" t="s">
        <v>1923</v>
      </c>
      <c r="C910" s="6" t="s">
        <v>1415</v>
      </c>
      <c r="D910" s="6" t="s">
        <v>1925</v>
      </c>
    </row>
    <row r="911" customFormat="false" ht="15" hidden="false" customHeight="false" outlineLevel="0" collapsed="false">
      <c r="A911" s="6" t="s">
        <v>234</v>
      </c>
      <c r="B911" s="6" t="s">
        <v>1923</v>
      </c>
      <c r="C911" s="6" t="s">
        <v>1415</v>
      </c>
      <c r="D911" s="6" t="s">
        <v>1926</v>
      </c>
    </row>
    <row r="912" customFormat="false" ht="35.05" hidden="false" customHeight="false" outlineLevel="0" collapsed="false">
      <c r="A912" s="6" t="s">
        <v>234</v>
      </c>
      <c r="B912" s="6" t="s">
        <v>1923</v>
      </c>
      <c r="C912" s="6" t="s">
        <v>1415</v>
      </c>
      <c r="D912" s="6" t="s">
        <v>1927</v>
      </c>
    </row>
    <row r="913" customFormat="false" ht="35.05" hidden="false" customHeight="false" outlineLevel="0" collapsed="false">
      <c r="A913" s="6" t="s">
        <v>234</v>
      </c>
      <c r="B913" s="6" t="s">
        <v>1923</v>
      </c>
      <c r="C913" s="6" t="s">
        <v>1415</v>
      </c>
      <c r="D913" s="6" t="s">
        <v>1928</v>
      </c>
    </row>
    <row r="914" customFormat="false" ht="23.85" hidden="false" customHeight="false" outlineLevel="0" collapsed="false">
      <c r="A914" s="6" t="s">
        <v>234</v>
      </c>
      <c r="B914" s="6" t="s">
        <v>1923</v>
      </c>
      <c r="C914" s="6" t="s">
        <v>1415</v>
      </c>
      <c r="D914" s="6" t="s">
        <v>1929</v>
      </c>
    </row>
    <row r="915" customFormat="false" ht="15" hidden="false" customHeight="false" outlineLevel="0" collapsed="false">
      <c r="A915" s="6" t="s">
        <v>234</v>
      </c>
      <c r="B915" s="6" t="s">
        <v>1923</v>
      </c>
      <c r="C915" s="6" t="s">
        <v>1415</v>
      </c>
      <c r="D915" s="6" t="s">
        <v>1930</v>
      </c>
    </row>
    <row r="916" customFormat="false" ht="23.85" hidden="false" customHeight="false" outlineLevel="0" collapsed="false">
      <c r="A916" s="6" t="s">
        <v>234</v>
      </c>
      <c r="B916" s="6" t="s">
        <v>1923</v>
      </c>
      <c r="C916" s="6" t="s">
        <v>1415</v>
      </c>
      <c r="D916" s="6" t="s">
        <v>1931</v>
      </c>
    </row>
    <row r="917" customFormat="false" ht="15" hidden="false" customHeight="false" outlineLevel="0" collapsed="false">
      <c r="A917" s="6" t="s">
        <v>234</v>
      </c>
      <c r="B917" s="6" t="s">
        <v>1923</v>
      </c>
      <c r="C917" s="6" t="s">
        <v>1415</v>
      </c>
      <c r="D917" s="6" t="s">
        <v>1932</v>
      </c>
    </row>
    <row r="918" customFormat="false" ht="23.85" hidden="false" customHeight="false" outlineLevel="0" collapsed="false">
      <c r="A918" s="6" t="s">
        <v>234</v>
      </c>
      <c r="B918" s="6" t="s">
        <v>1923</v>
      </c>
      <c r="C918" s="6" t="s">
        <v>1415</v>
      </c>
      <c r="D918" s="6" t="s">
        <v>1933</v>
      </c>
    </row>
    <row r="919" customFormat="false" ht="46.25" hidden="false" customHeight="false" outlineLevel="0" collapsed="false">
      <c r="A919" s="6" t="s">
        <v>234</v>
      </c>
      <c r="B919" s="6" t="s">
        <v>1923</v>
      </c>
      <c r="C919" s="6" t="s">
        <v>1415</v>
      </c>
      <c r="D919" s="6" t="s">
        <v>1934</v>
      </c>
    </row>
    <row r="920" customFormat="false" ht="15" hidden="false" customHeight="false" outlineLevel="0" collapsed="false">
      <c r="A920" s="6" t="s">
        <v>234</v>
      </c>
      <c r="B920" s="6" t="s">
        <v>568</v>
      </c>
      <c r="C920" s="6" t="s">
        <v>1415</v>
      </c>
      <c r="D920" s="6" t="s">
        <v>1935</v>
      </c>
    </row>
    <row r="921" customFormat="false" ht="15" hidden="false" customHeight="false" outlineLevel="0" collapsed="false">
      <c r="A921" s="6" t="s">
        <v>234</v>
      </c>
      <c r="B921" s="6" t="s">
        <v>568</v>
      </c>
      <c r="C921" s="6" t="s">
        <v>1415</v>
      </c>
      <c r="D921" s="6" t="s">
        <v>1936</v>
      </c>
    </row>
    <row r="922" customFormat="false" ht="15" hidden="false" customHeight="false" outlineLevel="0" collapsed="false">
      <c r="A922" s="6" t="s">
        <v>234</v>
      </c>
      <c r="B922" s="6" t="s">
        <v>568</v>
      </c>
      <c r="C922" s="6" t="s">
        <v>1415</v>
      </c>
      <c r="D922" s="6" t="s">
        <v>1937</v>
      </c>
    </row>
    <row r="923" customFormat="false" ht="46.25" hidden="false" customHeight="false" outlineLevel="0" collapsed="false">
      <c r="A923" s="6" t="s">
        <v>234</v>
      </c>
      <c r="B923" s="6" t="s">
        <v>568</v>
      </c>
      <c r="C923" s="6" t="s">
        <v>1415</v>
      </c>
      <c r="D923" s="6" t="s">
        <v>1938</v>
      </c>
    </row>
    <row r="924" customFormat="false" ht="23.85" hidden="false" customHeight="false" outlineLevel="0" collapsed="false">
      <c r="A924" s="6" t="s">
        <v>234</v>
      </c>
      <c r="B924" s="6" t="s">
        <v>568</v>
      </c>
      <c r="C924" s="6" t="s">
        <v>1415</v>
      </c>
      <c r="D924" s="6" t="s">
        <v>1939</v>
      </c>
    </row>
    <row r="925" customFormat="false" ht="57.45" hidden="false" customHeight="false" outlineLevel="0" collapsed="false">
      <c r="A925" s="6" t="s">
        <v>234</v>
      </c>
      <c r="B925" s="6" t="s">
        <v>568</v>
      </c>
      <c r="C925" s="6" t="s">
        <v>1415</v>
      </c>
      <c r="D925" s="6" t="s">
        <v>1940</v>
      </c>
    </row>
    <row r="926" customFormat="false" ht="23.85" hidden="false" customHeight="false" outlineLevel="0" collapsed="false">
      <c r="A926" s="6" t="s">
        <v>234</v>
      </c>
      <c r="B926" s="6" t="s">
        <v>568</v>
      </c>
      <c r="C926" s="6" t="s">
        <v>1415</v>
      </c>
      <c r="D926" s="6" t="s">
        <v>1941</v>
      </c>
    </row>
    <row r="927" customFormat="false" ht="23.85" hidden="false" customHeight="false" outlineLevel="0" collapsed="false">
      <c r="A927" s="6" t="s">
        <v>234</v>
      </c>
      <c r="B927" s="6" t="s">
        <v>568</v>
      </c>
      <c r="C927" s="6" t="s">
        <v>1415</v>
      </c>
      <c r="D927" s="6" t="s">
        <v>1942</v>
      </c>
    </row>
    <row r="928" customFormat="false" ht="15" hidden="false" customHeight="false" outlineLevel="0" collapsed="false">
      <c r="A928" s="6" t="s">
        <v>234</v>
      </c>
      <c r="B928" s="6" t="s">
        <v>568</v>
      </c>
      <c r="C928" s="6" t="s">
        <v>1415</v>
      </c>
      <c r="D928" s="6" t="s">
        <v>1943</v>
      </c>
    </row>
    <row r="929" customFormat="false" ht="23.85" hidden="false" customHeight="false" outlineLevel="0" collapsed="false">
      <c r="A929" s="6" t="s">
        <v>234</v>
      </c>
      <c r="B929" s="6" t="s">
        <v>568</v>
      </c>
      <c r="C929" s="6" t="s">
        <v>1415</v>
      </c>
      <c r="D929" s="6" t="s">
        <v>1944</v>
      </c>
    </row>
    <row r="930" customFormat="false" ht="15" hidden="false" customHeight="false" outlineLevel="0" collapsed="false">
      <c r="A930" s="6" t="s">
        <v>234</v>
      </c>
      <c r="B930" s="6" t="s">
        <v>568</v>
      </c>
      <c r="C930" s="6" t="s">
        <v>1415</v>
      </c>
      <c r="D930" s="6" t="s">
        <v>1945</v>
      </c>
    </row>
    <row r="931" customFormat="false" ht="23.85" hidden="false" customHeight="false" outlineLevel="0" collapsed="false">
      <c r="A931" s="6" t="s">
        <v>234</v>
      </c>
      <c r="B931" s="6" t="s">
        <v>264</v>
      </c>
      <c r="C931" s="6" t="s">
        <v>1415</v>
      </c>
      <c r="D931" s="6" t="s">
        <v>1552</v>
      </c>
    </row>
    <row r="932" customFormat="false" ht="23.85" hidden="false" customHeight="false" outlineLevel="0" collapsed="false">
      <c r="A932" s="6" t="s">
        <v>234</v>
      </c>
      <c r="B932" s="6" t="s">
        <v>264</v>
      </c>
      <c r="C932" s="6" t="s">
        <v>1415</v>
      </c>
      <c r="D932" s="6" t="s">
        <v>1487</v>
      </c>
    </row>
    <row r="933" customFormat="false" ht="35.05" hidden="false" customHeight="false" outlineLevel="0" collapsed="false">
      <c r="A933" s="6" t="s">
        <v>234</v>
      </c>
      <c r="B933" s="6" t="s">
        <v>264</v>
      </c>
      <c r="C933" s="6" t="s">
        <v>1415</v>
      </c>
      <c r="D933" s="6" t="s">
        <v>1553</v>
      </c>
    </row>
    <row r="934" customFormat="false" ht="23.85" hidden="false" customHeight="false" outlineLevel="0" collapsed="false">
      <c r="A934" s="6" t="s">
        <v>234</v>
      </c>
      <c r="B934" s="6" t="s">
        <v>264</v>
      </c>
      <c r="C934" s="6" t="s">
        <v>1415</v>
      </c>
      <c r="D934" s="6" t="s">
        <v>209</v>
      </c>
    </row>
    <row r="935" customFormat="false" ht="15" hidden="false" customHeight="false" outlineLevel="0" collapsed="false">
      <c r="A935" s="6" t="s">
        <v>234</v>
      </c>
      <c r="B935" s="6" t="s">
        <v>264</v>
      </c>
      <c r="C935" s="6" t="s">
        <v>1415</v>
      </c>
      <c r="D935" s="6" t="s">
        <v>1946</v>
      </c>
    </row>
    <row r="936" customFormat="false" ht="23.85" hidden="false" customHeight="false" outlineLevel="0" collapsed="false">
      <c r="A936" s="6" t="s">
        <v>234</v>
      </c>
      <c r="B936" s="6" t="s">
        <v>264</v>
      </c>
      <c r="C936" s="6" t="s">
        <v>1415</v>
      </c>
      <c r="D936" s="6" t="s">
        <v>1947</v>
      </c>
    </row>
    <row r="937" customFormat="false" ht="23.85" hidden="false" customHeight="false" outlineLevel="0" collapsed="false">
      <c r="A937" s="6" t="s">
        <v>234</v>
      </c>
      <c r="B937" s="6" t="s">
        <v>224</v>
      </c>
      <c r="C937" s="6" t="s">
        <v>1415</v>
      </c>
      <c r="D937" s="6" t="s">
        <v>1562</v>
      </c>
    </row>
    <row r="938" customFormat="false" ht="23.85" hidden="false" customHeight="false" outlineLevel="0" collapsed="false">
      <c r="A938" s="6" t="s">
        <v>234</v>
      </c>
      <c r="B938" s="6" t="s">
        <v>224</v>
      </c>
      <c r="C938" s="6" t="s">
        <v>1415</v>
      </c>
      <c r="D938" s="6" t="s">
        <v>1476</v>
      </c>
    </row>
    <row r="939" customFormat="false" ht="23.85" hidden="false" customHeight="false" outlineLevel="0" collapsed="false">
      <c r="A939" s="6" t="s">
        <v>234</v>
      </c>
      <c r="B939" s="6" t="s">
        <v>224</v>
      </c>
      <c r="C939" s="6" t="s">
        <v>1415</v>
      </c>
      <c r="D939" s="6" t="s">
        <v>423</v>
      </c>
    </row>
    <row r="940" customFormat="false" ht="23.85" hidden="false" customHeight="false" outlineLevel="0" collapsed="false">
      <c r="A940" s="6" t="s">
        <v>234</v>
      </c>
      <c r="B940" s="6" t="s">
        <v>224</v>
      </c>
      <c r="C940" s="6" t="s">
        <v>1415</v>
      </c>
      <c r="D940" s="6" t="s">
        <v>976</v>
      </c>
    </row>
    <row r="941" customFormat="false" ht="23.85" hidden="false" customHeight="false" outlineLevel="0" collapsed="false">
      <c r="A941" s="6" t="s">
        <v>234</v>
      </c>
      <c r="B941" s="6" t="s">
        <v>265</v>
      </c>
      <c r="C941" s="6" t="s">
        <v>1415</v>
      </c>
      <c r="D941" s="6" t="s">
        <v>1948</v>
      </c>
    </row>
    <row r="942" customFormat="false" ht="15" hidden="false" customHeight="false" outlineLevel="0" collapsed="false">
      <c r="A942" s="6" t="s">
        <v>234</v>
      </c>
      <c r="B942" s="6" t="s">
        <v>138</v>
      </c>
      <c r="C942" s="6" t="s">
        <v>1415</v>
      </c>
      <c r="D942" s="6" t="s">
        <v>1849</v>
      </c>
    </row>
    <row r="943" customFormat="false" ht="23.85" hidden="false" customHeight="false" outlineLevel="0" collapsed="false">
      <c r="A943" s="6" t="s">
        <v>234</v>
      </c>
      <c r="B943" s="6" t="s">
        <v>138</v>
      </c>
      <c r="C943" s="6" t="s">
        <v>1415</v>
      </c>
      <c r="D943" s="6" t="s">
        <v>1949</v>
      </c>
    </row>
    <row r="944" customFormat="false" ht="35.05" hidden="false" customHeight="false" outlineLevel="0" collapsed="false">
      <c r="A944" s="6" t="s">
        <v>234</v>
      </c>
      <c r="B944" s="6" t="s">
        <v>138</v>
      </c>
      <c r="C944" s="6" t="s">
        <v>1415</v>
      </c>
      <c r="D944" s="6" t="s">
        <v>1950</v>
      </c>
    </row>
    <row r="945" customFormat="false" ht="15" hidden="false" customHeight="false" outlineLevel="0" collapsed="false">
      <c r="A945" s="6" t="s">
        <v>234</v>
      </c>
      <c r="B945" s="6" t="s">
        <v>138</v>
      </c>
      <c r="C945" s="6" t="s">
        <v>1415</v>
      </c>
      <c r="D945" s="6" t="s">
        <v>1951</v>
      </c>
    </row>
    <row r="946" customFormat="false" ht="35.05" hidden="false" customHeight="false" outlineLevel="0" collapsed="false">
      <c r="A946" s="6" t="s">
        <v>234</v>
      </c>
      <c r="B946" s="6" t="s">
        <v>138</v>
      </c>
      <c r="C946" s="6" t="s">
        <v>1415</v>
      </c>
      <c r="D946" s="6" t="s">
        <v>371</v>
      </c>
    </row>
    <row r="947" customFormat="false" ht="35.05" hidden="false" customHeight="false" outlineLevel="0" collapsed="false">
      <c r="A947" s="6" t="s">
        <v>234</v>
      </c>
      <c r="B947" s="6" t="s">
        <v>138</v>
      </c>
      <c r="C947" s="6" t="s">
        <v>1415</v>
      </c>
      <c r="D947" s="6" t="s">
        <v>1952</v>
      </c>
    </row>
    <row r="948" customFormat="false" ht="15" hidden="false" customHeight="false" outlineLevel="0" collapsed="false">
      <c r="A948" s="6" t="s">
        <v>234</v>
      </c>
      <c r="B948" s="6" t="s">
        <v>138</v>
      </c>
      <c r="C948" s="6" t="s">
        <v>1415</v>
      </c>
      <c r="D948" s="6" t="s">
        <v>1953</v>
      </c>
    </row>
    <row r="949" customFormat="false" ht="23.85" hidden="false" customHeight="false" outlineLevel="0" collapsed="false">
      <c r="A949" s="6" t="s">
        <v>234</v>
      </c>
      <c r="B949" s="6" t="s">
        <v>70</v>
      </c>
      <c r="C949" s="6" t="s">
        <v>1415</v>
      </c>
      <c r="D949" s="6" t="s">
        <v>1954</v>
      </c>
    </row>
    <row r="950" customFormat="false" ht="23.85" hidden="false" customHeight="false" outlineLevel="0" collapsed="false">
      <c r="A950" s="6" t="s">
        <v>234</v>
      </c>
      <c r="B950" s="6" t="s">
        <v>70</v>
      </c>
      <c r="C950" s="6" t="s">
        <v>1415</v>
      </c>
      <c r="D950" s="6" t="s">
        <v>242</v>
      </c>
    </row>
    <row r="951" customFormat="false" ht="15" hidden="false" customHeight="false" outlineLevel="0" collapsed="false">
      <c r="A951" s="6" t="s">
        <v>767</v>
      </c>
      <c r="B951" s="6" t="s">
        <v>114</v>
      </c>
      <c r="C951" s="6" t="s">
        <v>1415</v>
      </c>
      <c r="D951" s="6" t="s">
        <v>1606</v>
      </c>
    </row>
    <row r="952" customFormat="false" ht="23.85" hidden="false" customHeight="false" outlineLevel="0" collapsed="false">
      <c r="A952" s="6" t="s">
        <v>767</v>
      </c>
      <c r="B952" s="6" t="s">
        <v>114</v>
      </c>
      <c r="C952" s="6" t="s">
        <v>1415</v>
      </c>
      <c r="D952" s="6" t="s">
        <v>1584</v>
      </c>
    </row>
    <row r="953" customFormat="false" ht="35.05" hidden="false" customHeight="false" outlineLevel="0" collapsed="false">
      <c r="A953" s="6" t="s">
        <v>767</v>
      </c>
      <c r="B953" s="6" t="s">
        <v>114</v>
      </c>
      <c r="C953" s="6" t="s">
        <v>1415</v>
      </c>
      <c r="D953" s="6" t="s">
        <v>1717</v>
      </c>
    </row>
    <row r="954" customFormat="false" ht="23.85" hidden="false" customHeight="false" outlineLevel="0" collapsed="false">
      <c r="A954" s="6" t="s">
        <v>767</v>
      </c>
      <c r="B954" s="6" t="s">
        <v>114</v>
      </c>
      <c r="C954" s="6" t="s">
        <v>1415</v>
      </c>
      <c r="D954" s="6" t="s">
        <v>1718</v>
      </c>
    </row>
    <row r="955" customFormat="false" ht="23.85" hidden="false" customHeight="false" outlineLevel="0" collapsed="false">
      <c r="A955" s="6" t="s">
        <v>767</v>
      </c>
      <c r="B955" s="6" t="s">
        <v>114</v>
      </c>
      <c r="C955" s="6" t="s">
        <v>1415</v>
      </c>
      <c r="D955" s="6" t="s">
        <v>1719</v>
      </c>
    </row>
    <row r="956" customFormat="false" ht="23.85" hidden="false" customHeight="false" outlineLevel="0" collapsed="false">
      <c r="A956" s="6" t="s">
        <v>767</v>
      </c>
      <c r="B956" s="6" t="s">
        <v>114</v>
      </c>
      <c r="C956" s="6" t="s">
        <v>1415</v>
      </c>
      <c r="D956" s="6" t="s">
        <v>1585</v>
      </c>
    </row>
    <row r="957" customFormat="false" ht="15" hidden="false" customHeight="false" outlineLevel="0" collapsed="false">
      <c r="A957" s="6" t="s">
        <v>767</v>
      </c>
      <c r="B957" s="6" t="s">
        <v>114</v>
      </c>
      <c r="C957" s="6" t="s">
        <v>1415</v>
      </c>
      <c r="D957" s="6" t="s">
        <v>1721</v>
      </c>
    </row>
    <row r="958" customFormat="false" ht="23.85" hidden="false" customHeight="false" outlineLevel="0" collapsed="false">
      <c r="A958" s="6" t="s">
        <v>767</v>
      </c>
      <c r="B958" s="6" t="s">
        <v>114</v>
      </c>
      <c r="C958" s="6" t="s">
        <v>1415</v>
      </c>
      <c r="D958" s="6" t="s">
        <v>1722</v>
      </c>
    </row>
    <row r="959" customFormat="false" ht="15" hidden="false" customHeight="false" outlineLevel="0" collapsed="false">
      <c r="A959" s="6" t="s">
        <v>767</v>
      </c>
      <c r="B959" s="6" t="s">
        <v>114</v>
      </c>
      <c r="C959" s="6" t="s">
        <v>1415</v>
      </c>
      <c r="D959" s="6" t="s">
        <v>1723</v>
      </c>
    </row>
    <row r="960" customFormat="false" ht="35.05" hidden="false" customHeight="false" outlineLevel="0" collapsed="false">
      <c r="A960" s="6" t="s">
        <v>767</v>
      </c>
      <c r="B960" s="6" t="s">
        <v>114</v>
      </c>
      <c r="C960" s="6" t="s">
        <v>1415</v>
      </c>
      <c r="D960" s="6" t="s">
        <v>1724</v>
      </c>
    </row>
    <row r="961" customFormat="false" ht="15" hidden="false" customHeight="false" outlineLevel="0" collapsed="false">
      <c r="A961" s="6" t="s">
        <v>767</v>
      </c>
      <c r="B961" s="6" t="s">
        <v>114</v>
      </c>
      <c r="C961" s="6" t="s">
        <v>1415</v>
      </c>
      <c r="D961" s="6" t="s">
        <v>1955</v>
      </c>
    </row>
    <row r="962" customFormat="false" ht="15" hidden="false" customHeight="false" outlineLevel="0" collapsed="false">
      <c r="A962" s="6" t="s">
        <v>767</v>
      </c>
      <c r="B962" s="6" t="s">
        <v>114</v>
      </c>
      <c r="C962" s="6" t="s">
        <v>1415</v>
      </c>
      <c r="D962" s="6" t="s">
        <v>1956</v>
      </c>
    </row>
    <row r="963" customFormat="false" ht="23.85" hidden="false" customHeight="false" outlineLevel="0" collapsed="false">
      <c r="A963" s="6" t="s">
        <v>767</v>
      </c>
      <c r="B963" s="6" t="s">
        <v>114</v>
      </c>
      <c r="C963" s="6" t="s">
        <v>1415</v>
      </c>
      <c r="D963" s="6" t="s">
        <v>1728</v>
      </c>
    </row>
    <row r="964" customFormat="false" ht="23.85" hidden="false" customHeight="false" outlineLevel="0" collapsed="false">
      <c r="A964" s="6" t="s">
        <v>767</v>
      </c>
      <c r="B964" s="6" t="s">
        <v>114</v>
      </c>
      <c r="C964" s="6" t="s">
        <v>1415</v>
      </c>
      <c r="D964" s="6" t="s">
        <v>1729</v>
      </c>
    </row>
    <row r="965" customFormat="false" ht="15" hidden="false" customHeight="false" outlineLevel="0" collapsed="false">
      <c r="A965" s="6" t="s">
        <v>767</v>
      </c>
      <c r="B965" s="6" t="s">
        <v>114</v>
      </c>
      <c r="C965" s="6" t="s">
        <v>1415</v>
      </c>
      <c r="D965" s="6" t="s">
        <v>1730</v>
      </c>
    </row>
    <row r="966" customFormat="false" ht="23.85" hidden="false" customHeight="false" outlineLevel="0" collapsed="false">
      <c r="A966" s="6" t="s">
        <v>767</v>
      </c>
      <c r="B966" s="6" t="s">
        <v>114</v>
      </c>
      <c r="C966" s="6" t="s">
        <v>1415</v>
      </c>
      <c r="D966" s="6" t="s">
        <v>1734</v>
      </c>
    </row>
    <row r="967" customFormat="false" ht="15" hidden="false" customHeight="false" outlineLevel="0" collapsed="false">
      <c r="A967" s="6" t="s">
        <v>767</v>
      </c>
      <c r="B967" s="6" t="s">
        <v>114</v>
      </c>
      <c r="C967" s="6" t="s">
        <v>1415</v>
      </c>
      <c r="D967" s="6" t="s">
        <v>1735</v>
      </c>
    </row>
    <row r="968" customFormat="false" ht="15" hidden="false" customHeight="false" outlineLevel="0" collapsed="false">
      <c r="A968" s="6" t="s">
        <v>767</v>
      </c>
      <c r="B968" s="6" t="s">
        <v>114</v>
      </c>
      <c r="C968" s="6" t="s">
        <v>1415</v>
      </c>
      <c r="D968" s="6" t="s">
        <v>1738</v>
      </c>
    </row>
    <row r="969" customFormat="false" ht="15" hidden="false" customHeight="false" outlineLevel="0" collapsed="false">
      <c r="A969" s="6" t="s">
        <v>767</v>
      </c>
      <c r="B969" s="6" t="s">
        <v>114</v>
      </c>
      <c r="C969" s="6" t="s">
        <v>1415</v>
      </c>
      <c r="D969" s="6" t="s">
        <v>1539</v>
      </c>
    </row>
    <row r="970" customFormat="false" ht="15" hidden="false" customHeight="false" outlineLevel="0" collapsed="false">
      <c r="A970" s="6" t="s">
        <v>767</v>
      </c>
      <c r="B970" s="6" t="s">
        <v>114</v>
      </c>
      <c r="C970" s="6" t="s">
        <v>1415</v>
      </c>
      <c r="D970" s="6" t="s">
        <v>1739</v>
      </c>
    </row>
    <row r="971" customFormat="false" ht="23.85" hidden="false" customHeight="false" outlineLevel="0" collapsed="false">
      <c r="A971" s="6" t="s">
        <v>767</v>
      </c>
      <c r="B971" s="6" t="s">
        <v>156</v>
      </c>
      <c r="C971" s="6" t="s">
        <v>1415</v>
      </c>
      <c r="D971" s="6" t="s">
        <v>1741</v>
      </c>
    </row>
    <row r="972" customFormat="false" ht="23.85" hidden="false" customHeight="false" outlineLevel="0" collapsed="false">
      <c r="A972" s="6" t="s">
        <v>767</v>
      </c>
      <c r="B972" s="6" t="s">
        <v>156</v>
      </c>
      <c r="C972" s="6" t="s">
        <v>1415</v>
      </c>
      <c r="D972" s="6" t="s">
        <v>1742</v>
      </c>
    </row>
    <row r="973" customFormat="false" ht="15" hidden="false" customHeight="false" outlineLevel="0" collapsed="false">
      <c r="A973" s="6" t="s">
        <v>767</v>
      </c>
      <c r="B973" s="6" t="s">
        <v>156</v>
      </c>
      <c r="C973" s="6" t="s">
        <v>1415</v>
      </c>
      <c r="D973" s="6" t="s">
        <v>1652</v>
      </c>
    </row>
    <row r="974" customFormat="false" ht="46.25" hidden="false" customHeight="false" outlineLevel="0" collapsed="false">
      <c r="A974" s="6" t="s">
        <v>767</v>
      </c>
      <c r="B974" s="6" t="s">
        <v>156</v>
      </c>
      <c r="C974" s="6" t="s">
        <v>1415</v>
      </c>
      <c r="D974" s="6" t="s">
        <v>1744</v>
      </c>
    </row>
    <row r="975" customFormat="false" ht="68.65" hidden="false" customHeight="false" outlineLevel="0" collapsed="false">
      <c r="A975" s="6" t="s">
        <v>767</v>
      </c>
      <c r="B975" s="6" t="s">
        <v>156</v>
      </c>
      <c r="C975" s="6" t="s">
        <v>1415</v>
      </c>
      <c r="D975" s="6" t="s">
        <v>1632</v>
      </c>
    </row>
    <row r="976" customFormat="false" ht="23.85" hidden="false" customHeight="false" outlineLevel="0" collapsed="false">
      <c r="A976" s="6" t="s">
        <v>767</v>
      </c>
      <c r="B976" s="6" t="s">
        <v>131</v>
      </c>
      <c r="C976" s="6" t="s">
        <v>1415</v>
      </c>
      <c r="D976" s="6" t="s">
        <v>1747</v>
      </c>
    </row>
    <row r="977" customFormat="false" ht="57.45" hidden="false" customHeight="false" outlineLevel="0" collapsed="false">
      <c r="A977" s="6" t="s">
        <v>767</v>
      </c>
      <c r="B977" s="6" t="s">
        <v>131</v>
      </c>
      <c r="C977" s="6" t="s">
        <v>1415</v>
      </c>
      <c r="D977" s="6" t="s">
        <v>1689</v>
      </c>
    </row>
    <row r="978" customFormat="false" ht="23.85" hidden="false" customHeight="false" outlineLevel="0" collapsed="false">
      <c r="A978" s="6" t="s">
        <v>767</v>
      </c>
      <c r="B978" s="6" t="s">
        <v>131</v>
      </c>
      <c r="C978" s="6" t="s">
        <v>1415</v>
      </c>
      <c r="D978" s="6" t="s">
        <v>1957</v>
      </c>
    </row>
    <row r="979" customFormat="false" ht="46.25" hidden="false" customHeight="false" outlineLevel="0" collapsed="false">
      <c r="A979" s="6" t="s">
        <v>767</v>
      </c>
      <c r="B979" s="6" t="s">
        <v>131</v>
      </c>
      <c r="C979" s="6" t="s">
        <v>1415</v>
      </c>
      <c r="D979" s="6" t="s">
        <v>1714</v>
      </c>
    </row>
    <row r="980" customFormat="false" ht="35.05" hidden="false" customHeight="false" outlineLevel="0" collapsed="false">
      <c r="A980" s="6" t="s">
        <v>767</v>
      </c>
      <c r="B980" s="6" t="s">
        <v>131</v>
      </c>
      <c r="C980" s="6" t="s">
        <v>1415</v>
      </c>
      <c r="D980" s="6" t="s">
        <v>1748</v>
      </c>
    </row>
    <row r="981" customFormat="false" ht="23.85" hidden="false" customHeight="false" outlineLevel="0" collapsed="false">
      <c r="A981" s="6" t="s">
        <v>767</v>
      </c>
      <c r="B981" s="6" t="s">
        <v>296</v>
      </c>
      <c r="C981" s="6" t="s">
        <v>1415</v>
      </c>
      <c r="D981" s="6" t="s">
        <v>1958</v>
      </c>
    </row>
    <row r="982" customFormat="false" ht="23.85" hidden="false" customHeight="false" outlineLevel="0" collapsed="false">
      <c r="A982" s="6" t="s">
        <v>767</v>
      </c>
      <c r="B982" s="6" t="s">
        <v>378</v>
      </c>
      <c r="C982" s="6" t="s">
        <v>1415</v>
      </c>
      <c r="D982" s="6" t="s">
        <v>1422</v>
      </c>
    </row>
    <row r="983" customFormat="false" ht="15" hidden="false" customHeight="false" outlineLevel="0" collapsed="false">
      <c r="A983" s="6" t="s">
        <v>767</v>
      </c>
      <c r="B983" s="6" t="s">
        <v>378</v>
      </c>
      <c r="C983" s="6" t="s">
        <v>1415</v>
      </c>
      <c r="D983" s="6" t="s">
        <v>1518</v>
      </c>
    </row>
    <row r="984" customFormat="false" ht="57.45" hidden="false" customHeight="false" outlineLevel="0" collapsed="false">
      <c r="A984" s="6" t="s">
        <v>767</v>
      </c>
      <c r="B984" s="6" t="s">
        <v>378</v>
      </c>
      <c r="C984" s="6" t="s">
        <v>1415</v>
      </c>
      <c r="D984" s="6" t="s">
        <v>923</v>
      </c>
    </row>
    <row r="985" customFormat="false" ht="35.05" hidden="false" customHeight="false" outlineLevel="0" collapsed="false">
      <c r="A985" s="6" t="s">
        <v>767</v>
      </c>
      <c r="B985" s="6" t="s">
        <v>224</v>
      </c>
      <c r="C985" s="6" t="s">
        <v>1415</v>
      </c>
      <c r="D985" s="6" t="s">
        <v>250</v>
      </c>
    </row>
    <row r="986" customFormat="false" ht="23.85" hidden="false" customHeight="false" outlineLevel="0" collapsed="false">
      <c r="A986" s="6" t="s">
        <v>767</v>
      </c>
      <c r="B986" s="6" t="s">
        <v>138</v>
      </c>
      <c r="C986" s="6" t="s">
        <v>1488</v>
      </c>
      <c r="D986" s="6" t="s">
        <v>1489</v>
      </c>
    </row>
    <row r="987" customFormat="false" ht="236.55" hidden="false" customHeight="false" outlineLevel="0" collapsed="false">
      <c r="A987" s="6" t="s">
        <v>767</v>
      </c>
      <c r="B987" s="6" t="s">
        <v>68</v>
      </c>
      <c r="C987" s="6" t="s">
        <v>1521</v>
      </c>
      <c r="D987" s="6" t="s">
        <v>1522</v>
      </c>
    </row>
    <row r="988" customFormat="false" ht="68.65" hidden="false" customHeight="false" outlineLevel="0" collapsed="false">
      <c r="A988" s="6" t="s">
        <v>1024</v>
      </c>
      <c r="B988" s="6" t="s">
        <v>378</v>
      </c>
      <c r="C988" s="6" t="s">
        <v>1415</v>
      </c>
      <c r="D988" s="6" t="s">
        <v>379</v>
      </c>
    </row>
    <row r="989" customFormat="false" ht="23.85" hidden="false" customHeight="false" outlineLevel="0" collapsed="false">
      <c r="A989" s="6" t="s">
        <v>1024</v>
      </c>
      <c r="B989" s="6" t="s">
        <v>378</v>
      </c>
      <c r="C989" s="6" t="s">
        <v>1415</v>
      </c>
      <c r="D989" s="6" t="s">
        <v>891</v>
      </c>
    </row>
    <row r="990" customFormat="false" ht="23.85" hidden="false" customHeight="false" outlineLevel="0" collapsed="false">
      <c r="A990" s="6" t="s">
        <v>1024</v>
      </c>
      <c r="B990" s="6" t="s">
        <v>70</v>
      </c>
      <c r="C990" s="6" t="s">
        <v>1415</v>
      </c>
      <c r="D990" s="6" t="s">
        <v>1655</v>
      </c>
    </row>
    <row r="991" customFormat="false" ht="15" hidden="false" customHeight="false" outlineLevel="0" collapsed="false">
      <c r="A991" s="6" t="s">
        <v>851</v>
      </c>
      <c r="B991" s="6" t="s">
        <v>378</v>
      </c>
      <c r="C991" s="6" t="s">
        <v>1415</v>
      </c>
      <c r="D991" s="6" t="s">
        <v>1628</v>
      </c>
    </row>
    <row r="992" customFormat="false" ht="15" hidden="false" customHeight="false" outlineLevel="0" collapsed="false">
      <c r="A992" s="6" t="s">
        <v>851</v>
      </c>
      <c r="B992" s="6" t="s">
        <v>378</v>
      </c>
      <c r="C992" s="6" t="s">
        <v>1415</v>
      </c>
      <c r="D992" s="6" t="s">
        <v>1959</v>
      </c>
    </row>
    <row r="993" customFormat="false" ht="46.25" hidden="false" customHeight="false" outlineLevel="0" collapsed="false">
      <c r="A993" s="6" t="s">
        <v>851</v>
      </c>
      <c r="B993" s="6" t="s">
        <v>378</v>
      </c>
      <c r="C993" s="6" t="s">
        <v>1415</v>
      </c>
      <c r="D993" s="6" t="s">
        <v>1960</v>
      </c>
    </row>
    <row r="994" customFormat="false" ht="35.05" hidden="false" customHeight="false" outlineLevel="0" collapsed="false">
      <c r="A994" s="6" t="s">
        <v>851</v>
      </c>
      <c r="B994" s="6" t="s">
        <v>378</v>
      </c>
      <c r="C994" s="6" t="s">
        <v>1415</v>
      </c>
      <c r="D994" s="6" t="s">
        <v>864</v>
      </c>
    </row>
    <row r="995" customFormat="false" ht="23.85" hidden="false" customHeight="false" outlineLevel="0" collapsed="false">
      <c r="A995" s="6" t="s">
        <v>851</v>
      </c>
      <c r="B995" s="6" t="s">
        <v>95</v>
      </c>
      <c r="C995" s="6" t="s">
        <v>1415</v>
      </c>
      <c r="D995" s="6" t="s">
        <v>857</v>
      </c>
    </row>
    <row r="996" customFormat="false" ht="46.25" hidden="false" customHeight="false" outlineLevel="0" collapsed="false">
      <c r="A996" s="6" t="s">
        <v>904</v>
      </c>
      <c r="B996" s="6" t="s">
        <v>378</v>
      </c>
      <c r="C996" s="6" t="s">
        <v>1415</v>
      </c>
      <c r="D996" s="6" t="s">
        <v>1650</v>
      </c>
    </row>
    <row r="997" customFormat="false" ht="23.85" hidden="false" customHeight="false" outlineLevel="0" collapsed="false">
      <c r="A997" s="6" t="s">
        <v>904</v>
      </c>
      <c r="B997" s="6" t="s">
        <v>304</v>
      </c>
      <c r="C997" s="6" t="s">
        <v>1415</v>
      </c>
      <c r="D997" s="6" t="s">
        <v>910</v>
      </c>
    </row>
    <row r="998" customFormat="false" ht="23.85" hidden="false" customHeight="false" outlineLevel="0" collapsed="false">
      <c r="A998" s="6" t="s">
        <v>774</v>
      </c>
      <c r="B998" s="6" t="s">
        <v>138</v>
      </c>
      <c r="C998" s="6" t="s">
        <v>1415</v>
      </c>
      <c r="D998" s="6" t="s">
        <v>1491</v>
      </c>
    </row>
    <row r="999" customFormat="false" ht="23.85" hidden="false" customHeight="false" outlineLevel="0" collapsed="false">
      <c r="A999" s="6" t="s">
        <v>774</v>
      </c>
      <c r="B999" s="6" t="s">
        <v>138</v>
      </c>
      <c r="C999" s="6" t="s">
        <v>1415</v>
      </c>
      <c r="D999" s="6" t="s">
        <v>781</v>
      </c>
    </row>
    <row r="1000" customFormat="false" ht="23.85" hidden="false" customHeight="false" outlineLevel="0" collapsed="false">
      <c r="A1000" s="6" t="s">
        <v>774</v>
      </c>
      <c r="B1000" s="6" t="s">
        <v>138</v>
      </c>
      <c r="C1000" s="6" t="s">
        <v>1457</v>
      </c>
      <c r="D1000" s="6" t="s">
        <v>1458</v>
      </c>
    </row>
    <row r="1001" customFormat="false" ht="23.85" hidden="false" customHeight="false" outlineLevel="0" collapsed="false">
      <c r="A1001" s="6" t="s">
        <v>604</v>
      </c>
      <c r="B1001" s="6" t="s">
        <v>304</v>
      </c>
      <c r="C1001" s="6" t="s">
        <v>1415</v>
      </c>
      <c r="D1001" s="6" t="s">
        <v>621</v>
      </c>
    </row>
    <row r="1002" customFormat="false" ht="46.25" hidden="false" customHeight="false" outlineLevel="0" collapsed="false">
      <c r="A1002" s="6" t="s">
        <v>604</v>
      </c>
      <c r="B1002" s="6" t="s">
        <v>104</v>
      </c>
      <c r="C1002" s="6" t="s">
        <v>1415</v>
      </c>
      <c r="D1002" s="6" t="s">
        <v>576</v>
      </c>
    </row>
    <row r="1003" customFormat="false" ht="236.55" hidden="false" customHeight="false" outlineLevel="0" collapsed="false">
      <c r="A1003" s="6" t="s">
        <v>1031</v>
      </c>
      <c r="B1003" s="6" t="s">
        <v>68</v>
      </c>
      <c r="C1003" s="6" t="s">
        <v>1521</v>
      </c>
      <c r="D1003" s="6" t="s">
        <v>1522</v>
      </c>
    </row>
    <row r="1004" customFormat="false" ht="35.05" hidden="false" customHeight="false" outlineLevel="0" collapsed="false">
      <c r="A1004" s="6" t="s">
        <v>158</v>
      </c>
      <c r="B1004" s="6" t="s">
        <v>69</v>
      </c>
      <c r="C1004" s="6" t="s">
        <v>1415</v>
      </c>
      <c r="D1004" s="6" t="s">
        <v>1668</v>
      </c>
    </row>
    <row r="1005" customFormat="false" ht="15" hidden="false" customHeight="false" outlineLevel="0" collapsed="false">
      <c r="A1005" s="6" t="s">
        <v>158</v>
      </c>
      <c r="B1005" s="6" t="s">
        <v>69</v>
      </c>
      <c r="C1005" s="6" t="s">
        <v>1415</v>
      </c>
      <c r="D1005" s="6" t="s">
        <v>1961</v>
      </c>
    </row>
    <row r="1006" customFormat="false" ht="46.25" hidden="false" customHeight="false" outlineLevel="0" collapsed="false">
      <c r="A1006" s="6" t="s">
        <v>158</v>
      </c>
      <c r="B1006" s="6" t="s">
        <v>69</v>
      </c>
      <c r="C1006" s="6" t="s">
        <v>1415</v>
      </c>
      <c r="D1006" s="6" t="s">
        <v>1671</v>
      </c>
    </row>
    <row r="1007" customFormat="false" ht="23.85" hidden="false" customHeight="false" outlineLevel="0" collapsed="false">
      <c r="A1007" s="6" t="s">
        <v>158</v>
      </c>
      <c r="B1007" s="6" t="s">
        <v>114</v>
      </c>
      <c r="C1007" s="6" t="s">
        <v>1415</v>
      </c>
      <c r="D1007" s="6" t="s">
        <v>1962</v>
      </c>
    </row>
    <row r="1008" customFormat="false" ht="15" hidden="false" customHeight="false" outlineLevel="0" collapsed="false">
      <c r="A1008" s="6" t="s">
        <v>158</v>
      </c>
      <c r="B1008" s="6" t="s">
        <v>114</v>
      </c>
      <c r="C1008" s="6" t="s">
        <v>1415</v>
      </c>
      <c r="D1008" s="6" t="s">
        <v>1881</v>
      </c>
    </row>
    <row r="1009" customFormat="false" ht="15" hidden="false" customHeight="false" outlineLevel="0" collapsed="false">
      <c r="A1009" s="6" t="s">
        <v>158</v>
      </c>
      <c r="B1009" s="6" t="s">
        <v>114</v>
      </c>
      <c r="C1009" s="6" t="s">
        <v>1415</v>
      </c>
      <c r="D1009" s="6" t="s">
        <v>1963</v>
      </c>
    </row>
    <row r="1010" customFormat="false" ht="57.45" hidden="false" customHeight="false" outlineLevel="0" collapsed="false">
      <c r="A1010" s="6" t="s">
        <v>158</v>
      </c>
      <c r="B1010" s="6" t="s">
        <v>114</v>
      </c>
      <c r="C1010" s="6" t="s">
        <v>1415</v>
      </c>
      <c r="D1010" s="6" t="s">
        <v>1587</v>
      </c>
    </row>
    <row r="1011" customFormat="false" ht="46.25" hidden="false" customHeight="false" outlineLevel="0" collapsed="false">
      <c r="A1011" s="6" t="s">
        <v>158</v>
      </c>
      <c r="B1011" s="6" t="s">
        <v>114</v>
      </c>
      <c r="C1011" s="6" t="s">
        <v>1415</v>
      </c>
      <c r="D1011" s="6" t="s">
        <v>1964</v>
      </c>
    </row>
    <row r="1012" customFormat="false" ht="46.25" hidden="false" customHeight="false" outlineLevel="0" collapsed="false">
      <c r="A1012" s="6" t="s">
        <v>158</v>
      </c>
      <c r="B1012" s="6" t="s">
        <v>114</v>
      </c>
      <c r="C1012" s="6" t="s">
        <v>1415</v>
      </c>
      <c r="D1012" s="6" t="s">
        <v>1965</v>
      </c>
    </row>
    <row r="1013" customFormat="false" ht="23.85" hidden="false" customHeight="false" outlineLevel="0" collapsed="false">
      <c r="A1013" s="6" t="s">
        <v>158</v>
      </c>
      <c r="B1013" s="6" t="s">
        <v>114</v>
      </c>
      <c r="C1013" s="6" t="s">
        <v>1415</v>
      </c>
      <c r="D1013" s="6" t="s">
        <v>1966</v>
      </c>
    </row>
    <row r="1014" customFormat="false" ht="35.05" hidden="false" customHeight="false" outlineLevel="0" collapsed="false">
      <c r="A1014" s="6" t="s">
        <v>158</v>
      </c>
      <c r="B1014" s="6" t="s">
        <v>114</v>
      </c>
      <c r="C1014" s="6" t="s">
        <v>1415</v>
      </c>
      <c r="D1014" s="6" t="s">
        <v>1477</v>
      </c>
    </row>
    <row r="1015" customFormat="false" ht="15" hidden="false" customHeight="false" outlineLevel="0" collapsed="false">
      <c r="A1015" s="6" t="s">
        <v>158</v>
      </c>
      <c r="B1015" s="6" t="s">
        <v>114</v>
      </c>
      <c r="C1015" s="6" t="s">
        <v>1415</v>
      </c>
      <c r="D1015" s="6" t="s">
        <v>1434</v>
      </c>
    </row>
    <row r="1016" customFormat="false" ht="46.25" hidden="false" customHeight="false" outlineLevel="0" collapsed="false">
      <c r="A1016" s="6" t="s">
        <v>158</v>
      </c>
      <c r="B1016" s="6" t="s">
        <v>114</v>
      </c>
      <c r="C1016" s="6" t="s">
        <v>1415</v>
      </c>
      <c r="D1016" s="6" t="s">
        <v>1471</v>
      </c>
    </row>
    <row r="1017" customFormat="false" ht="23.85" hidden="false" customHeight="false" outlineLevel="0" collapsed="false">
      <c r="A1017" s="6" t="s">
        <v>158</v>
      </c>
      <c r="B1017" s="6" t="s">
        <v>114</v>
      </c>
      <c r="C1017" s="6" t="s">
        <v>1415</v>
      </c>
      <c r="D1017" s="6" t="s">
        <v>1478</v>
      </c>
    </row>
    <row r="1018" customFormat="false" ht="15" hidden="false" customHeight="false" outlineLevel="0" collapsed="false">
      <c r="A1018" s="6" t="s">
        <v>158</v>
      </c>
      <c r="B1018" s="6" t="s">
        <v>114</v>
      </c>
      <c r="C1018" s="6" t="s">
        <v>1415</v>
      </c>
      <c r="D1018" s="6" t="s">
        <v>1967</v>
      </c>
    </row>
    <row r="1019" customFormat="false" ht="23.85" hidden="false" customHeight="false" outlineLevel="0" collapsed="false">
      <c r="A1019" s="6" t="s">
        <v>158</v>
      </c>
      <c r="B1019" s="6" t="s">
        <v>114</v>
      </c>
      <c r="C1019" s="6" t="s">
        <v>1415</v>
      </c>
      <c r="D1019" s="6" t="s">
        <v>1479</v>
      </c>
    </row>
    <row r="1020" customFormat="false" ht="46.25" hidden="false" customHeight="false" outlineLevel="0" collapsed="false">
      <c r="A1020" s="6" t="s">
        <v>158</v>
      </c>
      <c r="B1020" s="6" t="s">
        <v>114</v>
      </c>
      <c r="C1020" s="6" t="s">
        <v>1415</v>
      </c>
      <c r="D1020" s="6" t="s">
        <v>1486</v>
      </c>
    </row>
    <row r="1021" customFormat="false" ht="23.85" hidden="false" customHeight="false" outlineLevel="0" collapsed="false">
      <c r="A1021" s="6" t="s">
        <v>158</v>
      </c>
      <c r="B1021" s="6" t="s">
        <v>114</v>
      </c>
      <c r="C1021" s="6" t="s">
        <v>1415</v>
      </c>
      <c r="D1021" s="6" t="s">
        <v>1568</v>
      </c>
    </row>
    <row r="1022" customFormat="false" ht="57.45" hidden="false" customHeight="false" outlineLevel="0" collapsed="false">
      <c r="A1022" s="6" t="s">
        <v>158</v>
      </c>
      <c r="B1022" s="6" t="s">
        <v>114</v>
      </c>
      <c r="C1022" s="6" t="s">
        <v>1415</v>
      </c>
      <c r="D1022" s="6" t="s">
        <v>1896</v>
      </c>
    </row>
    <row r="1023" customFormat="false" ht="46.25" hidden="false" customHeight="false" outlineLevel="0" collapsed="false">
      <c r="A1023" s="6" t="s">
        <v>158</v>
      </c>
      <c r="B1023" s="6" t="s">
        <v>114</v>
      </c>
      <c r="C1023" s="6" t="s">
        <v>1415</v>
      </c>
      <c r="D1023" s="6" t="s">
        <v>1534</v>
      </c>
    </row>
    <row r="1024" customFormat="false" ht="46.25" hidden="false" customHeight="false" outlineLevel="0" collapsed="false">
      <c r="A1024" s="6" t="s">
        <v>158</v>
      </c>
      <c r="B1024" s="6" t="s">
        <v>114</v>
      </c>
      <c r="C1024" s="6" t="s">
        <v>1415</v>
      </c>
      <c r="D1024" s="6" t="s">
        <v>1536</v>
      </c>
    </row>
    <row r="1025" customFormat="false" ht="35.05" hidden="false" customHeight="false" outlineLevel="0" collapsed="false">
      <c r="A1025" s="6" t="s">
        <v>158</v>
      </c>
      <c r="B1025" s="6" t="s">
        <v>156</v>
      </c>
      <c r="C1025" s="6" t="s">
        <v>1415</v>
      </c>
      <c r="D1025" s="6" t="s">
        <v>1915</v>
      </c>
    </row>
    <row r="1026" customFormat="false" ht="23.85" hidden="false" customHeight="false" outlineLevel="0" collapsed="false">
      <c r="A1026" s="6" t="s">
        <v>158</v>
      </c>
      <c r="B1026" s="6" t="s">
        <v>131</v>
      </c>
      <c r="C1026" s="6" t="s">
        <v>1415</v>
      </c>
      <c r="D1026" s="6" t="s">
        <v>1574</v>
      </c>
    </row>
    <row r="1027" customFormat="false" ht="46.25" hidden="false" customHeight="false" outlineLevel="0" collapsed="false">
      <c r="A1027" s="6" t="s">
        <v>158</v>
      </c>
      <c r="B1027" s="6" t="s">
        <v>296</v>
      </c>
      <c r="C1027" s="6" t="s">
        <v>1415</v>
      </c>
      <c r="D1027" s="6" t="s">
        <v>707</v>
      </c>
    </row>
    <row r="1028" customFormat="false" ht="35.05" hidden="false" customHeight="false" outlineLevel="0" collapsed="false">
      <c r="A1028" s="6" t="s">
        <v>158</v>
      </c>
      <c r="B1028" s="6" t="s">
        <v>296</v>
      </c>
      <c r="C1028" s="6" t="s">
        <v>1415</v>
      </c>
      <c r="D1028" s="6" t="s">
        <v>1918</v>
      </c>
    </row>
    <row r="1029" customFormat="false" ht="46.25" hidden="false" customHeight="false" outlineLevel="0" collapsed="false">
      <c r="A1029" s="6" t="s">
        <v>158</v>
      </c>
      <c r="B1029" s="6" t="s">
        <v>296</v>
      </c>
      <c r="C1029" s="6" t="s">
        <v>1415</v>
      </c>
      <c r="D1029" s="6" t="s">
        <v>1510</v>
      </c>
    </row>
    <row r="1030" customFormat="false" ht="23.85" hidden="false" customHeight="false" outlineLevel="0" collapsed="false">
      <c r="A1030" s="6" t="s">
        <v>158</v>
      </c>
      <c r="B1030" s="6" t="s">
        <v>296</v>
      </c>
      <c r="C1030" s="6" t="s">
        <v>1415</v>
      </c>
      <c r="D1030" s="6" t="s">
        <v>1511</v>
      </c>
    </row>
    <row r="1031" customFormat="false" ht="35.05" hidden="false" customHeight="false" outlineLevel="0" collapsed="false">
      <c r="A1031" s="6" t="s">
        <v>158</v>
      </c>
      <c r="B1031" s="6" t="s">
        <v>296</v>
      </c>
      <c r="C1031" s="6" t="s">
        <v>1415</v>
      </c>
      <c r="D1031" s="6" t="s">
        <v>1512</v>
      </c>
    </row>
    <row r="1032" customFormat="false" ht="15" hidden="false" customHeight="false" outlineLevel="0" collapsed="false">
      <c r="A1032" s="6" t="s">
        <v>158</v>
      </c>
      <c r="B1032" s="6" t="s">
        <v>296</v>
      </c>
      <c r="C1032" s="6" t="s">
        <v>1415</v>
      </c>
      <c r="D1032" s="6" t="s">
        <v>1968</v>
      </c>
    </row>
    <row r="1033" customFormat="false" ht="23.85" hidden="false" customHeight="false" outlineLevel="0" collapsed="false">
      <c r="A1033" s="6" t="s">
        <v>158</v>
      </c>
      <c r="B1033" s="6" t="s">
        <v>296</v>
      </c>
      <c r="C1033" s="6" t="s">
        <v>1415</v>
      </c>
      <c r="D1033" s="6" t="s">
        <v>1831</v>
      </c>
    </row>
    <row r="1034" customFormat="false" ht="15" hidden="false" customHeight="false" outlineLevel="0" collapsed="false">
      <c r="A1034" s="6" t="s">
        <v>158</v>
      </c>
      <c r="B1034" s="6" t="s">
        <v>296</v>
      </c>
      <c r="C1034" s="6" t="s">
        <v>1415</v>
      </c>
      <c r="D1034" s="6" t="s">
        <v>1969</v>
      </c>
    </row>
    <row r="1035" customFormat="false" ht="46.25" hidden="false" customHeight="false" outlineLevel="0" collapsed="false">
      <c r="A1035" s="6" t="s">
        <v>158</v>
      </c>
      <c r="B1035" s="6" t="s">
        <v>296</v>
      </c>
      <c r="C1035" s="6" t="s">
        <v>1415</v>
      </c>
      <c r="D1035" s="6" t="s">
        <v>1970</v>
      </c>
    </row>
    <row r="1036" customFormat="false" ht="23.85" hidden="false" customHeight="false" outlineLevel="0" collapsed="false">
      <c r="A1036" s="6" t="s">
        <v>158</v>
      </c>
      <c r="B1036" s="6" t="s">
        <v>296</v>
      </c>
      <c r="C1036" s="6" t="s">
        <v>1415</v>
      </c>
      <c r="D1036" s="6" t="s">
        <v>1971</v>
      </c>
    </row>
    <row r="1037" customFormat="false" ht="35.05" hidden="false" customHeight="false" outlineLevel="0" collapsed="false">
      <c r="A1037" s="6" t="s">
        <v>158</v>
      </c>
      <c r="B1037" s="6" t="s">
        <v>296</v>
      </c>
      <c r="C1037" s="6" t="s">
        <v>1415</v>
      </c>
      <c r="D1037" s="6" t="s">
        <v>1972</v>
      </c>
    </row>
    <row r="1038" customFormat="false" ht="35.05" hidden="false" customHeight="false" outlineLevel="0" collapsed="false">
      <c r="A1038" s="6" t="s">
        <v>158</v>
      </c>
      <c r="B1038" s="6" t="s">
        <v>296</v>
      </c>
      <c r="C1038" s="6" t="s">
        <v>1415</v>
      </c>
      <c r="D1038" s="6" t="s">
        <v>1973</v>
      </c>
    </row>
    <row r="1039" customFormat="false" ht="15" hidden="false" customHeight="false" outlineLevel="0" collapsed="false">
      <c r="A1039" s="6" t="s">
        <v>158</v>
      </c>
      <c r="B1039" s="6" t="s">
        <v>296</v>
      </c>
      <c r="C1039" s="6" t="s">
        <v>1415</v>
      </c>
      <c r="D1039" s="6" t="s">
        <v>1974</v>
      </c>
    </row>
    <row r="1040" customFormat="false" ht="15" hidden="false" customHeight="false" outlineLevel="0" collapsed="false">
      <c r="A1040" s="6" t="s">
        <v>158</v>
      </c>
      <c r="B1040" s="6" t="s">
        <v>378</v>
      </c>
      <c r="C1040" s="6" t="s">
        <v>1415</v>
      </c>
      <c r="D1040" s="6" t="s">
        <v>1975</v>
      </c>
    </row>
    <row r="1041" customFormat="false" ht="35.05" hidden="false" customHeight="false" outlineLevel="0" collapsed="false">
      <c r="A1041" s="6" t="s">
        <v>158</v>
      </c>
      <c r="B1041" s="6" t="s">
        <v>378</v>
      </c>
      <c r="C1041" s="6" t="s">
        <v>1415</v>
      </c>
      <c r="D1041" s="6" t="s">
        <v>1976</v>
      </c>
    </row>
    <row r="1042" customFormat="false" ht="23.85" hidden="false" customHeight="false" outlineLevel="0" collapsed="false">
      <c r="A1042" s="6" t="s">
        <v>158</v>
      </c>
      <c r="B1042" s="6" t="s">
        <v>378</v>
      </c>
      <c r="C1042" s="6" t="s">
        <v>1415</v>
      </c>
      <c r="D1042" s="6" t="s">
        <v>1977</v>
      </c>
    </row>
    <row r="1043" customFormat="false" ht="35.05" hidden="false" customHeight="false" outlineLevel="0" collapsed="false">
      <c r="A1043" s="6" t="s">
        <v>158</v>
      </c>
      <c r="B1043" s="6" t="s">
        <v>378</v>
      </c>
      <c r="C1043" s="6" t="s">
        <v>1415</v>
      </c>
      <c r="D1043" s="6" t="s">
        <v>690</v>
      </c>
    </row>
    <row r="1044" customFormat="false" ht="23.85" hidden="false" customHeight="false" outlineLevel="0" collapsed="false">
      <c r="A1044" s="6" t="s">
        <v>158</v>
      </c>
      <c r="B1044" s="6" t="s">
        <v>378</v>
      </c>
      <c r="C1044" s="6" t="s">
        <v>1415</v>
      </c>
      <c r="D1044" s="6" t="s">
        <v>1749</v>
      </c>
    </row>
    <row r="1045" customFormat="false" ht="23.85" hidden="false" customHeight="false" outlineLevel="0" collapsed="false">
      <c r="A1045" s="6" t="s">
        <v>158</v>
      </c>
      <c r="B1045" s="6" t="s">
        <v>378</v>
      </c>
      <c r="C1045" s="6" t="s">
        <v>1415</v>
      </c>
      <c r="D1045" s="6" t="s">
        <v>1750</v>
      </c>
    </row>
    <row r="1046" customFormat="false" ht="15" hidden="false" customHeight="false" outlineLevel="0" collapsed="false">
      <c r="A1046" s="6" t="s">
        <v>158</v>
      </c>
      <c r="B1046" s="6" t="s">
        <v>378</v>
      </c>
      <c r="C1046" s="6" t="s">
        <v>1415</v>
      </c>
      <c r="D1046" s="6" t="s">
        <v>1978</v>
      </c>
    </row>
    <row r="1047" customFormat="false" ht="46.25" hidden="false" customHeight="false" outlineLevel="0" collapsed="false">
      <c r="A1047" s="6" t="s">
        <v>158</v>
      </c>
      <c r="B1047" s="6" t="s">
        <v>378</v>
      </c>
      <c r="C1047" s="6" t="s">
        <v>1415</v>
      </c>
      <c r="D1047" s="6" t="s">
        <v>1979</v>
      </c>
    </row>
    <row r="1048" customFormat="false" ht="46.25" hidden="false" customHeight="false" outlineLevel="0" collapsed="false">
      <c r="A1048" s="6" t="s">
        <v>158</v>
      </c>
      <c r="B1048" s="6" t="s">
        <v>1923</v>
      </c>
      <c r="C1048" s="6" t="s">
        <v>1415</v>
      </c>
      <c r="D1048" s="6" t="s">
        <v>1934</v>
      </c>
    </row>
    <row r="1049" customFormat="false" ht="15" hidden="false" customHeight="false" outlineLevel="0" collapsed="false">
      <c r="A1049" s="6" t="s">
        <v>158</v>
      </c>
      <c r="B1049" s="6" t="s">
        <v>568</v>
      </c>
      <c r="C1049" s="6" t="s">
        <v>1415</v>
      </c>
      <c r="D1049" s="6" t="s">
        <v>1936</v>
      </c>
    </row>
    <row r="1050" customFormat="false" ht="46.25" hidden="false" customHeight="false" outlineLevel="0" collapsed="false">
      <c r="A1050" s="6" t="s">
        <v>158</v>
      </c>
      <c r="B1050" s="6" t="s">
        <v>568</v>
      </c>
      <c r="C1050" s="6" t="s">
        <v>1415</v>
      </c>
      <c r="D1050" s="6" t="s">
        <v>1938</v>
      </c>
    </row>
    <row r="1051" customFormat="false" ht="23.85" hidden="false" customHeight="false" outlineLevel="0" collapsed="false">
      <c r="A1051" s="6" t="s">
        <v>158</v>
      </c>
      <c r="B1051" s="6" t="s">
        <v>568</v>
      </c>
      <c r="C1051" s="6" t="s">
        <v>1415</v>
      </c>
      <c r="D1051" s="6" t="s">
        <v>1980</v>
      </c>
    </row>
    <row r="1052" customFormat="false" ht="15" hidden="false" customHeight="false" outlineLevel="0" collapsed="false">
      <c r="A1052" s="6" t="s">
        <v>158</v>
      </c>
      <c r="B1052" s="6" t="s">
        <v>568</v>
      </c>
      <c r="C1052" s="6" t="s">
        <v>1415</v>
      </c>
      <c r="D1052" s="6" t="s">
        <v>1981</v>
      </c>
    </row>
    <row r="1053" customFormat="false" ht="23.85" hidden="false" customHeight="false" outlineLevel="0" collapsed="false">
      <c r="A1053" s="6" t="s">
        <v>158</v>
      </c>
      <c r="B1053" s="6" t="s">
        <v>568</v>
      </c>
      <c r="C1053" s="6" t="s">
        <v>1415</v>
      </c>
      <c r="D1053" s="6" t="s">
        <v>1942</v>
      </c>
    </row>
    <row r="1054" customFormat="false" ht="15" hidden="false" customHeight="false" outlineLevel="0" collapsed="false">
      <c r="A1054" s="6" t="s">
        <v>158</v>
      </c>
      <c r="B1054" s="6" t="s">
        <v>568</v>
      </c>
      <c r="C1054" s="6" t="s">
        <v>1415</v>
      </c>
      <c r="D1054" s="6" t="s">
        <v>1982</v>
      </c>
    </row>
    <row r="1055" customFormat="false" ht="23.85" hidden="false" customHeight="false" outlineLevel="0" collapsed="false">
      <c r="A1055" s="6" t="s">
        <v>158</v>
      </c>
      <c r="B1055" s="6" t="s">
        <v>568</v>
      </c>
      <c r="C1055" s="6" t="s">
        <v>1415</v>
      </c>
      <c r="D1055" s="6" t="s">
        <v>1983</v>
      </c>
    </row>
    <row r="1056" customFormat="false" ht="23.85" hidden="false" customHeight="false" outlineLevel="0" collapsed="false">
      <c r="A1056" s="6" t="s">
        <v>158</v>
      </c>
      <c r="B1056" s="6" t="s">
        <v>264</v>
      </c>
      <c r="C1056" s="6" t="s">
        <v>1415</v>
      </c>
      <c r="D1056" s="6" t="s">
        <v>1984</v>
      </c>
    </row>
    <row r="1057" customFormat="false" ht="23.85" hidden="false" customHeight="false" outlineLevel="0" collapsed="false">
      <c r="A1057" s="6" t="s">
        <v>158</v>
      </c>
      <c r="B1057" s="6" t="s">
        <v>264</v>
      </c>
      <c r="C1057" s="6" t="s">
        <v>1415</v>
      </c>
      <c r="D1057" s="6" t="s">
        <v>1985</v>
      </c>
    </row>
    <row r="1058" customFormat="false" ht="15" hidden="false" customHeight="false" outlineLevel="0" collapsed="false">
      <c r="A1058" s="6" t="s">
        <v>158</v>
      </c>
      <c r="B1058" s="6" t="s">
        <v>264</v>
      </c>
      <c r="C1058" s="6" t="s">
        <v>1415</v>
      </c>
      <c r="D1058" s="6" t="s">
        <v>1986</v>
      </c>
    </row>
    <row r="1059" customFormat="false" ht="15" hidden="false" customHeight="false" outlineLevel="0" collapsed="false">
      <c r="A1059" s="6" t="s">
        <v>158</v>
      </c>
      <c r="B1059" s="6" t="s">
        <v>264</v>
      </c>
      <c r="C1059" s="6" t="s">
        <v>1415</v>
      </c>
      <c r="D1059" s="6" t="s">
        <v>1987</v>
      </c>
    </row>
    <row r="1060" customFormat="false" ht="35.05" hidden="false" customHeight="false" outlineLevel="0" collapsed="false">
      <c r="A1060" s="6" t="s">
        <v>158</v>
      </c>
      <c r="B1060" s="6" t="s">
        <v>264</v>
      </c>
      <c r="C1060" s="6" t="s">
        <v>1415</v>
      </c>
      <c r="D1060" s="6" t="s">
        <v>1988</v>
      </c>
    </row>
    <row r="1061" customFormat="false" ht="23.85" hidden="false" customHeight="false" outlineLevel="0" collapsed="false">
      <c r="A1061" s="6" t="s">
        <v>158</v>
      </c>
      <c r="B1061" s="6" t="s">
        <v>264</v>
      </c>
      <c r="C1061" s="6" t="s">
        <v>1415</v>
      </c>
      <c r="D1061" s="6" t="s">
        <v>1989</v>
      </c>
    </row>
    <row r="1062" customFormat="false" ht="23.85" hidden="false" customHeight="false" outlineLevel="0" collapsed="false">
      <c r="A1062" s="6" t="s">
        <v>158</v>
      </c>
      <c r="B1062" s="6" t="s">
        <v>264</v>
      </c>
      <c r="C1062" s="6" t="s">
        <v>1415</v>
      </c>
      <c r="D1062" s="6" t="s">
        <v>1990</v>
      </c>
    </row>
    <row r="1063" customFormat="false" ht="23.85" hidden="false" customHeight="false" outlineLevel="0" collapsed="false">
      <c r="A1063" s="6" t="s">
        <v>158</v>
      </c>
      <c r="B1063" s="6" t="s">
        <v>264</v>
      </c>
      <c r="C1063" s="6" t="s">
        <v>1415</v>
      </c>
      <c r="D1063" s="6" t="s">
        <v>1991</v>
      </c>
    </row>
    <row r="1064" customFormat="false" ht="23.85" hidden="false" customHeight="false" outlineLevel="0" collapsed="false">
      <c r="A1064" s="6" t="s">
        <v>158</v>
      </c>
      <c r="B1064" s="6" t="s">
        <v>264</v>
      </c>
      <c r="C1064" s="6" t="s">
        <v>1415</v>
      </c>
      <c r="D1064" s="6" t="s">
        <v>1947</v>
      </c>
    </row>
    <row r="1065" customFormat="false" ht="23.85" hidden="false" customHeight="false" outlineLevel="0" collapsed="false">
      <c r="A1065" s="6" t="s">
        <v>158</v>
      </c>
      <c r="B1065" s="6" t="s">
        <v>264</v>
      </c>
      <c r="C1065" s="6" t="s">
        <v>1415</v>
      </c>
      <c r="D1065" s="6" t="s">
        <v>1044</v>
      </c>
    </row>
    <row r="1066" customFormat="false" ht="35.05" hidden="false" customHeight="false" outlineLevel="0" collapsed="false">
      <c r="A1066" s="6" t="s">
        <v>158</v>
      </c>
      <c r="B1066" s="6" t="s">
        <v>304</v>
      </c>
      <c r="C1066" s="6" t="s">
        <v>1415</v>
      </c>
      <c r="D1066" s="6" t="s">
        <v>1560</v>
      </c>
    </row>
    <row r="1067" customFormat="false" ht="35.05" hidden="false" customHeight="false" outlineLevel="0" collapsed="false">
      <c r="A1067" s="6" t="s">
        <v>158</v>
      </c>
      <c r="B1067" s="6" t="s">
        <v>304</v>
      </c>
      <c r="C1067" s="6" t="s">
        <v>1415</v>
      </c>
      <c r="D1067" s="6" t="s">
        <v>1992</v>
      </c>
    </row>
    <row r="1068" customFormat="false" ht="35.05" hidden="false" customHeight="false" outlineLevel="0" collapsed="false">
      <c r="A1068" s="6" t="s">
        <v>158</v>
      </c>
      <c r="B1068" s="6" t="s">
        <v>224</v>
      </c>
      <c r="C1068" s="6" t="s">
        <v>1415</v>
      </c>
      <c r="D1068" s="6" t="s">
        <v>1840</v>
      </c>
    </row>
    <row r="1069" customFormat="false" ht="15" hidden="false" customHeight="false" outlineLevel="0" collapsed="false">
      <c r="A1069" s="6" t="s">
        <v>158</v>
      </c>
      <c r="B1069" s="6" t="s">
        <v>224</v>
      </c>
      <c r="C1069" s="6" t="s">
        <v>1415</v>
      </c>
      <c r="D1069" s="6" t="s">
        <v>1993</v>
      </c>
    </row>
    <row r="1070" customFormat="false" ht="35.05" hidden="false" customHeight="false" outlineLevel="0" collapsed="false">
      <c r="A1070" s="6" t="s">
        <v>158</v>
      </c>
      <c r="B1070" s="6" t="s">
        <v>138</v>
      </c>
      <c r="C1070" s="6" t="s">
        <v>1415</v>
      </c>
      <c r="D1070" s="6" t="s">
        <v>371</v>
      </c>
    </row>
    <row r="1071" customFormat="false" ht="23.85" hidden="false" customHeight="false" outlineLevel="0" collapsed="false">
      <c r="A1071" s="6" t="s">
        <v>158</v>
      </c>
      <c r="B1071" s="6" t="s">
        <v>138</v>
      </c>
      <c r="C1071" s="6" t="s">
        <v>1415</v>
      </c>
      <c r="D1071" s="6" t="s">
        <v>1440</v>
      </c>
    </row>
    <row r="1072" customFormat="false" ht="23.85" hidden="false" customHeight="false" outlineLevel="0" collapsed="false">
      <c r="A1072" s="6" t="s">
        <v>158</v>
      </c>
      <c r="B1072" s="6" t="s">
        <v>138</v>
      </c>
      <c r="C1072" s="6" t="s">
        <v>1415</v>
      </c>
      <c r="D1072" s="6" t="s">
        <v>1994</v>
      </c>
    </row>
    <row r="1073" customFormat="false" ht="15" hidden="false" customHeight="false" outlineLevel="0" collapsed="false">
      <c r="A1073" s="6" t="s">
        <v>158</v>
      </c>
      <c r="B1073" s="6" t="s">
        <v>138</v>
      </c>
      <c r="C1073" s="6" t="s">
        <v>1415</v>
      </c>
      <c r="D1073" s="6" t="s">
        <v>1953</v>
      </c>
    </row>
    <row r="1074" customFormat="false" ht="15" hidden="false" customHeight="false" outlineLevel="0" collapsed="false">
      <c r="A1074" s="6" t="s">
        <v>158</v>
      </c>
      <c r="B1074" s="6" t="s">
        <v>104</v>
      </c>
      <c r="C1074" s="6" t="s">
        <v>1415</v>
      </c>
      <c r="D1074" s="6" t="s">
        <v>1995</v>
      </c>
    </row>
    <row r="1075" customFormat="false" ht="23.85" hidden="false" customHeight="false" outlineLevel="0" collapsed="false">
      <c r="A1075" s="6" t="s">
        <v>158</v>
      </c>
      <c r="B1075" s="6" t="s">
        <v>104</v>
      </c>
      <c r="C1075" s="6" t="s">
        <v>1415</v>
      </c>
      <c r="D1075" s="6" t="s">
        <v>1996</v>
      </c>
    </row>
    <row r="1076" customFormat="false" ht="79.85" hidden="false" customHeight="false" outlineLevel="0" collapsed="false">
      <c r="A1076" s="6" t="s">
        <v>158</v>
      </c>
      <c r="B1076" s="6" t="s">
        <v>104</v>
      </c>
      <c r="C1076" s="6" t="s">
        <v>1415</v>
      </c>
      <c r="D1076" s="6" t="s">
        <v>115</v>
      </c>
    </row>
    <row r="1077" customFormat="false" ht="15" hidden="false" customHeight="false" outlineLevel="0" collapsed="false">
      <c r="A1077" s="6" t="s">
        <v>158</v>
      </c>
      <c r="B1077" s="6" t="s">
        <v>104</v>
      </c>
      <c r="C1077" s="6" t="s">
        <v>1415</v>
      </c>
      <c r="D1077" s="6" t="s">
        <v>1997</v>
      </c>
    </row>
    <row r="1078" customFormat="false" ht="23.85" hidden="false" customHeight="false" outlineLevel="0" collapsed="false">
      <c r="A1078" s="6" t="s">
        <v>158</v>
      </c>
      <c r="B1078" s="6" t="s">
        <v>104</v>
      </c>
      <c r="C1078" s="6" t="s">
        <v>1415</v>
      </c>
      <c r="D1078" s="6" t="s">
        <v>1998</v>
      </c>
    </row>
    <row r="1079" customFormat="false" ht="35.05" hidden="false" customHeight="false" outlineLevel="0" collapsed="false">
      <c r="A1079" s="6" t="s">
        <v>158</v>
      </c>
      <c r="B1079" s="6" t="s">
        <v>104</v>
      </c>
      <c r="C1079" s="6" t="s">
        <v>1415</v>
      </c>
      <c r="D1079" s="6" t="s">
        <v>1616</v>
      </c>
    </row>
    <row r="1080" customFormat="false" ht="23.85" hidden="false" customHeight="false" outlineLevel="0" collapsed="false">
      <c r="A1080" s="6" t="s">
        <v>158</v>
      </c>
      <c r="B1080" s="6" t="s">
        <v>104</v>
      </c>
      <c r="C1080" s="6" t="s">
        <v>1415</v>
      </c>
      <c r="D1080" s="6" t="s">
        <v>1999</v>
      </c>
    </row>
    <row r="1081" customFormat="false" ht="35.05" hidden="false" customHeight="false" outlineLevel="0" collapsed="false">
      <c r="A1081" s="6" t="s">
        <v>158</v>
      </c>
      <c r="B1081" s="6" t="s">
        <v>104</v>
      </c>
      <c r="C1081" s="6" t="s">
        <v>1415</v>
      </c>
      <c r="D1081" s="6" t="s">
        <v>164</v>
      </c>
    </row>
    <row r="1082" customFormat="false" ht="23.85" hidden="false" customHeight="false" outlineLevel="0" collapsed="false">
      <c r="A1082" s="6" t="s">
        <v>158</v>
      </c>
      <c r="B1082" s="6" t="s">
        <v>104</v>
      </c>
      <c r="C1082" s="6" t="s">
        <v>1415</v>
      </c>
      <c r="D1082" s="6" t="s">
        <v>2000</v>
      </c>
    </row>
    <row r="1083" customFormat="false" ht="15" hidden="false" customHeight="false" outlineLevel="0" collapsed="false">
      <c r="A1083" s="6" t="s">
        <v>158</v>
      </c>
      <c r="B1083" s="6" t="s">
        <v>104</v>
      </c>
      <c r="C1083" s="6" t="s">
        <v>1415</v>
      </c>
      <c r="D1083" s="6" t="s">
        <v>2001</v>
      </c>
    </row>
    <row r="1084" customFormat="false" ht="15" hidden="false" customHeight="false" outlineLevel="0" collapsed="false">
      <c r="A1084" s="6" t="s">
        <v>158</v>
      </c>
      <c r="B1084" s="6" t="s">
        <v>104</v>
      </c>
      <c r="C1084" s="6" t="s">
        <v>1415</v>
      </c>
      <c r="D1084" s="6" t="s">
        <v>2002</v>
      </c>
    </row>
    <row r="1085" customFormat="false" ht="79.85" hidden="false" customHeight="false" outlineLevel="0" collapsed="false">
      <c r="A1085" s="6" t="s">
        <v>158</v>
      </c>
      <c r="B1085" s="6" t="s">
        <v>104</v>
      </c>
      <c r="C1085" s="6" t="s">
        <v>1619</v>
      </c>
      <c r="D1085" s="6" t="s">
        <v>1620</v>
      </c>
    </row>
    <row r="1086" customFormat="false" ht="35.05" hidden="false" customHeight="false" outlineLevel="0" collapsed="false">
      <c r="A1086" s="6" t="s">
        <v>977</v>
      </c>
      <c r="B1086" s="6" t="s">
        <v>95</v>
      </c>
      <c r="C1086" s="6" t="s">
        <v>1415</v>
      </c>
      <c r="D1086" s="6" t="s">
        <v>950</v>
      </c>
    </row>
    <row r="1087" customFormat="false" ht="15" hidden="false" customHeight="false" outlineLevel="0" collapsed="false">
      <c r="A1087" s="6" t="s">
        <v>977</v>
      </c>
      <c r="B1087" s="6" t="s">
        <v>95</v>
      </c>
      <c r="C1087" s="6" t="s">
        <v>1415</v>
      </c>
      <c r="D1087" s="6" t="s">
        <v>2003</v>
      </c>
    </row>
    <row r="1088" customFormat="false" ht="35.05" hidden="false" customHeight="false" outlineLevel="0" collapsed="false">
      <c r="A1088" s="6" t="s">
        <v>977</v>
      </c>
      <c r="B1088" s="6" t="s">
        <v>95</v>
      </c>
      <c r="C1088" s="6" t="s">
        <v>1415</v>
      </c>
      <c r="D1088" s="6" t="s">
        <v>870</v>
      </c>
    </row>
    <row r="1089" customFormat="false" ht="23.85" hidden="false" customHeight="false" outlineLevel="0" collapsed="false">
      <c r="A1089" s="6" t="s">
        <v>911</v>
      </c>
      <c r="B1089" s="6" t="s">
        <v>114</v>
      </c>
      <c r="C1089" s="6" t="s">
        <v>1415</v>
      </c>
      <c r="D1089" s="6" t="s">
        <v>1531</v>
      </c>
    </row>
    <row r="1090" customFormat="false" ht="35.05" hidden="false" customHeight="false" outlineLevel="0" collapsed="false">
      <c r="A1090" s="6" t="s">
        <v>911</v>
      </c>
      <c r="B1090" s="6" t="s">
        <v>114</v>
      </c>
      <c r="C1090" s="6" t="s">
        <v>1415</v>
      </c>
      <c r="D1090" s="6" t="s">
        <v>1447</v>
      </c>
    </row>
    <row r="1091" customFormat="false" ht="23.85" hidden="false" customHeight="false" outlineLevel="0" collapsed="false">
      <c r="A1091" s="6" t="s">
        <v>911</v>
      </c>
      <c r="B1091" s="6" t="s">
        <v>114</v>
      </c>
      <c r="C1091" s="6" t="s">
        <v>1415</v>
      </c>
      <c r="D1091" s="6" t="s">
        <v>1642</v>
      </c>
    </row>
    <row r="1092" customFormat="false" ht="46.25" hidden="false" customHeight="false" outlineLevel="0" collapsed="false">
      <c r="A1092" s="6" t="s">
        <v>911</v>
      </c>
      <c r="B1092" s="6" t="s">
        <v>378</v>
      </c>
      <c r="C1092" s="6" t="s">
        <v>1415</v>
      </c>
      <c r="D1092" s="6" t="s">
        <v>1650</v>
      </c>
    </row>
    <row r="1093" customFormat="false" ht="23.85" hidden="false" customHeight="false" outlineLevel="0" collapsed="false">
      <c r="A1093" s="6" t="s">
        <v>911</v>
      </c>
      <c r="B1093" s="6" t="s">
        <v>378</v>
      </c>
      <c r="C1093" s="6" t="s">
        <v>1415</v>
      </c>
      <c r="D1093" s="6" t="s">
        <v>891</v>
      </c>
    </row>
    <row r="1094" customFormat="false" ht="23.85" hidden="false" customHeight="false" outlineLevel="0" collapsed="false">
      <c r="A1094" s="6" t="s">
        <v>911</v>
      </c>
      <c r="B1094" s="6" t="s">
        <v>378</v>
      </c>
      <c r="C1094" s="6" t="s">
        <v>1415</v>
      </c>
      <c r="D1094" s="6" t="s">
        <v>1808</v>
      </c>
    </row>
    <row r="1095" customFormat="false" ht="23.85" hidden="false" customHeight="false" outlineLevel="0" collapsed="false">
      <c r="A1095" s="6" t="s">
        <v>911</v>
      </c>
      <c r="B1095" s="6" t="s">
        <v>224</v>
      </c>
      <c r="C1095" s="6" t="s">
        <v>1415</v>
      </c>
      <c r="D1095" s="6" t="s">
        <v>1455</v>
      </c>
    </row>
    <row r="1096" customFormat="false" ht="23.85" hidden="false" customHeight="false" outlineLevel="0" collapsed="false">
      <c r="A1096" s="6" t="s">
        <v>911</v>
      </c>
      <c r="B1096" s="6" t="s">
        <v>224</v>
      </c>
      <c r="C1096" s="6" t="s">
        <v>1415</v>
      </c>
      <c r="D1096" s="6" t="s">
        <v>916</v>
      </c>
    </row>
    <row r="1097" customFormat="false" ht="23.85" hidden="false" customHeight="false" outlineLevel="0" collapsed="false">
      <c r="A1097" s="6" t="s">
        <v>521</v>
      </c>
      <c r="B1097" s="6" t="s">
        <v>69</v>
      </c>
      <c r="C1097" s="6" t="s">
        <v>1415</v>
      </c>
      <c r="D1097" s="6" t="s">
        <v>1571</v>
      </c>
    </row>
    <row r="1098" customFormat="false" ht="35.05" hidden="false" customHeight="false" outlineLevel="0" collapsed="false">
      <c r="A1098" s="6" t="s">
        <v>521</v>
      </c>
      <c r="B1098" s="6" t="s">
        <v>69</v>
      </c>
      <c r="C1098" s="6" t="s">
        <v>1415</v>
      </c>
      <c r="D1098" s="6" t="s">
        <v>1708</v>
      </c>
    </row>
    <row r="1099" customFormat="false" ht="46.25" hidden="false" customHeight="false" outlineLevel="0" collapsed="false">
      <c r="A1099" s="6" t="s">
        <v>521</v>
      </c>
      <c r="B1099" s="6" t="s">
        <v>69</v>
      </c>
      <c r="C1099" s="6" t="s">
        <v>1415</v>
      </c>
      <c r="D1099" s="6" t="s">
        <v>1671</v>
      </c>
    </row>
    <row r="1100" customFormat="false" ht="23.85" hidden="false" customHeight="false" outlineLevel="0" collapsed="false">
      <c r="A1100" s="6" t="s">
        <v>521</v>
      </c>
      <c r="B1100" s="6" t="s">
        <v>114</v>
      </c>
      <c r="C1100" s="6" t="s">
        <v>1415</v>
      </c>
      <c r="D1100" s="6" t="s">
        <v>416</v>
      </c>
    </row>
    <row r="1101" customFormat="false" ht="23.85" hidden="false" customHeight="false" outlineLevel="0" collapsed="false">
      <c r="A1101" s="6" t="s">
        <v>521</v>
      </c>
      <c r="B1101" s="6" t="s">
        <v>114</v>
      </c>
      <c r="C1101" s="6" t="s">
        <v>1415</v>
      </c>
      <c r="D1101" s="6" t="s">
        <v>2004</v>
      </c>
    </row>
    <row r="1102" customFormat="false" ht="23.85" hidden="false" customHeight="false" outlineLevel="0" collapsed="false">
      <c r="A1102" s="6" t="s">
        <v>521</v>
      </c>
      <c r="B1102" s="6" t="s">
        <v>131</v>
      </c>
      <c r="C1102" s="6" t="s">
        <v>1415</v>
      </c>
      <c r="D1102" s="6" t="s">
        <v>499</v>
      </c>
    </row>
    <row r="1103" customFormat="false" ht="15" hidden="false" customHeight="false" outlineLevel="0" collapsed="false">
      <c r="A1103" s="6" t="s">
        <v>521</v>
      </c>
      <c r="B1103" s="6" t="s">
        <v>131</v>
      </c>
      <c r="C1103" s="6" t="s">
        <v>1415</v>
      </c>
      <c r="D1103" s="6" t="s">
        <v>1573</v>
      </c>
    </row>
    <row r="1104" customFormat="false" ht="23.85" hidden="false" customHeight="false" outlineLevel="0" collapsed="false">
      <c r="A1104" s="6" t="s">
        <v>521</v>
      </c>
      <c r="B1104" s="6" t="s">
        <v>131</v>
      </c>
      <c r="C1104" s="6" t="s">
        <v>1415</v>
      </c>
      <c r="D1104" s="6" t="s">
        <v>2005</v>
      </c>
    </row>
    <row r="1105" customFormat="false" ht="35.05" hidden="false" customHeight="false" outlineLevel="0" collapsed="false">
      <c r="A1105" s="6" t="s">
        <v>521</v>
      </c>
      <c r="B1105" s="6" t="s">
        <v>131</v>
      </c>
      <c r="C1105" s="6" t="s">
        <v>1415</v>
      </c>
      <c r="D1105" s="6" t="s">
        <v>2006</v>
      </c>
    </row>
    <row r="1106" customFormat="false" ht="46.25" hidden="false" customHeight="false" outlineLevel="0" collapsed="false">
      <c r="A1106" s="6" t="s">
        <v>521</v>
      </c>
      <c r="B1106" s="6" t="s">
        <v>131</v>
      </c>
      <c r="C1106" s="6" t="s">
        <v>1415</v>
      </c>
      <c r="D1106" s="6" t="s">
        <v>157</v>
      </c>
    </row>
    <row r="1107" customFormat="false" ht="15" hidden="false" customHeight="false" outlineLevel="0" collapsed="false">
      <c r="A1107" s="6" t="s">
        <v>521</v>
      </c>
      <c r="B1107" s="6" t="s">
        <v>131</v>
      </c>
      <c r="C1107" s="6" t="s">
        <v>1415</v>
      </c>
      <c r="D1107" s="6" t="s">
        <v>2007</v>
      </c>
    </row>
    <row r="1108" customFormat="false" ht="23.85" hidden="false" customHeight="false" outlineLevel="0" collapsed="false">
      <c r="A1108" s="6" t="s">
        <v>521</v>
      </c>
      <c r="B1108" s="6" t="s">
        <v>131</v>
      </c>
      <c r="C1108" s="6" t="s">
        <v>1415</v>
      </c>
      <c r="D1108" s="6" t="s">
        <v>2008</v>
      </c>
    </row>
    <row r="1109" customFormat="false" ht="15" hidden="false" customHeight="false" outlineLevel="0" collapsed="false">
      <c r="A1109" s="6" t="s">
        <v>521</v>
      </c>
      <c r="B1109" s="6" t="s">
        <v>1923</v>
      </c>
      <c r="C1109" s="6" t="s">
        <v>1415</v>
      </c>
      <c r="D1109" s="6" t="s">
        <v>2009</v>
      </c>
    </row>
    <row r="1110" customFormat="false" ht="15" hidden="false" customHeight="false" outlineLevel="0" collapsed="false">
      <c r="A1110" s="6" t="s">
        <v>521</v>
      </c>
      <c r="B1110" s="6" t="s">
        <v>1923</v>
      </c>
      <c r="C1110" s="6" t="s">
        <v>1415</v>
      </c>
      <c r="D1110" s="6" t="s">
        <v>1926</v>
      </c>
    </row>
    <row r="1111" customFormat="false" ht="23.85" hidden="false" customHeight="false" outlineLevel="0" collapsed="false">
      <c r="A1111" s="6" t="s">
        <v>521</v>
      </c>
      <c r="B1111" s="6" t="s">
        <v>1923</v>
      </c>
      <c r="C1111" s="6" t="s">
        <v>1415</v>
      </c>
      <c r="D1111" s="6" t="s">
        <v>2010</v>
      </c>
    </row>
    <row r="1112" customFormat="false" ht="23.85" hidden="false" customHeight="false" outlineLevel="0" collapsed="false">
      <c r="A1112" s="6" t="s">
        <v>521</v>
      </c>
      <c r="B1112" s="6" t="s">
        <v>1923</v>
      </c>
      <c r="C1112" s="6" t="s">
        <v>1415</v>
      </c>
      <c r="D1112" s="6" t="s">
        <v>1929</v>
      </c>
    </row>
    <row r="1113" customFormat="false" ht="23.85" hidden="false" customHeight="false" outlineLevel="0" collapsed="false">
      <c r="A1113" s="6" t="s">
        <v>521</v>
      </c>
      <c r="B1113" s="6" t="s">
        <v>1923</v>
      </c>
      <c r="C1113" s="6" t="s">
        <v>1415</v>
      </c>
      <c r="D1113" s="6" t="s">
        <v>1933</v>
      </c>
    </row>
    <row r="1114" customFormat="false" ht="23.85" hidden="false" customHeight="false" outlineLevel="0" collapsed="false">
      <c r="A1114" s="6" t="s">
        <v>521</v>
      </c>
      <c r="B1114" s="6" t="s">
        <v>138</v>
      </c>
      <c r="C1114" s="6" t="s">
        <v>1488</v>
      </c>
      <c r="D1114" s="6" t="s">
        <v>1489</v>
      </c>
    </row>
    <row r="1115" customFormat="false" ht="15" hidden="false" customHeight="false" outlineLevel="0" collapsed="false">
      <c r="A1115" s="6" t="s">
        <v>521</v>
      </c>
      <c r="B1115" s="6" t="s">
        <v>70</v>
      </c>
      <c r="C1115" s="6" t="s">
        <v>1415</v>
      </c>
      <c r="D1115" s="6" t="s">
        <v>2011</v>
      </c>
    </row>
    <row r="1116" customFormat="false" ht="35.05" hidden="false" customHeight="false" outlineLevel="0" collapsed="false">
      <c r="A1116" s="6" t="s">
        <v>521</v>
      </c>
      <c r="B1116" s="6" t="s">
        <v>70</v>
      </c>
      <c r="C1116" s="6" t="s">
        <v>1415</v>
      </c>
      <c r="D1116" s="6" t="s">
        <v>528</v>
      </c>
    </row>
    <row r="1117" customFormat="false" ht="23.85" hidden="false" customHeight="false" outlineLevel="0" collapsed="false">
      <c r="A1117" s="6" t="s">
        <v>609</v>
      </c>
      <c r="B1117" s="6" t="s">
        <v>69</v>
      </c>
      <c r="C1117" s="6" t="s">
        <v>1415</v>
      </c>
      <c r="D1117" s="6" t="s">
        <v>1429</v>
      </c>
    </row>
    <row r="1118" customFormat="false" ht="35.05" hidden="false" customHeight="false" outlineLevel="0" collapsed="false">
      <c r="A1118" s="6" t="s">
        <v>609</v>
      </c>
      <c r="B1118" s="6" t="s">
        <v>69</v>
      </c>
      <c r="C1118" s="6" t="s">
        <v>1415</v>
      </c>
      <c r="D1118" s="6" t="s">
        <v>1430</v>
      </c>
    </row>
    <row r="1119" customFormat="false" ht="35.05" hidden="false" customHeight="false" outlineLevel="0" collapsed="false">
      <c r="A1119" s="6" t="s">
        <v>609</v>
      </c>
      <c r="B1119" s="6" t="s">
        <v>69</v>
      </c>
      <c r="C1119" s="6" t="s">
        <v>1415</v>
      </c>
      <c r="D1119" s="6" t="s">
        <v>1668</v>
      </c>
    </row>
    <row r="1120" customFormat="false" ht="23.85" hidden="false" customHeight="false" outlineLevel="0" collapsed="false">
      <c r="A1120" s="6" t="s">
        <v>609</v>
      </c>
      <c r="B1120" s="6" t="s">
        <v>69</v>
      </c>
      <c r="C1120" s="6" t="s">
        <v>1415</v>
      </c>
      <c r="D1120" s="6" t="s">
        <v>1879</v>
      </c>
    </row>
    <row r="1121" customFormat="false" ht="35.05" hidden="false" customHeight="false" outlineLevel="0" collapsed="false">
      <c r="A1121" s="6" t="s">
        <v>609</v>
      </c>
      <c r="B1121" s="6" t="s">
        <v>69</v>
      </c>
      <c r="C1121" s="6" t="s">
        <v>1415</v>
      </c>
      <c r="D1121" s="6" t="s">
        <v>1669</v>
      </c>
    </row>
    <row r="1122" customFormat="false" ht="23.85" hidden="false" customHeight="false" outlineLevel="0" collapsed="false">
      <c r="A1122" s="6" t="s">
        <v>609</v>
      </c>
      <c r="B1122" s="6" t="s">
        <v>69</v>
      </c>
      <c r="C1122" s="6" t="s">
        <v>1415</v>
      </c>
      <c r="D1122" s="6" t="s">
        <v>2012</v>
      </c>
    </row>
    <row r="1123" customFormat="false" ht="23.85" hidden="false" customHeight="false" outlineLevel="0" collapsed="false">
      <c r="A1123" s="6" t="s">
        <v>609</v>
      </c>
      <c r="B1123" s="6" t="s">
        <v>69</v>
      </c>
      <c r="C1123" s="6" t="s">
        <v>1415</v>
      </c>
      <c r="D1123" s="6" t="s">
        <v>2013</v>
      </c>
    </row>
    <row r="1124" customFormat="false" ht="46.25" hidden="false" customHeight="false" outlineLevel="0" collapsed="false">
      <c r="A1124" s="6" t="s">
        <v>609</v>
      </c>
      <c r="B1124" s="6" t="s">
        <v>69</v>
      </c>
      <c r="C1124" s="6" t="s">
        <v>1415</v>
      </c>
      <c r="D1124" s="6" t="s">
        <v>1671</v>
      </c>
    </row>
    <row r="1125" customFormat="false" ht="23.85" hidden="false" customHeight="false" outlineLevel="0" collapsed="false">
      <c r="A1125" s="6" t="s">
        <v>609</v>
      </c>
      <c r="B1125" s="6" t="s">
        <v>114</v>
      </c>
      <c r="C1125" s="6" t="s">
        <v>1415</v>
      </c>
      <c r="D1125" s="6" t="s">
        <v>1625</v>
      </c>
    </row>
    <row r="1126" customFormat="false" ht="35.05" hidden="false" customHeight="false" outlineLevel="0" collapsed="false">
      <c r="A1126" s="6" t="s">
        <v>609</v>
      </c>
      <c r="B1126" s="6" t="s">
        <v>114</v>
      </c>
      <c r="C1126" s="6" t="s">
        <v>1415</v>
      </c>
      <c r="D1126" s="6" t="s">
        <v>2014</v>
      </c>
    </row>
    <row r="1127" customFormat="false" ht="23.85" hidden="false" customHeight="false" outlineLevel="0" collapsed="false">
      <c r="A1127" s="6" t="s">
        <v>609</v>
      </c>
      <c r="B1127" s="6" t="s">
        <v>114</v>
      </c>
      <c r="C1127" s="6" t="s">
        <v>1415</v>
      </c>
      <c r="D1127" s="6" t="s">
        <v>1672</v>
      </c>
    </row>
    <row r="1128" customFormat="false" ht="35.05" hidden="false" customHeight="false" outlineLevel="0" collapsed="false">
      <c r="A1128" s="6" t="s">
        <v>609</v>
      </c>
      <c r="B1128" s="6" t="s">
        <v>114</v>
      </c>
      <c r="C1128" s="6" t="s">
        <v>1415</v>
      </c>
      <c r="D1128" s="6" t="s">
        <v>2015</v>
      </c>
    </row>
    <row r="1129" customFormat="false" ht="15" hidden="false" customHeight="false" outlineLevel="0" collapsed="false">
      <c r="A1129" s="6" t="s">
        <v>609</v>
      </c>
      <c r="B1129" s="6" t="s">
        <v>114</v>
      </c>
      <c r="C1129" s="6" t="s">
        <v>1415</v>
      </c>
      <c r="D1129" s="6" t="s">
        <v>1967</v>
      </c>
    </row>
    <row r="1130" customFormat="false" ht="23.85" hidden="false" customHeight="false" outlineLevel="0" collapsed="false">
      <c r="A1130" s="6" t="s">
        <v>609</v>
      </c>
      <c r="B1130" s="6" t="s">
        <v>114</v>
      </c>
      <c r="C1130" s="6" t="s">
        <v>1415</v>
      </c>
      <c r="D1130" s="6" t="s">
        <v>1479</v>
      </c>
    </row>
    <row r="1131" customFormat="false" ht="23.85" hidden="false" customHeight="false" outlineLevel="0" collapsed="false">
      <c r="A1131" s="6" t="s">
        <v>609</v>
      </c>
      <c r="B1131" s="6" t="s">
        <v>114</v>
      </c>
      <c r="C1131" s="6" t="s">
        <v>1415</v>
      </c>
      <c r="D1131" s="6" t="s">
        <v>1607</v>
      </c>
    </row>
    <row r="1132" customFormat="false" ht="35.05" hidden="false" customHeight="false" outlineLevel="0" collapsed="false">
      <c r="A1132" s="6" t="s">
        <v>609</v>
      </c>
      <c r="B1132" s="6" t="s">
        <v>156</v>
      </c>
      <c r="C1132" s="6" t="s">
        <v>1415</v>
      </c>
      <c r="D1132" s="6" t="s">
        <v>1590</v>
      </c>
    </row>
    <row r="1133" customFormat="false" ht="23.85" hidden="false" customHeight="false" outlineLevel="0" collapsed="false">
      <c r="A1133" s="6" t="s">
        <v>609</v>
      </c>
      <c r="B1133" s="6" t="s">
        <v>156</v>
      </c>
      <c r="C1133" s="6" t="s">
        <v>1415</v>
      </c>
      <c r="D1133" s="6" t="s">
        <v>1591</v>
      </c>
    </row>
    <row r="1134" customFormat="false" ht="23.85" hidden="false" customHeight="false" outlineLevel="0" collapsed="false">
      <c r="A1134" s="6" t="s">
        <v>609</v>
      </c>
      <c r="B1134" s="6" t="s">
        <v>156</v>
      </c>
      <c r="C1134" s="6" t="s">
        <v>1415</v>
      </c>
      <c r="D1134" s="6" t="s">
        <v>1592</v>
      </c>
    </row>
    <row r="1135" customFormat="false" ht="35.05" hidden="false" customHeight="false" outlineLevel="0" collapsed="false">
      <c r="A1135" s="6" t="s">
        <v>609</v>
      </c>
      <c r="B1135" s="6" t="s">
        <v>156</v>
      </c>
      <c r="C1135" s="6" t="s">
        <v>1415</v>
      </c>
      <c r="D1135" s="6" t="s">
        <v>1572</v>
      </c>
    </row>
    <row r="1136" customFormat="false" ht="35.05" hidden="false" customHeight="false" outlineLevel="0" collapsed="false">
      <c r="A1136" s="6" t="s">
        <v>609</v>
      </c>
      <c r="B1136" s="6" t="s">
        <v>156</v>
      </c>
      <c r="C1136" s="6" t="s">
        <v>1415</v>
      </c>
      <c r="D1136" s="6" t="s">
        <v>1916</v>
      </c>
    </row>
    <row r="1137" customFormat="false" ht="57.45" hidden="false" customHeight="false" outlineLevel="0" collapsed="false">
      <c r="A1137" s="6" t="s">
        <v>609</v>
      </c>
      <c r="B1137" s="6" t="s">
        <v>131</v>
      </c>
      <c r="C1137" s="6" t="s">
        <v>1415</v>
      </c>
      <c r="D1137" s="6" t="s">
        <v>1689</v>
      </c>
    </row>
    <row r="1138" customFormat="false" ht="46.25" hidden="false" customHeight="false" outlineLevel="0" collapsed="false">
      <c r="A1138" s="6" t="s">
        <v>609</v>
      </c>
      <c r="B1138" s="6" t="s">
        <v>131</v>
      </c>
      <c r="C1138" s="6" t="s">
        <v>1415</v>
      </c>
      <c r="D1138" s="6" t="s">
        <v>1714</v>
      </c>
    </row>
    <row r="1139" customFormat="false" ht="23.85" hidden="false" customHeight="false" outlineLevel="0" collapsed="false">
      <c r="A1139" s="6" t="s">
        <v>609</v>
      </c>
      <c r="B1139" s="6" t="s">
        <v>131</v>
      </c>
      <c r="C1139" s="6" t="s">
        <v>1415</v>
      </c>
      <c r="D1139" s="6" t="s">
        <v>2016</v>
      </c>
    </row>
    <row r="1140" customFormat="false" ht="46.25" hidden="false" customHeight="false" outlineLevel="0" collapsed="false">
      <c r="A1140" s="6" t="s">
        <v>609</v>
      </c>
      <c r="B1140" s="6" t="s">
        <v>131</v>
      </c>
      <c r="C1140" s="6" t="s">
        <v>1415</v>
      </c>
      <c r="D1140" s="6" t="s">
        <v>1499</v>
      </c>
    </row>
    <row r="1141" customFormat="false" ht="23.85" hidden="false" customHeight="false" outlineLevel="0" collapsed="false">
      <c r="A1141" s="6" t="s">
        <v>609</v>
      </c>
      <c r="B1141" s="6" t="s">
        <v>131</v>
      </c>
      <c r="C1141" s="6" t="s">
        <v>1415</v>
      </c>
      <c r="D1141" s="6" t="s">
        <v>1715</v>
      </c>
    </row>
    <row r="1142" customFormat="false" ht="23.85" hidden="false" customHeight="false" outlineLevel="0" collapsed="false">
      <c r="A1142" s="6" t="s">
        <v>609</v>
      </c>
      <c r="B1142" s="6" t="s">
        <v>131</v>
      </c>
      <c r="C1142" s="6" t="s">
        <v>1415</v>
      </c>
      <c r="D1142" s="6" t="s">
        <v>2017</v>
      </c>
    </row>
    <row r="1143" customFormat="false" ht="23.85" hidden="false" customHeight="false" outlineLevel="0" collapsed="false">
      <c r="A1143" s="6" t="s">
        <v>609</v>
      </c>
      <c r="B1143" s="6" t="s">
        <v>131</v>
      </c>
      <c r="C1143" s="6" t="s">
        <v>1415</v>
      </c>
      <c r="D1143" s="6" t="s">
        <v>2018</v>
      </c>
    </row>
    <row r="1144" customFormat="false" ht="23.85" hidden="false" customHeight="false" outlineLevel="0" collapsed="false">
      <c r="A1144" s="6" t="s">
        <v>609</v>
      </c>
      <c r="B1144" s="6" t="s">
        <v>296</v>
      </c>
      <c r="C1144" s="6" t="s">
        <v>1415</v>
      </c>
      <c r="D1144" s="6" t="s">
        <v>1958</v>
      </c>
    </row>
    <row r="1145" customFormat="false" ht="15" hidden="false" customHeight="false" outlineLevel="0" collapsed="false">
      <c r="A1145" s="6" t="s">
        <v>609</v>
      </c>
      <c r="B1145" s="6" t="s">
        <v>568</v>
      </c>
      <c r="C1145" s="6" t="s">
        <v>1415</v>
      </c>
      <c r="D1145" s="6" t="s">
        <v>1936</v>
      </c>
    </row>
    <row r="1146" customFormat="false" ht="46.25" hidden="false" customHeight="false" outlineLevel="0" collapsed="false">
      <c r="A1146" s="6" t="s">
        <v>609</v>
      </c>
      <c r="B1146" s="6" t="s">
        <v>568</v>
      </c>
      <c r="C1146" s="6" t="s">
        <v>1415</v>
      </c>
      <c r="D1146" s="6" t="s">
        <v>1938</v>
      </c>
    </row>
    <row r="1147" customFormat="false" ht="57.45" hidden="false" customHeight="false" outlineLevel="0" collapsed="false">
      <c r="A1147" s="6" t="s">
        <v>609</v>
      </c>
      <c r="B1147" s="6" t="s">
        <v>568</v>
      </c>
      <c r="C1147" s="6" t="s">
        <v>1415</v>
      </c>
      <c r="D1147" s="6" t="s">
        <v>1940</v>
      </c>
    </row>
    <row r="1148" customFormat="false" ht="23.85" hidden="false" customHeight="false" outlineLevel="0" collapsed="false">
      <c r="A1148" s="6" t="s">
        <v>609</v>
      </c>
      <c r="B1148" s="6" t="s">
        <v>264</v>
      </c>
      <c r="C1148" s="6" t="s">
        <v>1415</v>
      </c>
      <c r="D1148" s="6" t="s">
        <v>1487</v>
      </c>
    </row>
    <row r="1149" customFormat="false" ht="23.85" hidden="false" customHeight="false" outlineLevel="0" collapsed="false">
      <c r="A1149" s="6" t="s">
        <v>609</v>
      </c>
      <c r="B1149" s="6" t="s">
        <v>264</v>
      </c>
      <c r="C1149" s="6" t="s">
        <v>1415</v>
      </c>
      <c r="D1149" s="6" t="s">
        <v>209</v>
      </c>
    </row>
    <row r="1150" customFormat="false" ht="15" hidden="false" customHeight="false" outlineLevel="0" collapsed="false">
      <c r="A1150" s="6" t="s">
        <v>609</v>
      </c>
      <c r="B1150" s="6" t="s">
        <v>264</v>
      </c>
      <c r="C1150" s="6" t="s">
        <v>1415</v>
      </c>
      <c r="D1150" s="6" t="s">
        <v>2019</v>
      </c>
    </row>
    <row r="1151" customFormat="false" ht="35.05" hidden="false" customHeight="false" outlineLevel="0" collapsed="false">
      <c r="A1151" s="6" t="s">
        <v>609</v>
      </c>
      <c r="B1151" s="6" t="s">
        <v>264</v>
      </c>
      <c r="C1151" s="6" t="s">
        <v>1415</v>
      </c>
      <c r="D1151" s="6" t="s">
        <v>2020</v>
      </c>
    </row>
    <row r="1152" customFormat="false" ht="23.85" hidden="false" customHeight="false" outlineLevel="0" collapsed="false">
      <c r="A1152" s="6" t="s">
        <v>609</v>
      </c>
      <c r="B1152" s="6" t="s">
        <v>70</v>
      </c>
      <c r="C1152" s="6" t="s">
        <v>1415</v>
      </c>
      <c r="D1152" s="6" t="s">
        <v>2021</v>
      </c>
    </row>
    <row r="1153" customFormat="false" ht="15" hidden="false" customHeight="false" outlineLevel="0" collapsed="false">
      <c r="A1153" s="6" t="s">
        <v>609</v>
      </c>
      <c r="B1153" s="6" t="s">
        <v>104</v>
      </c>
      <c r="C1153" s="6" t="s">
        <v>1415</v>
      </c>
      <c r="D1153" s="6" t="s">
        <v>2022</v>
      </c>
    </row>
    <row r="1154" customFormat="false" ht="23.85" hidden="false" customHeight="false" outlineLevel="0" collapsed="false">
      <c r="A1154" s="6" t="s">
        <v>609</v>
      </c>
      <c r="B1154" s="6" t="s">
        <v>104</v>
      </c>
      <c r="C1154" s="6" t="s">
        <v>1415</v>
      </c>
      <c r="D1154" s="6" t="s">
        <v>2023</v>
      </c>
    </row>
    <row r="1155" customFormat="false" ht="23.85" hidden="false" customHeight="false" outlineLevel="0" collapsed="false">
      <c r="A1155" s="6" t="s">
        <v>609</v>
      </c>
      <c r="B1155" s="6" t="s">
        <v>104</v>
      </c>
      <c r="C1155" s="6" t="s">
        <v>1415</v>
      </c>
      <c r="D1155" s="6" t="s">
        <v>614</v>
      </c>
    </row>
    <row r="1156" customFormat="false" ht="35.05" hidden="false" customHeight="false" outlineLevel="0" collapsed="false">
      <c r="A1156" s="6" t="s">
        <v>609</v>
      </c>
      <c r="B1156" s="6" t="s">
        <v>104</v>
      </c>
      <c r="C1156" s="6" t="s">
        <v>1593</v>
      </c>
      <c r="D1156" s="6" t="s">
        <v>1594</v>
      </c>
    </row>
    <row r="1157" customFormat="false" ht="15" hidden="false" customHeight="false" outlineLevel="0" collapsed="false">
      <c r="A1157" s="6" t="s">
        <v>424</v>
      </c>
      <c r="B1157" s="6" t="s">
        <v>131</v>
      </c>
      <c r="C1157" s="6" t="s">
        <v>1415</v>
      </c>
      <c r="D1157" s="6" t="s">
        <v>1818</v>
      </c>
    </row>
    <row r="1158" customFormat="false" ht="23.85" hidden="false" customHeight="false" outlineLevel="0" collapsed="false">
      <c r="A1158" s="6" t="s">
        <v>424</v>
      </c>
      <c r="B1158" s="6" t="s">
        <v>131</v>
      </c>
      <c r="C1158" s="6" t="s">
        <v>1415</v>
      </c>
      <c r="D1158" s="6" t="s">
        <v>2024</v>
      </c>
    </row>
    <row r="1159" customFormat="false" ht="35.05" hidden="false" customHeight="false" outlineLevel="0" collapsed="false">
      <c r="A1159" s="6" t="s">
        <v>424</v>
      </c>
      <c r="B1159" s="6" t="s">
        <v>296</v>
      </c>
      <c r="C1159" s="6" t="s">
        <v>1415</v>
      </c>
      <c r="D1159" s="6" t="s">
        <v>430</v>
      </c>
    </row>
    <row r="1160" customFormat="false" ht="15" hidden="false" customHeight="false" outlineLevel="0" collapsed="false">
      <c r="A1160" s="6" t="s">
        <v>858</v>
      </c>
      <c r="B1160" s="6" t="s">
        <v>114</v>
      </c>
      <c r="C1160" s="6" t="s">
        <v>1415</v>
      </c>
      <c r="D1160" s="6" t="s">
        <v>1624</v>
      </c>
    </row>
    <row r="1161" customFormat="false" ht="23.85" hidden="false" customHeight="false" outlineLevel="0" collapsed="false">
      <c r="A1161" s="6" t="s">
        <v>858</v>
      </c>
      <c r="B1161" s="6" t="s">
        <v>114</v>
      </c>
      <c r="C1161" s="6" t="s">
        <v>1415</v>
      </c>
      <c r="D1161" s="6" t="s">
        <v>1625</v>
      </c>
    </row>
    <row r="1162" customFormat="false" ht="15" hidden="false" customHeight="false" outlineLevel="0" collapsed="false">
      <c r="A1162" s="6" t="s">
        <v>858</v>
      </c>
      <c r="B1162" s="6" t="s">
        <v>378</v>
      </c>
      <c r="C1162" s="6" t="s">
        <v>1415</v>
      </c>
      <c r="D1162" s="6" t="s">
        <v>1628</v>
      </c>
    </row>
    <row r="1163" customFormat="false" ht="15" hidden="false" customHeight="false" outlineLevel="0" collapsed="false">
      <c r="A1163" s="6" t="s">
        <v>858</v>
      </c>
      <c r="B1163" s="6" t="s">
        <v>378</v>
      </c>
      <c r="C1163" s="6" t="s">
        <v>1415</v>
      </c>
      <c r="D1163" s="6" t="s">
        <v>1629</v>
      </c>
    </row>
    <row r="1164" customFormat="false" ht="23.85" hidden="false" customHeight="false" outlineLevel="0" collapsed="false">
      <c r="A1164" s="6" t="s">
        <v>858</v>
      </c>
      <c r="B1164" s="6" t="s">
        <v>378</v>
      </c>
      <c r="C1164" s="6" t="s">
        <v>1415</v>
      </c>
      <c r="D1164" s="6" t="s">
        <v>1630</v>
      </c>
    </row>
    <row r="1165" customFormat="false" ht="35.05" hidden="false" customHeight="false" outlineLevel="0" collapsed="false">
      <c r="A1165" s="6" t="s">
        <v>858</v>
      </c>
      <c r="B1165" s="6" t="s">
        <v>378</v>
      </c>
      <c r="C1165" s="6" t="s">
        <v>1415</v>
      </c>
      <c r="D1165" s="6" t="s">
        <v>864</v>
      </c>
    </row>
    <row r="1166" customFormat="false" ht="15" hidden="false" customHeight="false" outlineLevel="0" collapsed="false">
      <c r="A1166" s="6" t="s">
        <v>464</v>
      </c>
      <c r="B1166" s="6" t="s">
        <v>95</v>
      </c>
      <c r="C1166" s="6" t="s">
        <v>1415</v>
      </c>
      <c r="D1166" s="6" t="s">
        <v>2025</v>
      </c>
    </row>
    <row r="1167" customFormat="false" ht="15" hidden="false" customHeight="false" outlineLevel="0" collapsed="false">
      <c r="A1167" s="6" t="s">
        <v>464</v>
      </c>
      <c r="B1167" s="6" t="s">
        <v>95</v>
      </c>
      <c r="C1167" s="6" t="s">
        <v>1415</v>
      </c>
      <c r="D1167" s="6" t="s">
        <v>470</v>
      </c>
    </row>
    <row r="1168" customFormat="false" ht="15" hidden="false" customHeight="false" outlineLevel="0" collapsed="false">
      <c r="A1168" s="6" t="s">
        <v>529</v>
      </c>
      <c r="B1168" s="6" t="s">
        <v>69</v>
      </c>
      <c r="C1168" s="6" t="s">
        <v>1415</v>
      </c>
      <c r="D1168" s="6" t="s">
        <v>1473</v>
      </c>
    </row>
    <row r="1169" customFormat="false" ht="23.85" hidden="false" customHeight="false" outlineLevel="0" collapsed="false">
      <c r="A1169" s="6" t="s">
        <v>529</v>
      </c>
      <c r="B1169" s="6" t="s">
        <v>131</v>
      </c>
      <c r="C1169" s="6" t="s">
        <v>1415</v>
      </c>
      <c r="D1169" s="6" t="s">
        <v>499</v>
      </c>
    </row>
    <row r="1170" customFormat="false" ht="15" hidden="false" customHeight="false" outlineLevel="0" collapsed="false">
      <c r="A1170" s="6" t="s">
        <v>529</v>
      </c>
      <c r="B1170" s="6" t="s">
        <v>131</v>
      </c>
      <c r="C1170" s="6" t="s">
        <v>1415</v>
      </c>
      <c r="D1170" s="6" t="s">
        <v>1573</v>
      </c>
    </row>
    <row r="1171" customFormat="false" ht="35.05" hidden="false" customHeight="false" outlineLevel="0" collapsed="false">
      <c r="A1171" s="6" t="s">
        <v>529</v>
      </c>
      <c r="B1171" s="6" t="s">
        <v>568</v>
      </c>
      <c r="C1171" s="6" t="s">
        <v>1415</v>
      </c>
      <c r="D1171" s="6" t="s">
        <v>2026</v>
      </c>
    </row>
    <row r="1172" customFormat="false" ht="15" hidden="false" customHeight="false" outlineLevel="0" collapsed="false">
      <c r="A1172" s="6" t="s">
        <v>529</v>
      </c>
      <c r="B1172" s="6" t="s">
        <v>138</v>
      </c>
      <c r="C1172" s="6" t="s">
        <v>1415</v>
      </c>
      <c r="D1172" s="6" t="s">
        <v>2027</v>
      </c>
    </row>
    <row r="1173" customFormat="false" ht="23.85" hidden="false" customHeight="false" outlineLevel="0" collapsed="false">
      <c r="A1173" s="6" t="s">
        <v>529</v>
      </c>
      <c r="B1173" s="6" t="s">
        <v>138</v>
      </c>
      <c r="C1173" s="6" t="s">
        <v>1415</v>
      </c>
      <c r="D1173" s="6" t="s">
        <v>386</v>
      </c>
    </row>
    <row r="1174" customFormat="false" ht="35.05" hidden="false" customHeight="false" outlineLevel="0" collapsed="false">
      <c r="A1174" s="6" t="s">
        <v>529</v>
      </c>
      <c r="B1174" s="6" t="s">
        <v>138</v>
      </c>
      <c r="C1174" s="6" t="s">
        <v>1415</v>
      </c>
      <c r="D1174" s="6" t="s">
        <v>1800</v>
      </c>
    </row>
    <row r="1175" customFormat="false" ht="35.05" hidden="false" customHeight="false" outlineLevel="0" collapsed="false">
      <c r="A1175" s="6" t="s">
        <v>529</v>
      </c>
      <c r="B1175" s="6" t="s">
        <v>70</v>
      </c>
      <c r="C1175" s="6" t="s">
        <v>1415</v>
      </c>
      <c r="D1175" s="6" t="s">
        <v>1581</v>
      </c>
    </row>
    <row r="1176" customFormat="false" ht="35.05" hidden="false" customHeight="false" outlineLevel="0" collapsed="false">
      <c r="A1176" s="6" t="s">
        <v>529</v>
      </c>
      <c r="B1176" s="6" t="s">
        <v>70</v>
      </c>
      <c r="C1176" s="6" t="s">
        <v>1415</v>
      </c>
      <c r="D1176" s="6" t="s">
        <v>2028</v>
      </c>
    </row>
    <row r="1177" customFormat="false" ht="23.85" hidden="false" customHeight="false" outlineLevel="0" collapsed="false">
      <c r="A1177" s="6" t="s">
        <v>529</v>
      </c>
      <c r="B1177" s="6" t="s">
        <v>95</v>
      </c>
      <c r="C1177" s="6" t="s">
        <v>1415</v>
      </c>
      <c r="D1177" s="6" t="s">
        <v>123</v>
      </c>
    </row>
    <row r="1178" customFormat="false" ht="23.85" hidden="false" customHeight="false" outlineLevel="0" collapsed="false">
      <c r="A1178" s="6" t="s">
        <v>357</v>
      </c>
      <c r="B1178" s="6" t="s">
        <v>224</v>
      </c>
      <c r="C1178" s="6" t="s">
        <v>1415</v>
      </c>
      <c r="D1178" s="6" t="s">
        <v>1490</v>
      </c>
    </row>
    <row r="1179" customFormat="false" ht="35.05" hidden="false" customHeight="false" outlineLevel="0" collapsed="false">
      <c r="A1179" s="6" t="s">
        <v>357</v>
      </c>
      <c r="B1179" s="6" t="s">
        <v>265</v>
      </c>
      <c r="C1179" s="6" t="s">
        <v>1415</v>
      </c>
      <c r="D1179" s="6" t="s">
        <v>1456</v>
      </c>
    </row>
    <row r="1180" customFormat="false" ht="23.85" hidden="false" customHeight="false" outlineLevel="0" collapsed="false">
      <c r="A1180" s="6" t="s">
        <v>357</v>
      </c>
      <c r="B1180" s="6" t="s">
        <v>138</v>
      </c>
      <c r="C1180" s="6" t="s">
        <v>1415</v>
      </c>
      <c r="D1180" s="6" t="s">
        <v>1491</v>
      </c>
    </row>
    <row r="1181" customFormat="false" ht="23.85" hidden="false" customHeight="false" outlineLevel="0" collapsed="false">
      <c r="A1181" s="6" t="s">
        <v>357</v>
      </c>
      <c r="B1181" s="6" t="s">
        <v>138</v>
      </c>
      <c r="C1181" s="6" t="s">
        <v>1415</v>
      </c>
      <c r="D1181" s="6" t="s">
        <v>2029</v>
      </c>
    </row>
    <row r="1182" customFormat="false" ht="35.05" hidden="false" customHeight="false" outlineLevel="0" collapsed="false">
      <c r="A1182" s="6" t="s">
        <v>357</v>
      </c>
      <c r="B1182" s="6" t="s">
        <v>138</v>
      </c>
      <c r="C1182" s="6" t="s">
        <v>1415</v>
      </c>
      <c r="D1182" s="6" t="s">
        <v>2030</v>
      </c>
    </row>
    <row r="1183" customFormat="false" ht="23.85" hidden="false" customHeight="false" outlineLevel="0" collapsed="false">
      <c r="A1183" s="6" t="s">
        <v>357</v>
      </c>
      <c r="B1183" s="6" t="s">
        <v>138</v>
      </c>
      <c r="C1183" s="6" t="s">
        <v>1415</v>
      </c>
      <c r="D1183" s="6" t="s">
        <v>1425</v>
      </c>
    </row>
    <row r="1184" customFormat="false" ht="23.85" hidden="false" customHeight="false" outlineLevel="0" collapsed="false">
      <c r="A1184" s="6" t="s">
        <v>357</v>
      </c>
      <c r="B1184" s="6" t="s">
        <v>138</v>
      </c>
      <c r="C1184" s="6" t="s">
        <v>1457</v>
      </c>
      <c r="D1184" s="6" t="s">
        <v>1458</v>
      </c>
    </row>
    <row r="1185" customFormat="false" ht="23.85" hidden="false" customHeight="false" outlineLevel="0" collapsed="false">
      <c r="A1185" s="6" t="s">
        <v>357</v>
      </c>
      <c r="B1185" s="6" t="s">
        <v>104</v>
      </c>
      <c r="C1185" s="6" t="s">
        <v>1415</v>
      </c>
      <c r="D1185" s="6" t="s">
        <v>356</v>
      </c>
    </row>
    <row r="1186" customFormat="false" ht="15" hidden="false" customHeight="false" outlineLevel="0" collapsed="false">
      <c r="A1186" s="6" t="s">
        <v>357</v>
      </c>
      <c r="B1186" s="6" t="s">
        <v>104</v>
      </c>
      <c r="C1186" s="6" t="s">
        <v>1415</v>
      </c>
      <c r="D1186" s="6" t="s">
        <v>2031</v>
      </c>
    </row>
    <row r="1187" customFormat="false" ht="23.85" hidden="false" customHeight="false" outlineLevel="0" collapsed="false">
      <c r="A1187" s="6" t="s">
        <v>357</v>
      </c>
      <c r="B1187" s="6" t="s">
        <v>104</v>
      </c>
      <c r="C1187" s="6" t="s">
        <v>1415</v>
      </c>
      <c r="D1187" s="6" t="s">
        <v>364</v>
      </c>
    </row>
    <row r="1188" customFormat="false" ht="135.8" hidden="false" customHeight="false" outlineLevel="0" collapsed="false">
      <c r="A1188" s="6" t="s">
        <v>357</v>
      </c>
      <c r="B1188" s="6" t="s">
        <v>104</v>
      </c>
      <c r="C1188" s="6" t="s">
        <v>1468</v>
      </c>
      <c r="D1188" s="6" t="s">
        <v>1469</v>
      </c>
    </row>
    <row r="1189" customFormat="false" ht="247.75" hidden="false" customHeight="false" outlineLevel="0" collapsed="false">
      <c r="A1189" s="6" t="s">
        <v>357</v>
      </c>
      <c r="B1189" s="6" t="s">
        <v>104</v>
      </c>
      <c r="C1189" s="6" t="s">
        <v>1427</v>
      </c>
      <c r="D1189" s="6" t="s">
        <v>1428</v>
      </c>
    </row>
    <row r="1190" customFormat="false" ht="35.05" hidden="false" customHeight="false" outlineLevel="0" collapsed="false">
      <c r="A1190" s="6" t="s">
        <v>988</v>
      </c>
      <c r="B1190" s="6" t="s">
        <v>95</v>
      </c>
      <c r="C1190" s="6" t="s">
        <v>1415</v>
      </c>
      <c r="D1190" s="6" t="s">
        <v>950</v>
      </c>
    </row>
    <row r="1191" customFormat="false" ht="23.85" hidden="false" customHeight="false" outlineLevel="0" collapsed="false">
      <c r="A1191" s="6" t="s">
        <v>988</v>
      </c>
      <c r="B1191" s="6" t="s">
        <v>95</v>
      </c>
      <c r="C1191" s="6" t="s">
        <v>1415</v>
      </c>
      <c r="D1191" s="6" t="s">
        <v>2032</v>
      </c>
    </row>
    <row r="1192" customFormat="false" ht="35.05" hidden="false" customHeight="false" outlineLevel="0" collapsed="false">
      <c r="A1192" s="6" t="s">
        <v>988</v>
      </c>
      <c r="B1192" s="6" t="s">
        <v>95</v>
      </c>
      <c r="C1192" s="6" t="s">
        <v>1415</v>
      </c>
      <c r="D1192" s="6" t="s">
        <v>870</v>
      </c>
    </row>
    <row r="1193" customFormat="false" ht="35.05" hidden="false" customHeight="false" outlineLevel="0" collapsed="false">
      <c r="A1193" s="6" t="s">
        <v>994</v>
      </c>
      <c r="B1193" s="6" t="s">
        <v>95</v>
      </c>
      <c r="C1193" s="6" t="s">
        <v>1415</v>
      </c>
      <c r="D1193" s="6" t="s">
        <v>950</v>
      </c>
    </row>
    <row r="1194" customFormat="false" ht="15" hidden="false" customHeight="false" outlineLevel="0" collapsed="false">
      <c r="A1194" s="6" t="s">
        <v>994</v>
      </c>
      <c r="B1194" s="6" t="s">
        <v>95</v>
      </c>
      <c r="C1194" s="6" t="s">
        <v>1415</v>
      </c>
      <c r="D1194" s="6" t="s">
        <v>2033</v>
      </c>
    </row>
    <row r="1195" customFormat="false" ht="15" hidden="false" customHeight="false" outlineLevel="0" collapsed="false">
      <c r="A1195" s="6" t="s">
        <v>821</v>
      </c>
      <c r="B1195" s="6" t="s">
        <v>378</v>
      </c>
      <c r="C1195" s="6" t="s">
        <v>1415</v>
      </c>
      <c r="D1195" s="6" t="s">
        <v>2034</v>
      </c>
    </row>
    <row r="1196" customFormat="false" ht="35.05" hidden="false" customHeight="false" outlineLevel="0" collapsed="false">
      <c r="A1196" s="6" t="s">
        <v>821</v>
      </c>
      <c r="B1196" s="6" t="s">
        <v>378</v>
      </c>
      <c r="C1196" s="6" t="s">
        <v>1415</v>
      </c>
      <c r="D1196" s="6" t="s">
        <v>1051</v>
      </c>
    </row>
    <row r="1197" customFormat="false" ht="23.85" hidden="false" customHeight="false" outlineLevel="0" collapsed="false">
      <c r="A1197" s="6" t="s">
        <v>821</v>
      </c>
      <c r="B1197" s="6" t="s">
        <v>264</v>
      </c>
      <c r="C1197" s="6" t="s">
        <v>1415</v>
      </c>
      <c r="D1197" s="6" t="s">
        <v>1789</v>
      </c>
    </row>
    <row r="1198" customFormat="false" ht="23.85" hidden="false" customHeight="false" outlineLevel="0" collapsed="false">
      <c r="A1198" s="6" t="s">
        <v>821</v>
      </c>
      <c r="B1198" s="6" t="s">
        <v>264</v>
      </c>
      <c r="C1198" s="6" t="s">
        <v>1415</v>
      </c>
      <c r="D1198" s="6" t="s">
        <v>1790</v>
      </c>
    </row>
    <row r="1199" customFormat="false" ht="23.85" hidden="false" customHeight="false" outlineLevel="0" collapsed="false">
      <c r="A1199" s="6" t="s">
        <v>821</v>
      </c>
      <c r="B1199" s="6" t="s">
        <v>264</v>
      </c>
      <c r="C1199" s="6" t="s">
        <v>1415</v>
      </c>
      <c r="D1199" s="6" t="s">
        <v>1791</v>
      </c>
    </row>
    <row r="1200" customFormat="false" ht="23.85" hidden="false" customHeight="false" outlineLevel="0" collapsed="false">
      <c r="A1200" s="6" t="s">
        <v>821</v>
      </c>
      <c r="B1200" s="6" t="s">
        <v>264</v>
      </c>
      <c r="C1200" s="6" t="s">
        <v>1415</v>
      </c>
      <c r="D1200" s="6" t="s">
        <v>1792</v>
      </c>
    </row>
    <row r="1201" customFormat="false" ht="23.85" hidden="false" customHeight="false" outlineLevel="0" collapsed="false">
      <c r="A1201" s="6" t="s">
        <v>821</v>
      </c>
      <c r="B1201" s="6" t="s">
        <v>224</v>
      </c>
      <c r="C1201" s="6" t="s">
        <v>1415</v>
      </c>
      <c r="D1201" s="6" t="s">
        <v>648</v>
      </c>
    </row>
    <row r="1202" customFormat="false" ht="35.05" hidden="false" customHeight="false" outlineLevel="0" collapsed="false">
      <c r="A1202" s="6" t="s">
        <v>821</v>
      </c>
      <c r="B1202" s="6" t="s">
        <v>147</v>
      </c>
      <c r="C1202" s="6" t="s">
        <v>1695</v>
      </c>
      <c r="D1202" s="6" t="s">
        <v>1696</v>
      </c>
    </row>
    <row r="1203" customFormat="false" ht="23.85" hidden="false" customHeight="false" outlineLevel="0" collapsed="false">
      <c r="A1203" s="6" t="s">
        <v>821</v>
      </c>
      <c r="B1203" s="6" t="s">
        <v>147</v>
      </c>
      <c r="C1203" s="6" t="s">
        <v>1697</v>
      </c>
      <c r="D1203" s="6" t="s">
        <v>1698</v>
      </c>
    </row>
    <row r="1204" customFormat="false" ht="15" hidden="false" customHeight="false" outlineLevel="0" collapsed="false">
      <c r="A1204" s="6" t="s">
        <v>865</v>
      </c>
      <c r="B1204" s="6" t="s">
        <v>95</v>
      </c>
      <c r="C1204" s="6" t="s">
        <v>1415</v>
      </c>
      <c r="D1204" s="6" t="s">
        <v>2025</v>
      </c>
    </row>
    <row r="1205" customFormat="false" ht="23.85" hidden="false" customHeight="false" outlineLevel="0" collapsed="false">
      <c r="A1205" s="6" t="s">
        <v>865</v>
      </c>
      <c r="B1205" s="6" t="s">
        <v>95</v>
      </c>
      <c r="C1205" s="6" t="s">
        <v>1415</v>
      </c>
      <c r="D1205" s="6" t="s">
        <v>2035</v>
      </c>
    </row>
    <row r="1206" customFormat="false" ht="35.05" hidden="false" customHeight="false" outlineLevel="0" collapsed="false">
      <c r="A1206" s="6" t="s">
        <v>865</v>
      </c>
      <c r="B1206" s="6" t="s">
        <v>95</v>
      </c>
      <c r="C1206" s="6" t="s">
        <v>1415</v>
      </c>
      <c r="D1206" s="6" t="s">
        <v>870</v>
      </c>
    </row>
    <row r="1207" customFormat="false" ht="68.65" hidden="false" customHeight="false" outlineLevel="0" collapsed="false">
      <c r="A1207" s="6" t="s">
        <v>865</v>
      </c>
      <c r="B1207" s="6" t="s">
        <v>104</v>
      </c>
      <c r="C1207" s="6" t="s">
        <v>1445</v>
      </c>
      <c r="D1207" s="6" t="s">
        <v>1446</v>
      </c>
    </row>
    <row r="1208" customFormat="false" ht="23.85" hidden="false" customHeight="false" outlineLevel="0" collapsed="false">
      <c r="A1208" s="6" t="s">
        <v>471</v>
      </c>
      <c r="B1208" s="6" t="s">
        <v>131</v>
      </c>
      <c r="C1208" s="6" t="s">
        <v>1415</v>
      </c>
      <c r="D1208" s="6" t="s">
        <v>499</v>
      </c>
    </row>
    <row r="1209" customFormat="false" ht="15" hidden="false" customHeight="false" outlineLevel="0" collapsed="false">
      <c r="A1209" s="6" t="s">
        <v>471</v>
      </c>
      <c r="B1209" s="6" t="s">
        <v>131</v>
      </c>
      <c r="C1209" s="6" t="s">
        <v>1415</v>
      </c>
      <c r="D1209" s="6" t="s">
        <v>1569</v>
      </c>
    </row>
    <row r="1210" customFormat="false" ht="15" hidden="false" customHeight="false" outlineLevel="0" collapsed="false">
      <c r="A1210" s="6" t="s">
        <v>471</v>
      </c>
      <c r="B1210" s="6" t="s">
        <v>131</v>
      </c>
      <c r="C1210" s="6" t="s">
        <v>1415</v>
      </c>
      <c r="D1210" s="6" t="s">
        <v>2036</v>
      </c>
    </row>
    <row r="1211" customFormat="false" ht="35.05" hidden="false" customHeight="false" outlineLevel="0" collapsed="false">
      <c r="A1211" s="6" t="s">
        <v>471</v>
      </c>
      <c r="B1211" s="6" t="s">
        <v>131</v>
      </c>
      <c r="C1211" s="6" t="s">
        <v>1415</v>
      </c>
      <c r="D1211" s="6" t="s">
        <v>2006</v>
      </c>
    </row>
    <row r="1212" customFormat="false" ht="46.25" hidden="false" customHeight="false" outlineLevel="0" collapsed="false">
      <c r="A1212" s="6" t="s">
        <v>471</v>
      </c>
      <c r="B1212" s="6" t="s">
        <v>131</v>
      </c>
      <c r="C1212" s="6" t="s">
        <v>1415</v>
      </c>
      <c r="D1212" s="6" t="s">
        <v>157</v>
      </c>
    </row>
    <row r="1213" customFormat="false" ht="23.85" hidden="false" customHeight="false" outlineLevel="0" collapsed="false">
      <c r="A1213" s="6" t="s">
        <v>471</v>
      </c>
      <c r="B1213" s="6" t="s">
        <v>131</v>
      </c>
      <c r="C1213" s="6" t="s">
        <v>1415</v>
      </c>
      <c r="D1213" s="6" t="s">
        <v>2037</v>
      </c>
    </row>
    <row r="1214" customFormat="false" ht="23.85" hidden="false" customHeight="false" outlineLevel="0" collapsed="false">
      <c r="A1214" s="6" t="s">
        <v>471</v>
      </c>
      <c r="B1214" s="6" t="s">
        <v>131</v>
      </c>
      <c r="C1214" s="6" t="s">
        <v>1415</v>
      </c>
      <c r="D1214" s="6" t="s">
        <v>1500</v>
      </c>
    </row>
    <row r="1215" customFormat="false" ht="35.05" hidden="false" customHeight="false" outlineLevel="0" collapsed="false">
      <c r="A1215" s="6" t="s">
        <v>471</v>
      </c>
      <c r="B1215" s="6" t="s">
        <v>131</v>
      </c>
      <c r="C1215" s="6" t="s">
        <v>1415</v>
      </c>
      <c r="D1215" s="6" t="s">
        <v>2038</v>
      </c>
    </row>
    <row r="1216" customFormat="false" ht="15" hidden="false" customHeight="false" outlineLevel="0" collapsed="false">
      <c r="A1216" s="6" t="s">
        <v>471</v>
      </c>
      <c r="B1216" s="6" t="s">
        <v>131</v>
      </c>
      <c r="C1216" s="6" t="s">
        <v>1415</v>
      </c>
      <c r="D1216" s="6" t="s">
        <v>2007</v>
      </c>
    </row>
    <row r="1217" customFormat="false" ht="23.85" hidden="false" customHeight="false" outlineLevel="0" collapsed="false">
      <c r="A1217" s="6" t="s">
        <v>471</v>
      </c>
      <c r="B1217" s="6" t="s">
        <v>131</v>
      </c>
      <c r="C1217" s="6" t="s">
        <v>1415</v>
      </c>
      <c r="D1217" s="6" t="s">
        <v>2039</v>
      </c>
    </row>
    <row r="1218" customFormat="false" ht="46.25" hidden="false" customHeight="false" outlineLevel="0" collapsed="false">
      <c r="A1218" s="6" t="s">
        <v>471</v>
      </c>
      <c r="B1218" s="6" t="s">
        <v>131</v>
      </c>
      <c r="C1218" s="6" t="s">
        <v>1415</v>
      </c>
      <c r="D1218" s="6" t="s">
        <v>1499</v>
      </c>
    </row>
    <row r="1219" customFormat="false" ht="23.85" hidden="false" customHeight="false" outlineLevel="0" collapsed="false">
      <c r="A1219" s="6" t="s">
        <v>471</v>
      </c>
      <c r="B1219" s="6" t="s">
        <v>378</v>
      </c>
      <c r="C1219" s="6" t="s">
        <v>1415</v>
      </c>
      <c r="D1219" s="6" t="s">
        <v>463</v>
      </c>
    </row>
    <row r="1220" customFormat="false" ht="35.05" hidden="false" customHeight="false" outlineLevel="0" collapsed="false">
      <c r="A1220" s="6" t="s">
        <v>471</v>
      </c>
      <c r="B1220" s="6" t="s">
        <v>264</v>
      </c>
      <c r="C1220" s="6" t="s">
        <v>1415</v>
      </c>
      <c r="D1220" s="6" t="s">
        <v>1608</v>
      </c>
    </row>
    <row r="1221" customFormat="false" ht="23.85" hidden="false" customHeight="false" outlineLevel="0" collapsed="false">
      <c r="A1221" s="6" t="s">
        <v>471</v>
      </c>
      <c r="B1221" s="6" t="s">
        <v>264</v>
      </c>
      <c r="C1221" s="6" t="s">
        <v>1415</v>
      </c>
      <c r="D1221" s="6" t="s">
        <v>2040</v>
      </c>
    </row>
    <row r="1222" customFormat="false" ht="23.85" hidden="false" customHeight="false" outlineLevel="0" collapsed="false">
      <c r="A1222" s="6" t="s">
        <v>471</v>
      </c>
      <c r="B1222" s="6" t="s">
        <v>304</v>
      </c>
      <c r="C1222" s="6" t="s">
        <v>1415</v>
      </c>
      <c r="D1222" s="6" t="s">
        <v>477</v>
      </c>
    </row>
    <row r="1223" customFormat="false" ht="15" hidden="false" customHeight="false" outlineLevel="0" collapsed="false">
      <c r="A1223" s="6" t="s">
        <v>471</v>
      </c>
      <c r="B1223" s="6" t="s">
        <v>70</v>
      </c>
      <c r="C1223" s="6" t="s">
        <v>1415</v>
      </c>
      <c r="D1223" s="6" t="s">
        <v>2041</v>
      </c>
    </row>
    <row r="1224" customFormat="false" ht="15" hidden="false" customHeight="false" outlineLevel="0" collapsed="false">
      <c r="A1224" s="6" t="s">
        <v>431</v>
      </c>
      <c r="B1224" s="6" t="s">
        <v>131</v>
      </c>
      <c r="C1224" s="6" t="s">
        <v>1415</v>
      </c>
      <c r="D1224" s="6" t="s">
        <v>1818</v>
      </c>
    </row>
    <row r="1225" customFormat="false" ht="23.85" hidden="false" customHeight="false" outlineLevel="0" collapsed="false">
      <c r="A1225" s="6" t="s">
        <v>431</v>
      </c>
      <c r="B1225" s="6" t="s">
        <v>131</v>
      </c>
      <c r="C1225" s="6" t="s">
        <v>1415</v>
      </c>
      <c r="D1225" s="6" t="s">
        <v>2024</v>
      </c>
    </row>
    <row r="1226" customFormat="false" ht="35.05" hidden="false" customHeight="false" outlineLevel="0" collapsed="false">
      <c r="A1226" s="6" t="s">
        <v>431</v>
      </c>
      <c r="B1226" s="6" t="s">
        <v>296</v>
      </c>
      <c r="C1226" s="6" t="s">
        <v>1415</v>
      </c>
      <c r="D1226" s="6" t="s">
        <v>430</v>
      </c>
    </row>
    <row r="1227" customFormat="false" ht="35.05" hidden="false" customHeight="false" outlineLevel="0" collapsed="false">
      <c r="A1227" s="6" t="s">
        <v>431</v>
      </c>
      <c r="B1227" s="6" t="s">
        <v>265</v>
      </c>
      <c r="C1227" s="6" t="s">
        <v>1415</v>
      </c>
      <c r="D1227" s="6" t="s">
        <v>438</v>
      </c>
    </row>
    <row r="1228" customFormat="false" ht="35.05" hidden="false" customHeight="false" outlineLevel="0" collapsed="false">
      <c r="A1228" s="6" t="s">
        <v>657</v>
      </c>
      <c r="B1228" s="6" t="s">
        <v>114</v>
      </c>
      <c r="C1228" s="6" t="s">
        <v>1415</v>
      </c>
      <c r="D1228" s="6" t="s">
        <v>1540</v>
      </c>
    </row>
    <row r="1229" customFormat="false" ht="46.25" hidden="false" customHeight="false" outlineLevel="0" collapsed="false">
      <c r="A1229" s="6" t="s">
        <v>657</v>
      </c>
      <c r="B1229" s="6" t="s">
        <v>114</v>
      </c>
      <c r="C1229" s="6" t="s">
        <v>1415</v>
      </c>
      <c r="D1229" s="6" t="s">
        <v>2042</v>
      </c>
    </row>
    <row r="1230" customFormat="false" ht="35.05" hidden="false" customHeight="false" outlineLevel="0" collapsed="false">
      <c r="A1230" s="6" t="s">
        <v>657</v>
      </c>
      <c r="B1230" s="6" t="s">
        <v>114</v>
      </c>
      <c r="C1230" s="6" t="s">
        <v>1415</v>
      </c>
      <c r="D1230" s="6" t="s">
        <v>1541</v>
      </c>
    </row>
    <row r="1231" customFormat="false" ht="23.85" hidden="false" customHeight="false" outlineLevel="0" collapsed="false">
      <c r="A1231" s="6" t="s">
        <v>657</v>
      </c>
      <c r="B1231" s="6" t="s">
        <v>114</v>
      </c>
      <c r="C1231" s="6" t="s">
        <v>1415</v>
      </c>
      <c r="D1231" s="6" t="s">
        <v>1542</v>
      </c>
    </row>
    <row r="1232" customFormat="false" ht="23.85" hidden="false" customHeight="false" outlineLevel="0" collapsed="false">
      <c r="A1232" s="6" t="s">
        <v>657</v>
      </c>
      <c r="B1232" s="6" t="s">
        <v>114</v>
      </c>
      <c r="C1232" s="6" t="s">
        <v>1415</v>
      </c>
      <c r="D1232" s="6" t="s">
        <v>1543</v>
      </c>
    </row>
    <row r="1233" customFormat="false" ht="15" hidden="false" customHeight="false" outlineLevel="0" collapsed="false">
      <c r="A1233" s="6" t="s">
        <v>657</v>
      </c>
      <c r="B1233" s="6" t="s">
        <v>114</v>
      </c>
      <c r="C1233" s="6" t="s">
        <v>1415</v>
      </c>
      <c r="D1233" s="6" t="s">
        <v>2043</v>
      </c>
    </row>
    <row r="1234" customFormat="false" ht="35.05" hidden="false" customHeight="false" outlineLevel="0" collapsed="false">
      <c r="A1234" s="6" t="s">
        <v>657</v>
      </c>
      <c r="B1234" s="6" t="s">
        <v>296</v>
      </c>
      <c r="C1234" s="6" t="s">
        <v>1415</v>
      </c>
      <c r="D1234" s="6" t="s">
        <v>1815</v>
      </c>
    </row>
    <row r="1235" customFormat="false" ht="46.25" hidden="false" customHeight="false" outlineLevel="0" collapsed="false">
      <c r="A1235" s="6" t="s">
        <v>657</v>
      </c>
      <c r="B1235" s="6" t="s">
        <v>296</v>
      </c>
      <c r="C1235" s="6" t="s">
        <v>1415</v>
      </c>
      <c r="D1235" s="6" t="s">
        <v>1782</v>
      </c>
    </row>
    <row r="1236" customFormat="false" ht="35.05" hidden="false" customHeight="false" outlineLevel="0" collapsed="false">
      <c r="A1236" s="6" t="s">
        <v>657</v>
      </c>
      <c r="B1236" s="6" t="s">
        <v>378</v>
      </c>
      <c r="C1236" s="6" t="s">
        <v>1415</v>
      </c>
      <c r="D1236" s="6" t="s">
        <v>656</v>
      </c>
    </row>
    <row r="1237" customFormat="false" ht="15" hidden="false" customHeight="false" outlineLevel="0" collapsed="false">
      <c r="A1237" s="6" t="s">
        <v>1076</v>
      </c>
      <c r="B1237" s="6" t="s">
        <v>378</v>
      </c>
      <c r="C1237" s="6" t="s">
        <v>1415</v>
      </c>
      <c r="D1237" s="6" t="s">
        <v>2044</v>
      </c>
    </row>
    <row r="1238" customFormat="false" ht="35.05" hidden="false" customHeight="false" outlineLevel="0" collapsed="false">
      <c r="A1238" s="6" t="s">
        <v>1076</v>
      </c>
      <c r="B1238" s="6" t="s">
        <v>378</v>
      </c>
      <c r="C1238" s="6" t="s">
        <v>1415</v>
      </c>
      <c r="D1238" s="6" t="s">
        <v>1051</v>
      </c>
    </row>
    <row r="1239" customFormat="false" ht="35.05" hidden="false" customHeight="false" outlineLevel="0" collapsed="false">
      <c r="A1239" s="6" t="s">
        <v>243</v>
      </c>
      <c r="B1239" s="6" t="s">
        <v>114</v>
      </c>
      <c r="C1239" s="6" t="s">
        <v>1415</v>
      </c>
      <c r="D1239" s="6" t="s">
        <v>1909</v>
      </c>
    </row>
    <row r="1240" customFormat="false" ht="35.05" hidden="false" customHeight="false" outlineLevel="0" collapsed="false">
      <c r="A1240" s="6" t="s">
        <v>243</v>
      </c>
      <c r="B1240" s="6" t="s">
        <v>114</v>
      </c>
      <c r="C1240" s="6" t="s">
        <v>1415</v>
      </c>
      <c r="D1240" s="6" t="s">
        <v>1910</v>
      </c>
    </row>
    <row r="1241" customFormat="false" ht="35.05" hidden="false" customHeight="false" outlineLevel="0" collapsed="false">
      <c r="A1241" s="6" t="s">
        <v>243</v>
      </c>
      <c r="B1241" s="6" t="s">
        <v>114</v>
      </c>
      <c r="C1241" s="6" t="s">
        <v>1415</v>
      </c>
      <c r="D1241" s="6" t="s">
        <v>1447</v>
      </c>
    </row>
    <row r="1242" customFormat="false" ht="23.85" hidden="false" customHeight="false" outlineLevel="0" collapsed="false">
      <c r="A1242" s="6" t="s">
        <v>243</v>
      </c>
      <c r="B1242" s="6" t="s">
        <v>114</v>
      </c>
      <c r="C1242" s="6" t="s">
        <v>1415</v>
      </c>
      <c r="D1242" s="6" t="s">
        <v>1804</v>
      </c>
    </row>
    <row r="1243" customFormat="false" ht="23.85" hidden="false" customHeight="false" outlineLevel="0" collapsed="false">
      <c r="A1243" s="6" t="s">
        <v>243</v>
      </c>
      <c r="B1243" s="6" t="s">
        <v>114</v>
      </c>
      <c r="C1243" s="6" t="s">
        <v>1415</v>
      </c>
      <c r="D1243" s="6" t="s">
        <v>1907</v>
      </c>
    </row>
    <row r="1244" customFormat="false" ht="23.85" hidden="false" customHeight="false" outlineLevel="0" collapsed="false">
      <c r="A1244" s="6" t="s">
        <v>243</v>
      </c>
      <c r="B1244" s="6" t="s">
        <v>114</v>
      </c>
      <c r="C1244" s="6" t="s">
        <v>1415</v>
      </c>
      <c r="D1244" s="6" t="s">
        <v>2045</v>
      </c>
    </row>
    <row r="1245" customFormat="false" ht="46.25" hidden="false" customHeight="false" outlineLevel="0" collapsed="false">
      <c r="A1245" s="6" t="s">
        <v>243</v>
      </c>
      <c r="B1245" s="6" t="s">
        <v>156</v>
      </c>
      <c r="C1245" s="6" t="s">
        <v>1415</v>
      </c>
      <c r="D1245" s="6" t="s">
        <v>1914</v>
      </c>
    </row>
    <row r="1246" customFormat="false" ht="35.05" hidden="false" customHeight="false" outlineLevel="0" collapsed="false">
      <c r="A1246" s="6" t="s">
        <v>243</v>
      </c>
      <c r="B1246" s="6" t="s">
        <v>378</v>
      </c>
      <c r="C1246" s="6" t="s">
        <v>1415</v>
      </c>
      <c r="D1246" s="6" t="s">
        <v>1646</v>
      </c>
    </row>
    <row r="1247" customFormat="false" ht="15" hidden="false" customHeight="false" outlineLevel="0" collapsed="false">
      <c r="A1247" s="6" t="s">
        <v>243</v>
      </c>
      <c r="B1247" s="6" t="s">
        <v>568</v>
      </c>
      <c r="C1247" s="6" t="s">
        <v>1415</v>
      </c>
      <c r="D1247" s="6" t="s">
        <v>1981</v>
      </c>
    </row>
    <row r="1248" customFormat="false" ht="23.85" hidden="false" customHeight="false" outlineLevel="0" collapsed="false">
      <c r="A1248" s="6" t="s">
        <v>243</v>
      </c>
      <c r="B1248" s="6" t="s">
        <v>568</v>
      </c>
      <c r="C1248" s="6" t="s">
        <v>1415</v>
      </c>
      <c r="D1248" s="6" t="s">
        <v>1942</v>
      </c>
    </row>
    <row r="1249" customFormat="false" ht="23.85" hidden="false" customHeight="false" outlineLevel="0" collapsed="false">
      <c r="A1249" s="6" t="s">
        <v>243</v>
      </c>
      <c r="B1249" s="6" t="s">
        <v>568</v>
      </c>
      <c r="C1249" s="6" t="s">
        <v>1415</v>
      </c>
      <c r="D1249" s="6" t="s">
        <v>2046</v>
      </c>
    </row>
    <row r="1250" customFormat="false" ht="15" hidden="false" customHeight="false" outlineLevel="0" collapsed="false">
      <c r="A1250" s="6" t="s">
        <v>243</v>
      </c>
      <c r="B1250" s="6" t="s">
        <v>568</v>
      </c>
      <c r="C1250" s="6" t="s">
        <v>1415</v>
      </c>
      <c r="D1250" s="6" t="s">
        <v>1943</v>
      </c>
    </row>
    <row r="1251" customFormat="false" ht="15" hidden="false" customHeight="false" outlineLevel="0" collapsed="false">
      <c r="A1251" s="6" t="s">
        <v>243</v>
      </c>
      <c r="B1251" s="6" t="s">
        <v>568</v>
      </c>
      <c r="C1251" s="6" t="s">
        <v>1415</v>
      </c>
      <c r="D1251" s="6" t="s">
        <v>2047</v>
      </c>
    </row>
    <row r="1252" customFormat="false" ht="15" hidden="false" customHeight="false" outlineLevel="0" collapsed="false">
      <c r="A1252" s="6" t="s">
        <v>243</v>
      </c>
      <c r="B1252" s="6" t="s">
        <v>568</v>
      </c>
      <c r="C1252" s="6" t="s">
        <v>1415</v>
      </c>
      <c r="D1252" s="6" t="s">
        <v>1945</v>
      </c>
    </row>
    <row r="1253" customFormat="false" ht="23.85" hidden="false" customHeight="false" outlineLevel="0" collapsed="false">
      <c r="A1253" s="6" t="s">
        <v>243</v>
      </c>
      <c r="B1253" s="6" t="s">
        <v>568</v>
      </c>
      <c r="C1253" s="6" t="s">
        <v>1415</v>
      </c>
      <c r="D1253" s="6" t="s">
        <v>1983</v>
      </c>
    </row>
    <row r="1254" customFormat="false" ht="23.85" hidden="false" customHeight="false" outlineLevel="0" collapsed="false">
      <c r="A1254" s="6" t="s">
        <v>243</v>
      </c>
      <c r="B1254" s="6" t="s">
        <v>568</v>
      </c>
      <c r="C1254" s="6" t="s">
        <v>1415</v>
      </c>
      <c r="D1254" s="6" t="s">
        <v>1941</v>
      </c>
    </row>
    <row r="1255" customFormat="false" ht="15" hidden="false" customHeight="false" outlineLevel="0" collapsed="false">
      <c r="A1255" s="6" t="s">
        <v>243</v>
      </c>
      <c r="B1255" s="6" t="s">
        <v>568</v>
      </c>
      <c r="C1255" s="6" t="s">
        <v>1415</v>
      </c>
      <c r="D1255" s="6" t="s">
        <v>2048</v>
      </c>
    </row>
    <row r="1256" customFormat="false" ht="15" hidden="false" customHeight="false" outlineLevel="0" collapsed="false">
      <c r="A1256" s="6" t="s">
        <v>243</v>
      </c>
      <c r="B1256" s="6" t="s">
        <v>264</v>
      </c>
      <c r="C1256" s="6" t="s">
        <v>1415</v>
      </c>
      <c r="D1256" s="6" t="s">
        <v>2049</v>
      </c>
    </row>
    <row r="1257" customFormat="false" ht="15" hidden="false" customHeight="false" outlineLevel="0" collapsed="false">
      <c r="A1257" s="6" t="s">
        <v>243</v>
      </c>
      <c r="B1257" s="6" t="s">
        <v>264</v>
      </c>
      <c r="C1257" s="6" t="s">
        <v>1415</v>
      </c>
      <c r="D1257" s="6" t="s">
        <v>2050</v>
      </c>
    </row>
    <row r="1258" customFormat="false" ht="15" hidden="false" customHeight="false" outlineLevel="0" collapsed="false">
      <c r="A1258" s="6" t="s">
        <v>243</v>
      </c>
      <c r="B1258" s="6" t="s">
        <v>264</v>
      </c>
      <c r="C1258" s="6" t="s">
        <v>1415</v>
      </c>
      <c r="D1258" s="6" t="s">
        <v>2051</v>
      </c>
    </row>
    <row r="1259" customFormat="false" ht="15" hidden="false" customHeight="false" outlineLevel="0" collapsed="false">
      <c r="A1259" s="6" t="s">
        <v>243</v>
      </c>
      <c r="B1259" s="6" t="s">
        <v>264</v>
      </c>
      <c r="C1259" s="6" t="s">
        <v>1415</v>
      </c>
      <c r="D1259" s="6" t="s">
        <v>1946</v>
      </c>
    </row>
    <row r="1260" customFormat="false" ht="23.85" hidden="false" customHeight="false" outlineLevel="0" collapsed="false">
      <c r="A1260" s="6" t="s">
        <v>243</v>
      </c>
      <c r="B1260" s="6" t="s">
        <v>264</v>
      </c>
      <c r="C1260" s="6" t="s">
        <v>1415</v>
      </c>
      <c r="D1260" s="6" t="s">
        <v>274</v>
      </c>
    </row>
    <row r="1261" customFormat="false" ht="46.25" hidden="false" customHeight="false" outlineLevel="0" collapsed="false">
      <c r="A1261" s="6" t="s">
        <v>243</v>
      </c>
      <c r="B1261" s="6" t="s">
        <v>264</v>
      </c>
      <c r="C1261" s="6" t="s">
        <v>1415</v>
      </c>
      <c r="D1261" s="6" t="s">
        <v>2052</v>
      </c>
    </row>
    <row r="1262" customFormat="false" ht="23.85" hidden="false" customHeight="false" outlineLevel="0" collapsed="false">
      <c r="A1262" s="6" t="s">
        <v>243</v>
      </c>
      <c r="B1262" s="6" t="s">
        <v>264</v>
      </c>
      <c r="C1262" s="6" t="s">
        <v>1415</v>
      </c>
      <c r="D1262" s="6" t="s">
        <v>2053</v>
      </c>
    </row>
    <row r="1263" customFormat="false" ht="35.05" hidden="false" customHeight="false" outlineLevel="0" collapsed="false">
      <c r="A1263" s="6" t="s">
        <v>243</v>
      </c>
      <c r="B1263" s="6" t="s">
        <v>264</v>
      </c>
      <c r="C1263" s="6" t="s">
        <v>1415</v>
      </c>
      <c r="D1263" s="6" t="s">
        <v>2054</v>
      </c>
    </row>
    <row r="1264" customFormat="false" ht="35.05" hidden="false" customHeight="false" outlineLevel="0" collapsed="false">
      <c r="A1264" s="6" t="s">
        <v>243</v>
      </c>
      <c r="B1264" s="6" t="s">
        <v>264</v>
      </c>
      <c r="C1264" s="6" t="s">
        <v>1415</v>
      </c>
      <c r="D1264" s="6" t="s">
        <v>2055</v>
      </c>
    </row>
    <row r="1265" customFormat="false" ht="23.85" hidden="false" customHeight="false" outlineLevel="0" collapsed="false">
      <c r="A1265" s="6" t="s">
        <v>243</v>
      </c>
      <c r="B1265" s="6" t="s">
        <v>264</v>
      </c>
      <c r="C1265" s="6" t="s">
        <v>1415</v>
      </c>
      <c r="D1265" s="6" t="s">
        <v>2056</v>
      </c>
    </row>
    <row r="1266" customFormat="false" ht="23.85" hidden="false" customHeight="false" outlineLevel="0" collapsed="false">
      <c r="A1266" s="6" t="s">
        <v>243</v>
      </c>
      <c r="B1266" s="6" t="s">
        <v>304</v>
      </c>
      <c r="C1266" s="6" t="s">
        <v>1415</v>
      </c>
      <c r="D1266" s="6" t="s">
        <v>477</v>
      </c>
    </row>
    <row r="1267" customFormat="false" ht="23.85" hidden="false" customHeight="false" outlineLevel="0" collapsed="false">
      <c r="A1267" s="6" t="s">
        <v>243</v>
      </c>
      <c r="B1267" s="6" t="s">
        <v>304</v>
      </c>
      <c r="C1267" s="6" t="s">
        <v>1415</v>
      </c>
      <c r="D1267" s="6" t="s">
        <v>2057</v>
      </c>
    </row>
    <row r="1268" customFormat="false" ht="46.25" hidden="false" customHeight="false" outlineLevel="0" collapsed="false">
      <c r="A1268" s="6" t="s">
        <v>243</v>
      </c>
      <c r="B1268" s="6" t="s">
        <v>304</v>
      </c>
      <c r="C1268" s="6" t="s">
        <v>1415</v>
      </c>
      <c r="D1268" s="6" t="s">
        <v>2058</v>
      </c>
    </row>
    <row r="1269" customFormat="false" ht="35.05" hidden="false" customHeight="false" outlineLevel="0" collapsed="false">
      <c r="A1269" s="6" t="s">
        <v>243</v>
      </c>
      <c r="B1269" s="6" t="s">
        <v>304</v>
      </c>
      <c r="C1269" s="6" t="s">
        <v>1415</v>
      </c>
      <c r="D1269" s="6" t="s">
        <v>1560</v>
      </c>
    </row>
    <row r="1270" customFormat="false" ht="35.05" hidden="false" customHeight="false" outlineLevel="0" collapsed="false">
      <c r="A1270" s="6" t="s">
        <v>243</v>
      </c>
      <c r="B1270" s="6" t="s">
        <v>304</v>
      </c>
      <c r="C1270" s="6" t="s">
        <v>1415</v>
      </c>
      <c r="D1270" s="6" t="s">
        <v>2059</v>
      </c>
    </row>
    <row r="1271" customFormat="false" ht="35.05" hidden="false" customHeight="false" outlineLevel="0" collapsed="false">
      <c r="A1271" s="6" t="s">
        <v>243</v>
      </c>
      <c r="B1271" s="6" t="s">
        <v>304</v>
      </c>
      <c r="C1271" s="6" t="s">
        <v>1415</v>
      </c>
      <c r="D1271" s="6" t="s">
        <v>1992</v>
      </c>
    </row>
    <row r="1272" customFormat="false" ht="35.05" hidden="false" customHeight="false" outlineLevel="0" collapsed="false">
      <c r="A1272" s="6" t="s">
        <v>243</v>
      </c>
      <c r="B1272" s="6" t="s">
        <v>224</v>
      </c>
      <c r="C1272" s="6" t="s">
        <v>1415</v>
      </c>
      <c r="D1272" s="6" t="s">
        <v>250</v>
      </c>
    </row>
    <row r="1273" customFormat="false" ht="23.85" hidden="false" customHeight="false" outlineLevel="0" collapsed="false">
      <c r="A1273" s="6" t="s">
        <v>782</v>
      </c>
      <c r="B1273" s="6" t="s">
        <v>378</v>
      </c>
      <c r="C1273" s="6" t="s">
        <v>1415</v>
      </c>
      <c r="D1273" s="6" t="s">
        <v>1643</v>
      </c>
    </row>
    <row r="1274" customFormat="false" ht="15" hidden="false" customHeight="false" outlineLevel="0" collapsed="false">
      <c r="A1274" s="6" t="s">
        <v>782</v>
      </c>
      <c r="B1274" s="6" t="s">
        <v>378</v>
      </c>
      <c r="C1274" s="6" t="s">
        <v>1415</v>
      </c>
      <c r="D1274" s="6" t="s">
        <v>1644</v>
      </c>
    </row>
    <row r="1275" customFormat="false" ht="15" hidden="false" customHeight="false" outlineLevel="0" collapsed="false">
      <c r="A1275" s="6" t="s">
        <v>782</v>
      </c>
      <c r="B1275" s="6" t="s">
        <v>378</v>
      </c>
      <c r="C1275" s="6" t="s">
        <v>1415</v>
      </c>
      <c r="D1275" s="6" t="s">
        <v>2060</v>
      </c>
    </row>
    <row r="1276" customFormat="false" ht="35.05" hidden="false" customHeight="false" outlineLevel="0" collapsed="false">
      <c r="A1276" s="6" t="s">
        <v>782</v>
      </c>
      <c r="B1276" s="6" t="s">
        <v>378</v>
      </c>
      <c r="C1276" s="6" t="s">
        <v>1415</v>
      </c>
      <c r="D1276" s="6" t="s">
        <v>1646</v>
      </c>
    </row>
    <row r="1277" customFormat="false" ht="46.25" hidden="false" customHeight="false" outlineLevel="0" collapsed="false">
      <c r="A1277" s="6" t="s">
        <v>782</v>
      </c>
      <c r="B1277" s="6" t="s">
        <v>378</v>
      </c>
      <c r="C1277" s="6" t="s">
        <v>1415</v>
      </c>
      <c r="D1277" s="6" t="s">
        <v>1647</v>
      </c>
    </row>
    <row r="1278" customFormat="false" ht="23.85" hidden="false" customHeight="false" outlineLevel="0" collapsed="false">
      <c r="A1278" s="6" t="s">
        <v>782</v>
      </c>
      <c r="B1278" s="6" t="s">
        <v>378</v>
      </c>
      <c r="C1278" s="6" t="s">
        <v>1415</v>
      </c>
      <c r="D1278" s="6" t="s">
        <v>1645</v>
      </c>
    </row>
    <row r="1279" customFormat="false" ht="23.85" hidden="false" customHeight="false" outlineLevel="0" collapsed="false">
      <c r="A1279" s="6" t="s">
        <v>782</v>
      </c>
      <c r="B1279" s="6" t="s">
        <v>224</v>
      </c>
      <c r="C1279" s="6" t="s">
        <v>1415</v>
      </c>
      <c r="D1279" s="6" t="s">
        <v>747</v>
      </c>
    </row>
    <row r="1280" customFormat="false" ht="35.05" hidden="false" customHeight="false" outlineLevel="0" collapsed="false">
      <c r="A1280" s="6" t="s">
        <v>782</v>
      </c>
      <c r="B1280" s="6" t="s">
        <v>138</v>
      </c>
      <c r="C1280" s="6" t="s">
        <v>1415</v>
      </c>
      <c r="D1280" s="6" t="s">
        <v>371</v>
      </c>
    </row>
    <row r="1281" customFormat="false" ht="23.85" hidden="false" customHeight="false" outlineLevel="0" collapsed="false">
      <c r="A1281" s="6" t="s">
        <v>782</v>
      </c>
      <c r="B1281" s="6" t="s">
        <v>138</v>
      </c>
      <c r="C1281" s="6" t="s">
        <v>1457</v>
      </c>
      <c r="D1281" s="6" t="s">
        <v>1458</v>
      </c>
    </row>
    <row r="1282" customFormat="false" ht="46.25" hidden="false" customHeight="false" outlineLevel="0" collapsed="false">
      <c r="A1282" s="6" t="s">
        <v>917</v>
      </c>
      <c r="B1282" s="6" t="s">
        <v>378</v>
      </c>
      <c r="C1282" s="6" t="s">
        <v>1415</v>
      </c>
      <c r="D1282" s="6" t="s">
        <v>1650</v>
      </c>
    </row>
    <row r="1283" customFormat="false" ht="68.65" hidden="false" customHeight="false" outlineLevel="0" collapsed="false">
      <c r="A1283" s="6" t="s">
        <v>917</v>
      </c>
      <c r="B1283" s="6" t="s">
        <v>378</v>
      </c>
      <c r="C1283" s="6" t="s">
        <v>1415</v>
      </c>
      <c r="D1283" s="6" t="s">
        <v>379</v>
      </c>
    </row>
    <row r="1284" customFormat="false" ht="23.85" hidden="false" customHeight="false" outlineLevel="0" collapsed="false">
      <c r="A1284" s="6" t="s">
        <v>917</v>
      </c>
      <c r="B1284" s="6" t="s">
        <v>378</v>
      </c>
      <c r="C1284" s="6" t="s">
        <v>1415</v>
      </c>
      <c r="D1284" s="6" t="s">
        <v>891</v>
      </c>
    </row>
    <row r="1285" customFormat="false" ht="23.85" hidden="false" customHeight="false" outlineLevel="0" collapsed="false">
      <c r="A1285" s="6" t="s">
        <v>917</v>
      </c>
      <c r="B1285" s="6" t="s">
        <v>378</v>
      </c>
      <c r="C1285" s="6" t="s">
        <v>1415</v>
      </c>
      <c r="D1285" s="6" t="s">
        <v>2061</v>
      </c>
    </row>
    <row r="1286" customFormat="false" ht="57.45" hidden="false" customHeight="false" outlineLevel="0" collapsed="false">
      <c r="A1286" s="6" t="s">
        <v>917</v>
      </c>
      <c r="B1286" s="6" t="s">
        <v>378</v>
      </c>
      <c r="C1286" s="6" t="s">
        <v>1415</v>
      </c>
      <c r="D1286" s="6" t="s">
        <v>923</v>
      </c>
    </row>
    <row r="1287" customFormat="false" ht="15" hidden="false" customHeight="false" outlineLevel="0" collapsed="false">
      <c r="A1287" s="6" t="s">
        <v>251</v>
      </c>
      <c r="B1287" s="6" t="s">
        <v>156</v>
      </c>
      <c r="C1287" s="6" t="s">
        <v>1415</v>
      </c>
      <c r="D1287" s="6" t="s">
        <v>2062</v>
      </c>
    </row>
    <row r="1288" customFormat="false" ht="57.45" hidden="false" customHeight="false" outlineLevel="0" collapsed="false">
      <c r="A1288" s="6" t="s">
        <v>251</v>
      </c>
      <c r="B1288" s="6" t="s">
        <v>156</v>
      </c>
      <c r="C1288" s="6" t="s">
        <v>1415</v>
      </c>
      <c r="D1288" s="6" t="s">
        <v>1494</v>
      </c>
    </row>
    <row r="1289" customFormat="false" ht="57.45" hidden="false" customHeight="false" outlineLevel="0" collapsed="false">
      <c r="A1289" s="6" t="s">
        <v>251</v>
      </c>
      <c r="B1289" s="6" t="s">
        <v>156</v>
      </c>
      <c r="C1289" s="6" t="s">
        <v>1415</v>
      </c>
      <c r="D1289" s="6" t="s">
        <v>2063</v>
      </c>
    </row>
    <row r="1290" customFormat="false" ht="91" hidden="false" customHeight="false" outlineLevel="0" collapsed="false">
      <c r="A1290" s="6" t="s">
        <v>251</v>
      </c>
      <c r="B1290" s="6" t="s">
        <v>156</v>
      </c>
      <c r="C1290" s="6" t="s">
        <v>1415</v>
      </c>
      <c r="D1290" s="6" t="s">
        <v>1496</v>
      </c>
    </row>
    <row r="1291" customFormat="false" ht="35.05" hidden="false" customHeight="false" outlineLevel="0" collapsed="false">
      <c r="A1291" s="6" t="s">
        <v>251</v>
      </c>
      <c r="B1291" s="6" t="s">
        <v>378</v>
      </c>
      <c r="C1291" s="6" t="s">
        <v>1415</v>
      </c>
      <c r="D1291" s="6" t="s">
        <v>1646</v>
      </c>
    </row>
    <row r="1292" customFormat="false" ht="23.85" hidden="false" customHeight="false" outlineLevel="0" collapsed="false">
      <c r="A1292" s="6" t="s">
        <v>251</v>
      </c>
      <c r="B1292" s="6" t="s">
        <v>568</v>
      </c>
      <c r="C1292" s="6" t="s">
        <v>1415</v>
      </c>
      <c r="D1292" s="6" t="s">
        <v>1942</v>
      </c>
    </row>
    <row r="1293" customFormat="false" ht="23.85" hidden="false" customHeight="false" outlineLevel="0" collapsed="false">
      <c r="A1293" s="6" t="s">
        <v>251</v>
      </c>
      <c r="B1293" s="6" t="s">
        <v>264</v>
      </c>
      <c r="C1293" s="6" t="s">
        <v>1415</v>
      </c>
      <c r="D1293" s="6" t="s">
        <v>274</v>
      </c>
    </row>
    <row r="1294" customFormat="false" ht="23.85" hidden="false" customHeight="false" outlineLevel="0" collapsed="false">
      <c r="A1294" s="6" t="s">
        <v>251</v>
      </c>
      <c r="B1294" s="6" t="s">
        <v>264</v>
      </c>
      <c r="C1294" s="6" t="s">
        <v>1415</v>
      </c>
      <c r="D1294" s="6" t="s">
        <v>2056</v>
      </c>
    </row>
    <row r="1295" customFormat="false" ht="15" hidden="false" customHeight="false" outlineLevel="0" collapsed="false">
      <c r="A1295" s="6" t="s">
        <v>251</v>
      </c>
      <c r="B1295" s="6" t="s">
        <v>304</v>
      </c>
      <c r="C1295" s="6" t="s">
        <v>1415</v>
      </c>
      <c r="D1295" s="6" t="s">
        <v>2064</v>
      </c>
    </row>
    <row r="1296" customFormat="false" ht="23.85" hidden="false" customHeight="false" outlineLevel="0" collapsed="false">
      <c r="A1296" s="6" t="s">
        <v>251</v>
      </c>
      <c r="B1296" s="6" t="s">
        <v>304</v>
      </c>
      <c r="C1296" s="6" t="s">
        <v>1415</v>
      </c>
      <c r="D1296" s="6" t="s">
        <v>2065</v>
      </c>
    </row>
    <row r="1297" customFormat="false" ht="23.85" hidden="false" customHeight="false" outlineLevel="0" collapsed="false">
      <c r="A1297" s="6" t="s">
        <v>251</v>
      </c>
      <c r="B1297" s="6" t="s">
        <v>265</v>
      </c>
      <c r="C1297" s="6" t="s">
        <v>1415</v>
      </c>
      <c r="D1297" s="6" t="s">
        <v>266</v>
      </c>
    </row>
    <row r="1298" customFormat="false" ht="23.85" hidden="false" customHeight="false" outlineLevel="0" collapsed="false">
      <c r="A1298" s="6" t="s">
        <v>251</v>
      </c>
      <c r="B1298" s="6" t="s">
        <v>138</v>
      </c>
      <c r="C1298" s="6" t="s">
        <v>1488</v>
      </c>
      <c r="D1298" s="6" t="s">
        <v>1489</v>
      </c>
    </row>
    <row r="1299" customFormat="false" ht="35.05" hidden="false" customHeight="false" outlineLevel="0" collapsed="false">
      <c r="A1299" s="6" t="s">
        <v>251</v>
      </c>
      <c r="B1299" s="6" t="s">
        <v>70</v>
      </c>
      <c r="C1299" s="6" t="s">
        <v>1415</v>
      </c>
      <c r="D1299" s="6" t="s">
        <v>1798</v>
      </c>
    </row>
    <row r="1300" customFormat="false" ht="23.85" hidden="false" customHeight="false" outlineLevel="0" collapsed="false">
      <c r="A1300" s="6" t="s">
        <v>251</v>
      </c>
      <c r="B1300" s="6" t="s">
        <v>70</v>
      </c>
      <c r="C1300" s="6" t="s">
        <v>1415</v>
      </c>
      <c r="D1300" s="6" t="s">
        <v>1954</v>
      </c>
    </row>
    <row r="1301" customFormat="false" ht="23.85" hidden="false" customHeight="false" outlineLevel="0" collapsed="false">
      <c r="A1301" s="6" t="s">
        <v>251</v>
      </c>
      <c r="B1301" s="6" t="s">
        <v>70</v>
      </c>
      <c r="C1301" s="6" t="s">
        <v>1415</v>
      </c>
      <c r="D1301" s="6" t="s">
        <v>242</v>
      </c>
    </row>
    <row r="1302" customFormat="false" ht="23.85" hidden="false" customHeight="false" outlineLevel="0" collapsed="false">
      <c r="A1302" s="6" t="s">
        <v>251</v>
      </c>
      <c r="B1302" s="6" t="s">
        <v>70</v>
      </c>
      <c r="C1302" s="6" t="s">
        <v>1415</v>
      </c>
      <c r="D1302" s="6" t="s">
        <v>257</v>
      </c>
    </row>
    <row r="1303" customFormat="false" ht="23.85" hidden="false" customHeight="false" outlineLevel="0" collapsed="false">
      <c r="A1303" s="6" t="s">
        <v>615</v>
      </c>
      <c r="B1303" s="6" t="s">
        <v>568</v>
      </c>
      <c r="C1303" s="6" t="s">
        <v>1415</v>
      </c>
      <c r="D1303" s="6" t="s">
        <v>603</v>
      </c>
    </row>
    <row r="1304" customFormat="false" ht="23.85" hidden="false" customHeight="false" outlineLevel="0" collapsed="false">
      <c r="A1304" s="6" t="s">
        <v>615</v>
      </c>
      <c r="B1304" s="6" t="s">
        <v>304</v>
      </c>
      <c r="C1304" s="6" t="s">
        <v>1415</v>
      </c>
      <c r="D1304" s="6" t="s">
        <v>621</v>
      </c>
    </row>
    <row r="1305" customFormat="false" ht="15" hidden="false" customHeight="false" outlineLevel="0" collapsed="false">
      <c r="A1305" s="6" t="s">
        <v>615</v>
      </c>
      <c r="B1305" s="6" t="s">
        <v>104</v>
      </c>
      <c r="C1305" s="6" t="s">
        <v>1415</v>
      </c>
      <c r="D1305" s="6" t="s">
        <v>2066</v>
      </c>
    </row>
    <row r="1306" customFormat="false" ht="57.45" hidden="false" customHeight="false" outlineLevel="0" collapsed="false">
      <c r="A1306" s="6" t="s">
        <v>826</v>
      </c>
      <c r="B1306" s="6" t="s">
        <v>131</v>
      </c>
      <c r="C1306" s="6" t="s">
        <v>1415</v>
      </c>
      <c r="D1306" s="6" t="s">
        <v>1689</v>
      </c>
    </row>
    <row r="1307" customFormat="false" ht="35.05" hidden="false" customHeight="false" outlineLevel="0" collapsed="false">
      <c r="A1307" s="6" t="s">
        <v>826</v>
      </c>
      <c r="B1307" s="6" t="s">
        <v>378</v>
      </c>
      <c r="C1307" s="6" t="s">
        <v>1415</v>
      </c>
      <c r="D1307" s="6" t="s">
        <v>2067</v>
      </c>
    </row>
    <row r="1308" customFormat="false" ht="23.85" hidden="false" customHeight="false" outlineLevel="0" collapsed="false">
      <c r="A1308" s="6" t="s">
        <v>826</v>
      </c>
      <c r="B1308" s="6" t="s">
        <v>224</v>
      </c>
      <c r="C1308" s="6" t="s">
        <v>1415</v>
      </c>
      <c r="D1308" s="6" t="s">
        <v>831</v>
      </c>
    </row>
    <row r="1309" customFormat="false" ht="15" hidden="false" customHeight="false" outlineLevel="0" collapsed="false">
      <c r="A1309" s="6" t="s">
        <v>826</v>
      </c>
      <c r="B1309" s="6" t="s">
        <v>104</v>
      </c>
      <c r="C1309" s="6" t="s">
        <v>1415</v>
      </c>
      <c r="D1309" s="6" t="s">
        <v>2068</v>
      </c>
    </row>
    <row r="1310" customFormat="false" ht="35.05" hidden="false" customHeight="false" outlineLevel="0" collapsed="false">
      <c r="A1310" s="6" t="s">
        <v>826</v>
      </c>
      <c r="B1310" s="6" t="s">
        <v>147</v>
      </c>
      <c r="C1310" s="6" t="s">
        <v>1695</v>
      </c>
      <c r="D1310" s="6" t="s">
        <v>1696</v>
      </c>
    </row>
    <row r="1311" customFormat="false" ht="23.85" hidden="false" customHeight="false" outlineLevel="0" collapsed="false">
      <c r="A1311" s="6" t="s">
        <v>826</v>
      </c>
      <c r="B1311" s="6" t="s">
        <v>147</v>
      </c>
      <c r="C1311" s="6" t="s">
        <v>1697</v>
      </c>
      <c r="D1311" s="6" t="s">
        <v>1698</v>
      </c>
    </row>
    <row r="1312" customFormat="false" ht="236.55" hidden="false" customHeight="false" outlineLevel="0" collapsed="false">
      <c r="A1312" s="6" t="s">
        <v>1082</v>
      </c>
      <c r="B1312" s="6" t="s">
        <v>68</v>
      </c>
      <c r="C1312" s="6" t="s">
        <v>1521</v>
      </c>
      <c r="D1312" s="6" t="s">
        <v>1522</v>
      </c>
    </row>
    <row r="1313" customFormat="false" ht="23.85" hidden="false" customHeight="false" outlineLevel="0" collapsed="false">
      <c r="A1313" s="6" t="s">
        <v>485</v>
      </c>
      <c r="B1313" s="6" t="s">
        <v>114</v>
      </c>
      <c r="C1313" s="6" t="s">
        <v>1415</v>
      </c>
      <c r="D1313" s="6" t="s">
        <v>1642</v>
      </c>
    </row>
    <row r="1314" customFormat="false" ht="46.25" hidden="false" customHeight="false" outlineLevel="0" collapsed="false">
      <c r="A1314" s="6" t="s">
        <v>485</v>
      </c>
      <c r="B1314" s="6" t="s">
        <v>114</v>
      </c>
      <c r="C1314" s="6" t="s">
        <v>1415</v>
      </c>
      <c r="D1314" s="6" t="s">
        <v>1486</v>
      </c>
    </row>
    <row r="1315" customFormat="false" ht="23.85" hidden="false" customHeight="false" outlineLevel="0" collapsed="false">
      <c r="A1315" s="6" t="s">
        <v>485</v>
      </c>
      <c r="B1315" s="6" t="s">
        <v>114</v>
      </c>
      <c r="C1315" s="6" t="s">
        <v>1415</v>
      </c>
      <c r="D1315" s="6" t="s">
        <v>1568</v>
      </c>
    </row>
    <row r="1316" customFormat="false" ht="23.85" hidden="false" customHeight="false" outlineLevel="0" collapsed="false">
      <c r="A1316" s="6" t="s">
        <v>485</v>
      </c>
      <c r="B1316" s="6" t="s">
        <v>114</v>
      </c>
      <c r="C1316" s="6" t="s">
        <v>1415</v>
      </c>
      <c r="D1316" s="6" t="s">
        <v>1533</v>
      </c>
    </row>
    <row r="1317" customFormat="false" ht="35.05" hidden="false" customHeight="false" outlineLevel="0" collapsed="false">
      <c r="A1317" s="6" t="s">
        <v>485</v>
      </c>
      <c r="B1317" s="6" t="s">
        <v>114</v>
      </c>
      <c r="C1317" s="6" t="s">
        <v>1415</v>
      </c>
      <c r="D1317" s="6" t="s">
        <v>1540</v>
      </c>
    </row>
    <row r="1318" customFormat="false" ht="23.85" hidden="false" customHeight="false" outlineLevel="0" collapsed="false">
      <c r="A1318" s="6" t="s">
        <v>485</v>
      </c>
      <c r="B1318" s="6" t="s">
        <v>114</v>
      </c>
      <c r="C1318" s="6" t="s">
        <v>1415</v>
      </c>
      <c r="D1318" s="6" t="s">
        <v>1542</v>
      </c>
    </row>
    <row r="1319" customFormat="false" ht="23.85" hidden="false" customHeight="false" outlineLevel="0" collapsed="false">
      <c r="A1319" s="6" t="s">
        <v>485</v>
      </c>
      <c r="B1319" s="6" t="s">
        <v>114</v>
      </c>
      <c r="C1319" s="6" t="s">
        <v>1415</v>
      </c>
      <c r="D1319" s="6" t="s">
        <v>1543</v>
      </c>
    </row>
    <row r="1320" customFormat="false" ht="15" hidden="false" customHeight="false" outlineLevel="0" collapsed="false">
      <c r="A1320" s="6" t="s">
        <v>485</v>
      </c>
      <c r="B1320" s="6" t="s">
        <v>114</v>
      </c>
      <c r="C1320" s="6" t="s">
        <v>1415</v>
      </c>
      <c r="D1320" s="6" t="s">
        <v>2069</v>
      </c>
    </row>
    <row r="1321" customFormat="false" ht="15" hidden="false" customHeight="false" outlineLevel="0" collapsed="false">
      <c r="A1321" s="6" t="s">
        <v>485</v>
      </c>
      <c r="B1321" s="6" t="s">
        <v>131</v>
      </c>
      <c r="C1321" s="6" t="s">
        <v>1415</v>
      </c>
      <c r="D1321" s="6" t="s">
        <v>2070</v>
      </c>
    </row>
    <row r="1322" customFormat="false" ht="15" hidden="false" customHeight="false" outlineLevel="0" collapsed="false">
      <c r="A1322" s="6" t="s">
        <v>485</v>
      </c>
      <c r="B1322" s="6" t="s">
        <v>131</v>
      </c>
      <c r="C1322" s="6" t="s">
        <v>1415</v>
      </c>
      <c r="D1322" s="6" t="s">
        <v>2071</v>
      </c>
    </row>
    <row r="1323" customFormat="false" ht="23.85" hidden="false" customHeight="false" outlineLevel="0" collapsed="false">
      <c r="A1323" s="6" t="s">
        <v>485</v>
      </c>
      <c r="B1323" s="6" t="s">
        <v>131</v>
      </c>
      <c r="C1323" s="6" t="s">
        <v>1415</v>
      </c>
      <c r="D1323" s="6" t="s">
        <v>2072</v>
      </c>
    </row>
    <row r="1324" customFormat="false" ht="23.85" hidden="false" customHeight="false" outlineLevel="0" collapsed="false">
      <c r="A1324" s="6" t="s">
        <v>485</v>
      </c>
      <c r="B1324" s="6" t="s">
        <v>131</v>
      </c>
      <c r="C1324" s="6" t="s">
        <v>1415</v>
      </c>
      <c r="D1324" s="6" t="s">
        <v>499</v>
      </c>
    </row>
    <row r="1325" customFormat="false" ht="15" hidden="false" customHeight="false" outlineLevel="0" collapsed="false">
      <c r="A1325" s="6" t="s">
        <v>485</v>
      </c>
      <c r="B1325" s="6" t="s">
        <v>131</v>
      </c>
      <c r="C1325" s="6" t="s">
        <v>1415</v>
      </c>
      <c r="D1325" s="6" t="s">
        <v>1569</v>
      </c>
    </row>
    <row r="1326" customFormat="false" ht="23.85" hidden="false" customHeight="false" outlineLevel="0" collapsed="false">
      <c r="A1326" s="6" t="s">
        <v>485</v>
      </c>
      <c r="B1326" s="6" t="s">
        <v>378</v>
      </c>
      <c r="C1326" s="6" t="s">
        <v>1415</v>
      </c>
      <c r="D1326" s="6" t="s">
        <v>463</v>
      </c>
    </row>
    <row r="1327" customFormat="false" ht="35.05" hidden="false" customHeight="false" outlineLevel="0" collapsed="false">
      <c r="A1327" s="6" t="s">
        <v>485</v>
      </c>
      <c r="B1327" s="6" t="s">
        <v>104</v>
      </c>
      <c r="C1327" s="6" t="s">
        <v>1415</v>
      </c>
      <c r="D1327" s="6" t="s">
        <v>164</v>
      </c>
    </row>
    <row r="1328" customFormat="false" ht="23.85" hidden="false" customHeight="false" outlineLevel="0" collapsed="false">
      <c r="A1328" s="6" t="s">
        <v>485</v>
      </c>
      <c r="B1328" s="6" t="s">
        <v>104</v>
      </c>
      <c r="C1328" s="6" t="s">
        <v>1415</v>
      </c>
      <c r="D1328" s="6" t="s">
        <v>1996</v>
      </c>
    </row>
    <row r="1329" customFormat="false" ht="79.85" hidden="false" customHeight="false" outlineLevel="0" collapsed="false">
      <c r="A1329" s="6" t="s">
        <v>485</v>
      </c>
      <c r="B1329" s="6" t="s">
        <v>104</v>
      </c>
      <c r="C1329" s="6" t="s">
        <v>1415</v>
      </c>
      <c r="D1329" s="6" t="s">
        <v>115</v>
      </c>
    </row>
    <row r="1330" customFormat="false" ht="135.8" hidden="false" customHeight="false" outlineLevel="0" collapsed="false">
      <c r="A1330" s="6" t="s">
        <v>787</v>
      </c>
      <c r="B1330" s="6" t="s">
        <v>393</v>
      </c>
      <c r="C1330" s="6" t="s">
        <v>2073</v>
      </c>
      <c r="D1330" s="6" t="s">
        <v>2074</v>
      </c>
    </row>
    <row r="1331" customFormat="false" ht="15" hidden="false" customHeight="false" outlineLevel="0" collapsed="false">
      <c r="A1331" s="6" t="s">
        <v>258</v>
      </c>
      <c r="B1331" s="6" t="s">
        <v>264</v>
      </c>
      <c r="C1331" s="6" t="s">
        <v>1415</v>
      </c>
      <c r="D1331" s="6" t="s">
        <v>1946</v>
      </c>
    </row>
    <row r="1332" customFormat="false" ht="23.85" hidden="false" customHeight="false" outlineLevel="0" collapsed="false">
      <c r="A1332" s="6" t="s">
        <v>258</v>
      </c>
      <c r="B1332" s="6" t="s">
        <v>264</v>
      </c>
      <c r="C1332" s="6" t="s">
        <v>1415</v>
      </c>
      <c r="D1332" s="6" t="s">
        <v>2075</v>
      </c>
    </row>
    <row r="1333" customFormat="false" ht="23.85" hidden="false" customHeight="false" outlineLevel="0" collapsed="false">
      <c r="A1333" s="6" t="s">
        <v>258</v>
      </c>
      <c r="B1333" s="6" t="s">
        <v>265</v>
      </c>
      <c r="C1333" s="6" t="s">
        <v>1415</v>
      </c>
      <c r="D1333" s="6" t="s">
        <v>266</v>
      </c>
    </row>
    <row r="1334" customFormat="false" ht="158.2" hidden="false" customHeight="false" outlineLevel="0" collapsed="false">
      <c r="A1334" s="6" t="s">
        <v>622</v>
      </c>
      <c r="B1334" s="6" t="s">
        <v>68</v>
      </c>
      <c r="C1334" s="6" t="s">
        <v>1578</v>
      </c>
      <c r="D1334" s="6" t="s">
        <v>1579</v>
      </c>
    </row>
    <row r="1335" customFormat="false" ht="15" hidden="false" customHeight="false" outlineLevel="0" collapsed="false">
      <c r="A1335" s="6" t="s">
        <v>691</v>
      </c>
      <c r="B1335" s="6" t="s">
        <v>378</v>
      </c>
      <c r="C1335" s="6" t="s">
        <v>1415</v>
      </c>
      <c r="D1335" s="6" t="s">
        <v>1783</v>
      </c>
    </row>
    <row r="1336" customFormat="false" ht="15" hidden="false" customHeight="false" outlineLevel="0" collapsed="false">
      <c r="A1336" s="6" t="s">
        <v>691</v>
      </c>
      <c r="B1336" s="6" t="s">
        <v>378</v>
      </c>
      <c r="C1336" s="6" t="s">
        <v>1415</v>
      </c>
      <c r="D1336" s="6" t="s">
        <v>2076</v>
      </c>
    </row>
    <row r="1337" customFormat="false" ht="15" hidden="false" customHeight="false" outlineLevel="0" collapsed="false">
      <c r="A1337" s="6" t="s">
        <v>691</v>
      </c>
      <c r="B1337" s="6" t="s">
        <v>378</v>
      </c>
      <c r="C1337" s="6" t="s">
        <v>1415</v>
      </c>
      <c r="D1337" s="6" t="s">
        <v>2077</v>
      </c>
    </row>
    <row r="1338" customFormat="false" ht="15" hidden="false" customHeight="false" outlineLevel="0" collapsed="false">
      <c r="A1338" s="6" t="s">
        <v>691</v>
      </c>
      <c r="B1338" s="6" t="s">
        <v>378</v>
      </c>
      <c r="C1338" s="6" t="s">
        <v>1415</v>
      </c>
      <c r="D1338" s="6" t="s">
        <v>1784</v>
      </c>
    </row>
    <row r="1339" customFormat="false" ht="23.85" hidden="false" customHeight="false" outlineLevel="0" collapsed="false">
      <c r="A1339" s="6" t="s">
        <v>691</v>
      </c>
      <c r="B1339" s="6" t="s">
        <v>224</v>
      </c>
      <c r="C1339" s="6" t="s">
        <v>1415</v>
      </c>
      <c r="D1339" s="6" t="s">
        <v>648</v>
      </c>
    </row>
    <row r="1340" customFormat="false" ht="15" hidden="false" customHeight="false" outlineLevel="0" collapsed="false">
      <c r="A1340" s="6" t="s">
        <v>691</v>
      </c>
      <c r="B1340" s="6" t="s">
        <v>265</v>
      </c>
      <c r="C1340" s="6" t="s">
        <v>1415</v>
      </c>
      <c r="D1340" s="6" t="s">
        <v>1583</v>
      </c>
    </row>
    <row r="1341" customFormat="false" ht="23.85" hidden="false" customHeight="false" outlineLevel="0" collapsed="false">
      <c r="A1341" s="6" t="s">
        <v>439</v>
      </c>
      <c r="B1341" s="6" t="s">
        <v>156</v>
      </c>
      <c r="C1341" s="6" t="s">
        <v>1415</v>
      </c>
      <c r="D1341" s="6" t="s">
        <v>1474</v>
      </c>
    </row>
    <row r="1342" customFormat="false" ht="46.25" hidden="false" customHeight="false" outlineLevel="0" collapsed="false">
      <c r="A1342" s="6" t="s">
        <v>439</v>
      </c>
      <c r="B1342" s="6" t="s">
        <v>156</v>
      </c>
      <c r="C1342" s="6" t="s">
        <v>1415</v>
      </c>
      <c r="D1342" s="6" t="s">
        <v>1475</v>
      </c>
    </row>
    <row r="1343" customFormat="false" ht="35.05" hidden="false" customHeight="false" outlineLevel="0" collapsed="false">
      <c r="A1343" s="6" t="s">
        <v>439</v>
      </c>
      <c r="B1343" s="6" t="s">
        <v>296</v>
      </c>
      <c r="C1343" s="6" t="s">
        <v>1415</v>
      </c>
      <c r="D1343" s="6" t="s">
        <v>430</v>
      </c>
    </row>
    <row r="1344" customFormat="false" ht="46.25" hidden="false" customHeight="false" outlineLevel="0" collapsed="false">
      <c r="A1344" s="6" t="s">
        <v>439</v>
      </c>
      <c r="B1344" s="6" t="s">
        <v>296</v>
      </c>
      <c r="C1344" s="6" t="s">
        <v>1415</v>
      </c>
      <c r="D1344" s="6" t="s">
        <v>1510</v>
      </c>
    </row>
    <row r="1345" customFormat="false" ht="23.85" hidden="false" customHeight="false" outlineLevel="0" collapsed="false">
      <c r="A1345" s="6" t="s">
        <v>439</v>
      </c>
      <c r="B1345" s="6" t="s">
        <v>296</v>
      </c>
      <c r="C1345" s="6" t="s">
        <v>1415</v>
      </c>
      <c r="D1345" s="6" t="s">
        <v>1511</v>
      </c>
    </row>
    <row r="1346" customFormat="false" ht="35.05" hidden="false" customHeight="false" outlineLevel="0" collapsed="false">
      <c r="A1346" s="6" t="s">
        <v>439</v>
      </c>
      <c r="B1346" s="6" t="s">
        <v>296</v>
      </c>
      <c r="C1346" s="6" t="s">
        <v>1415</v>
      </c>
      <c r="D1346" s="6" t="s">
        <v>1512</v>
      </c>
    </row>
    <row r="1347" customFormat="false" ht="35.05" hidden="false" customHeight="false" outlineLevel="0" collapsed="false">
      <c r="A1347" s="6" t="s">
        <v>439</v>
      </c>
      <c r="B1347" s="6" t="s">
        <v>296</v>
      </c>
      <c r="C1347" s="6" t="s">
        <v>1415</v>
      </c>
      <c r="D1347" s="6" t="s">
        <v>2078</v>
      </c>
    </row>
    <row r="1348" customFormat="false" ht="35.05" hidden="false" customHeight="false" outlineLevel="0" collapsed="false">
      <c r="A1348" s="6" t="s">
        <v>439</v>
      </c>
      <c r="B1348" s="6" t="s">
        <v>264</v>
      </c>
      <c r="C1348" s="6" t="s">
        <v>1415</v>
      </c>
      <c r="D1348" s="6" t="s">
        <v>1452</v>
      </c>
    </row>
    <row r="1349" customFormat="false" ht="46.25" hidden="false" customHeight="false" outlineLevel="0" collapsed="false">
      <c r="A1349" s="6" t="s">
        <v>439</v>
      </c>
      <c r="B1349" s="6" t="s">
        <v>264</v>
      </c>
      <c r="C1349" s="6" t="s">
        <v>1415</v>
      </c>
      <c r="D1349" s="6" t="s">
        <v>446</v>
      </c>
    </row>
    <row r="1350" customFormat="false" ht="214.15" hidden="false" customHeight="false" outlineLevel="0" collapsed="false">
      <c r="A1350" s="6" t="s">
        <v>696</v>
      </c>
      <c r="B1350" s="6" t="s">
        <v>68</v>
      </c>
      <c r="C1350" s="6" t="s">
        <v>1621</v>
      </c>
      <c r="D1350" s="6" t="s">
        <v>1622</v>
      </c>
    </row>
    <row r="1351" customFormat="false" ht="35.05" hidden="false" customHeight="false" outlineLevel="0" collapsed="false">
      <c r="A1351" s="6" t="s">
        <v>401</v>
      </c>
      <c r="B1351" s="6" t="s">
        <v>156</v>
      </c>
      <c r="C1351" s="6" t="s">
        <v>1415</v>
      </c>
      <c r="D1351" s="6" t="s">
        <v>1572</v>
      </c>
    </row>
    <row r="1352" customFormat="false" ht="35.05" hidden="false" customHeight="false" outlineLevel="0" collapsed="false">
      <c r="A1352" s="6" t="s">
        <v>401</v>
      </c>
      <c r="B1352" s="6" t="s">
        <v>296</v>
      </c>
      <c r="C1352" s="6" t="s">
        <v>1415</v>
      </c>
      <c r="D1352" s="6" t="s">
        <v>430</v>
      </c>
    </row>
    <row r="1353" customFormat="false" ht="23.85" hidden="false" customHeight="false" outlineLevel="0" collapsed="false">
      <c r="A1353" s="6" t="s">
        <v>401</v>
      </c>
      <c r="B1353" s="6" t="s">
        <v>264</v>
      </c>
      <c r="C1353" s="6" t="s">
        <v>1415</v>
      </c>
      <c r="D1353" s="6" t="s">
        <v>1487</v>
      </c>
    </row>
    <row r="1354" customFormat="false" ht="23.85" hidden="false" customHeight="false" outlineLevel="0" collapsed="false">
      <c r="A1354" s="6" t="s">
        <v>401</v>
      </c>
      <c r="B1354" s="6" t="s">
        <v>264</v>
      </c>
      <c r="C1354" s="6" t="s">
        <v>1415</v>
      </c>
      <c r="D1354" s="6" t="s">
        <v>209</v>
      </c>
    </row>
    <row r="1355" customFormat="false" ht="23.85" hidden="false" customHeight="false" outlineLevel="0" collapsed="false">
      <c r="A1355" s="6" t="s">
        <v>401</v>
      </c>
      <c r="B1355" s="6" t="s">
        <v>138</v>
      </c>
      <c r="C1355" s="6" t="s">
        <v>1488</v>
      </c>
      <c r="D1355" s="6" t="s">
        <v>1489</v>
      </c>
    </row>
    <row r="1356" customFormat="false" ht="46.25" hidden="false" customHeight="false" outlineLevel="0" collapsed="false">
      <c r="A1356" s="6" t="s">
        <v>401</v>
      </c>
      <c r="B1356" s="6" t="s">
        <v>70</v>
      </c>
      <c r="C1356" s="6" t="s">
        <v>1415</v>
      </c>
      <c r="D1356" s="6" t="s">
        <v>407</v>
      </c>
    </row>
    <row r="1357" customFormat="false" ht="135.8" hidden="false" customHeight="false" outlineLevel="0" collapsed="false">
      <c r="A1357" s="6" t="s">
        <v>401</v>
      </c>
      <c r="B1357" s="6" t="s">
        <v>393</v>
      </c>
      <c r="C1357" s="6" t="s">
        <v>1661</v>
      </c>
      <c r="D1357" s="6" t="s">
        <v>1662</v>
      </c>
    </row>
    <row r="1358" customFormat="false" ht="35.05" hidden="false" customHeight="false" outlineLevel="0" collapsed="false">
      <c r="A1358" s="6" t="s">
        <v>180</v>
      </c>
      <c r="B1358" s="6" t="s">
        <v>114</v>
      </c>
      <c r="C1358" s="6" t="s">
        <v>1415</v>
      </c>
      <c r="D1358" s="6" t="s">
        <v>1477</v>
      </c>
    </row>
    <row r="1359" customFormat="false" ht="15" hidden="false" customHeight="false" outlineLevel="0" collapsed="false">
      <c r="A1359" s="6" t="s">
        <v>180</v>
      </c>
      <c r="B1359" s="6" t="s">
        <v>114</v>
      </c>
      <c r="C1359" s="6" t="s">
        <v>1415</v>
      </c>
      <c r="D1359" s="6" t="s">
        <v>1434</v>
      </c>
    </row>
    <row r="1360" customFormat="false" ht="23.85" hidden="false" customHeight="false" outlineLevel="0" collapsed="false">
      <c r="A1360" s="6" t="s">
        <v>180</v>
      </c>
      <c r="B1360" s="6" t="s">
        <v>114</v>
      </c>
      <c r="C1360" s="6" t="s">
        <v>1415</v>
      </c>
      <c r="D1360" s="6" t="s">
        <v>1478</v>
      </c>
    </row>
    <row r="1361" customFormat="false" ht="23.85" hidden="false" customHeight="false" outlineLevel="0" collapsed="false">
      <c r="A1361" s="6" t="s">
        <v>180</v>
      </c>
      <c r="B1361" s="6" t="s">
        <v>114</v>
      </c>
      <c r="C1361" s="6" t="s">
        <v>1415</v>
      </c>
      <c r="D1361" s="6" t="s">
        <v>1479</v>
      </c>
    </row>
    <row r="1362" customFormat="false" ht="57.45" hidden="false" customHeight="false" outlineLevel="0" collapsed="false">
      <c r="A1362" s="6" t="s">
        <v>180</v>
      </c>
      <c r="B1362" s="6" t="s">
        <v>114</v>
      </c>
      <c r="C1362" s="6" t="s">
        <v>1415</v>
      </c>
      <c r="D1362" s="6" t="s">
        <v>1896</v>
      </c>
    </row>
    <row r="1363" customFormat="false" ht="46.25" hidden="false" customHeight="false" outlineLevel="0" collapsed="false">
      <c r="A1363" s="6" t="s">
        <v>180</v>
      </c>
      <c r="B1363" s="6" t="s">
        <v>296</v>
      </c>
      <c r="C1363" s="6" t="s">
        <v>1415</v>
      </c>
      <c r="D1363" s="6" t="s">
        <v>1510</v>
      </c>
    </row>
    <row r="1364" customFormat="false" ht="23.85" hidden="false" customHeight="false" outlineLevel="0" collapsed="false">
      <c r="A1364" s="6" t="s">
        <v>180</v>
      </c>
      <c r="B1364" s="6" t="s">
        <v>296</v>
      </c>
      <c r="C1364" s="6" t="s">
        <v>1415</v>
      </c>
      <c r="D1364" s="6" t="s">
        <v>1511</v>
      </c>
    </row>
    <row r="1365" customFormat="false" ht="35.05" hidden="false" customHeight="false" outlineLevel="0" collapsed="false">
      <c r="A1365" s="6" t="s">
        <v>180</v>
      </c>
      <c r="B1365" s="6" t="s">
        <v>296</v>
      </c>
      <c r="C1365" s="6" t="s">
        <v>1415</v>
      </c>
      <c r="D1365" s="6" t="s">
        <v>1512</v>
      </c>
    </row>
    <row r="1366" customFormat="false" ht="23.85" hidden="false" customHeight="false" outlineLevel="0" collapsed="false">
      <c r="A1366" s="6" t="s">
        <v>180</v>
      </c>
      <c r="B1366" s="6" t="s">
        <v>296</v>
      </c>
      <c r="C1366" s="6" t="s">
        <v>1415</v>
      </c>
      <c r="D1366" s="6" t="s">
        <v>1971</v>
      </c>
    </row>
    <row r="1367" customFormat="false" ht="35.05" hidden="false" customHeight="false" outlineLevel="0" collapsed="false">
      <c r="A1367" s="6" t="s">
        <v>180</v>
      </c>
      <c r="B1367" s="6" t="s">
        <v>296</v>
      </c>
      <c r="C1367" s="6" t="s">
        <v>1415</v>
      </c>
      <c r="D1367" s="6" t="s">
        <v>1972</v>
      </c>
    </row>
    <row r="1368" customFormat="false" ht="15" hidden="false" customHeight="false" outlineLevel="0" collapsed="false">
      <c r="A1368" s="6" t="s">
        <v>180</v>
      </c>
      <c r="B1368" s="6" t="s">
        <v>296</v>
      </c>
      <c r="C1368" s="6" t="s">
        <v>1415</v>
      </c>
      <c r="D1368" s="6" t="s">
        <v>1974</v>
      </c>
    </row>
    <row r="1369" customFormat="false" ht="35.05" hidden="false" customHeight="false" outlineLevel="0" collapsed="false">
      <c r="A1369" s="6" t="s">
        <v>180</v>
      </c>
      <c r="B1369" s="6" t="s">
        <v>378</v>
      </c>
      <c r="C1369" s="6" t="s">
        <v>1415</v>
      </c>
      <c r="D1369" s="6" t="s">
        <v>2079</v>
      </c>
    </row>
    <row r="1370" customFormat="false" ht="15" hidden="false" customHeight="false" outlineLevel="0" collapsed="false">
      <c r="A1370" s="6" t="s">
        <v>180</v>
      </c>
      <c r="B1370" s="6" t="s">
        <v>1923</v>
      </c>
      <c r="C1370" s="6" t="s">
        <v>1415</v>
      </c>
      <c r="D1370" s="6" t="s">
        <v>1924</v>
      </c>
    </row>
    <row r="1371" customFormat="false" ht="15" hidden="false" customHeight="false" outlineLevel="0" collapsed="false">
      <c r="A1371" s="6" t="s">
        <v>180</v>
      </c>
      <c r="B1371" s="6" t="s">
        <v>1923</v>
      </c>
      <c r="C1371" s="6" t="s">
        <v>1415</v>
      </c>
      <c r="D1371" s="6" t="s">
        <v>1926</v>
      </c>
    </row>
    <row r="1372" customFormat="false" ht="35.05" hidden="false" customHeight="false" outlineLevel="0" collapsed="false">
      <c r="A1372" s="6" t="s">
        <v>180</v>
      </c>
      <c r="B1372" s="6" t="s">
        <v>1923</v>
      </c>
      <c r="C1372" s="6" t="s">
        <v>1415</v>
      </c>
      <c r="D1372" s="6" t="s">
        <v>1927</v>
      </c>
    </row>
    <row r="1373" customFormat="false" ht="23.85" hidden="false" customHeight="false" outlineLevel="0" collapsed="false">
      <c r="A1373" s="6" t="s">
        <v>180</v>
      </c>
      <c r="B1373" s="6" t="s">
        <v>224</v>
      </c>
      <c r="C1373" s="6" t="s">
        <v>1415</v>
      </c>
      <c r="D1373" s="6" t="s">
        <v>1437</v>
      </c>
    </row>
    <row r="1374" customFormat="false" ht="23.85" hidden="false" customHeight="false" outlineLevel="0" collapsed="false">
      <c r="A1374" s="6" t="s">
        <v>180</v>
      </c>
      <c r="B1374" s="6" t="s">
        <v>224</v>
      </c>
      <c r="C1374" s="6" t="s">
        <v>1415</v>
      </c>
      <c r="D1374" s="6" t="s">
        <v>423</v>
      </c>
    </row>
    <row r="1375" customFormat="false" ht="15" hidden="false" customHeight="false" outlineLevel="0" collapsed="false">
      <c r="A1375" s="6" t="s">
        <v>180</v>
      </c>
      <c r="B1375" s="6" t="s">
        <v>138</v>
      </c>
      <c r="C1375" s="6" t="s">
        <v>1415</v>
      </c>
      <c r="D1375" s="6" t="s">
        <v>1849</v>
      </c>
    </row>
    <row r="1376" customFormat="false" ht="23.85" hidden="false" customHeight="false" outlineLevel="0" collapsed="false">
      <c r="A1376" s="6" t="s">
        <v>180</v>
      </c>
      <c r="B1376" s="6" t="s">
        <v>138</v>
      </c>
      <c r="C1376" s="6" t="s">
        <v>1415</v>
      </c>
      <c r="D1376" s="6" t="s">
        <v>1440</v>
      </c>
    </row>
    <row r="1377" customFormat="false" ht="23.85" hidden="false" customHeight="false" outlineLevel="0" collapsed="false">
      <c r="A1377" s="6" t="s">
        <v>180</v>
      </c>
      <c r="B1377" s="6" t="s">
        <v>138</v>
      </c>
      <c r="C1377" s="6" t="s">
        <v>1415</v>
      </c>
      <c r="D1377" s="6" t="s">
        <v>2080</v>
      </c>
    </row>
    <row r="1378" customFormat="false" ht="23.85" hidden="false" customHeight="false" outlineLevel="0" collapsed="false">
      <c r="A1378" s="6" t="s">
        <v>180</v>
      </c>
      <c r="B1378" s="6" t="s">
        <v>138</v>
      </c>
      <c r="C1378" s="6" t="s">
        <v>1415</v>
      </c>
      <c r="D1378" s="6" t="s">
        <v>2081</v>
      </c>
    </row>
    <row r="1379" customFormat="false" ht="15" hidden="false" customHeight="false" outlineLevel="0" collapsed="false">
      <c r="A1379" s="6" t="s">
        <v>180</v>
      </c>
      <c r="B1379" s="6" t="s">
        <v>138</v>
      </c>
      <c r="C1379" s="6" t="s">
        <v>1415</v>
      </c>
      <c r="D1379" s="6" t="s">
        <v>2082</v>
      </c>
    </row>
    <row r="1380" customFormat="false" ht="35.05" hidden="false" customHeight="false" outlineLevel="0" collapsed="false">
      <c r="A1380" s="6" t="s">
        <v>180</v>
      </c>
      <c r="B1380" s="6" t="s">
        <v>138</v>
      </c>
      <c r="C1380" s="6" t="s">
        <v>1415</v>
      </c>
      <c r="D1380" s="6" t="s">
        <v>371</v>
      </c>
    </row>
    <row r="1381" customFormat="false" ht="23.85" hidden="false" customHeight="false" outlineLevel="0" collapsed="false">
      <c r="A1381" s="6" t="s">
        <v>180</v>
      </c>
      <c r="B1381" s="6" t="s">
        <v>138</v>
      </c>
      <c r="C1381" s="6" t="s">
        <v>1415</v>
      </c>
      <c r="D1381" s="6" t="s">
        <v>139</v>
      </c>
    </row>
    <row r="1382" customFormat="false" ht="23.85" hidden="false" customHeight="false" outlineLevel="0" collapsed="false">
      <c r="A1382" s="6" t="s">
        <v>180</v>
      </c>
      <c r="B1382" s="6" t="s">
        <v>70</v>
      </c>
      <c r="C1382" s="6" t="s">
        <v>1415</v>
      </c>
      <c r="D1382" s="6" t="s">
        <v>1684</v>
      </c>
    </row>
    <row r="1383" customFormat="false" ht="35.05" hidden="false" customHeight="false" outlineLevel="0" collapsed="false">
      <c r="A1383" s="6" t="s">
        <v>180</v>
      </c>
      <c r="B1383" s="6" t="s">
        <v>70</v>
      </c>
      <c r="C1383" s="6" t="s">
        <v>1415</v>
      </c>
      <c r="D1383" s="6" t="s">
        <v>87</v>
      </c>
    </row>
    <row r="1384" customFormat="false" ht="15" hidden="false" customHeight="false" outlineLevel="0" collapsed="false">
      <c r="A1384" s="6" t="s">
        <v>180</v>
      </c>
      <c r="B1384" s="6" t="s">
        <v>95</v>
      </c>
      <c r="C1384" s="6" t="s">
        <v>1415</v>
      </c>
      <c r="D1384" s="6" t="s">
        <v>2083</v>
      </c>
    </row>
    <row r="1385" customFormat="false" ht="23.85" hidden="false" customHeight="false" outlineLevel="0" collapsed="false">
      <c r="A1385" s="6" t="s">
        <v>180</v>
      </c>
      <c r="B1385" s="6" t="s">
        <v>95</v>
      </c>
      <c r="C1385" s="6" t="s">
        <v>1415</v>
      </c>
      <c r="D1385" s="6" t="s">
        <v>2084</v>
      </c>
    </row>
    <row r="1386" customFormat="false" ht="23.85" hidden="false" customHeight="false" outlineLevel="0" collapsed="false">
      <c r="A1386" s="6" t="s">
        <v>180</v>
      </c>
      <c r="B1386" s="6" t="s">
        <v>95</v>
      </c>
      <c r="C1386" s="6" t="s">
        <v>1415</v>
      </c>
      <c r="D1386" s="6" t="s">
        <v>2085</v>
      </c>
    </row>
    <row r="1387" customFormat="false" ht="35.05" hidden="false" customHeight="false" outlineLevel="0" collapsed="false">
      <c r="A1387" s="6" t="s">
        <v>180</v>
      </c>
      <c r="B1387" s="6" t="s">
        <v>95</v>
      </c>
      <c r="C1387" s="6" t="s">
        <v>1415</v>
      </c>
      <c r="D1387" s="6" t="s">
        <v>2086</v>
      </c>
    </row>
    <row r="1388" customFormat="false" ht="57.45" hidden="false" customHeight="false" outlineLevel="0" collapsed="false">
      <c r="A1388" s="6" t="s">
        <v>180</v>
      </c>
      <c r="B1388" s="6" t="s">
        <v>95</v>
      </c>
      <c r="C1388" s="6" t="s">
        <v>1415</v>
      </c>
      <c r="D1388" s="6" t="s">
        <v>1529</v>
      </c>
    </row>
    <row r="1389" customFormat="false" ht="23.85" hidden="false" customHeight="false" outlineLevel="0" collapsed="false">
      <c r="A1389" s="6" t="s">
        <v>180</v>
      </c>
      <c r="B1389" s="6" t="s">
        <v>95</v>
      </c>
      <c r="C1389" s="6" t="s">
        <v>1415</v>
      </c>
      <c r="D1389" s="6" t="s">
        <v>2087</v>
      </c>
    </row>
    <row r="1390" customFormat="false" ht="23.85" hidden="false" customHeight="false" outlineLevel="0" collapsed="false">
      <c r="A1390" s="6" t="s">
        <v>180</v>
      </c>
      <c r="B1390" s="6" t="s">
        <v>95</v>
      </c>
      <c r="C1390" s="6" t="s">
        <v>1415</v>
      </c>
      <c r="D1390" s="6" t="s">
        <v>2088</v>
      </c>
    </row>
    <row r="1391" customFormat="false" ht="15" hidden="false" customHeight="false" outlineLevel="0" collapsed="false">
      <c r="A1391" s="6" t="s">
        <v>180</v>
      </c>
      <c r="B1391" s="6" t="s">
        <v>95</v>
      </c>
      <c r="C1391" s="6" t="s">
        <v>1415</v>
      </c>
      <c r="D1391" s="6" t="s">
        <v>2089</v>
      </c>
    </row>
    <row r="1392" customFormat="false" ht="23.85" hidden="false" customHeight="false" outlineLevel="0" collapsed="false">
      <c r="A1392" s="6" t="s">
        <v>180</v>
      </c>
      <c r="B1392" s="6" t="s">
        <v>95</v>
      </c>
      <c r="C1392" s="6" t="s">
        <v>1415</v>
      </c>
      <c r="D1392" s="6" t="s">
        <v>1484</v>
      </c>
    </row>
    <row r="1393" customFormat="false" ht="23.85" hidden="false" customHeight="false" outlineLevel="0" collapsed="false">
      <c r="A1393" s="6" t="s">
        <v>180</v>
      </c>
      <c r="B1393" s="6" t="s">
        <v>104</v>
      </c>
      <c r="C1393" s="6" t="s">
        <v>1415</v>
      </c>
      <c r="D1393" s="6" t="s">
        <v>1693</v>
      </c>
    </row>
    <row r="1394" customFormat="false" ht="23.85" hidden="false" customHeight="false" outlineLevel="0" collapsed="false">
      <c r="A1394" s="6" t="s">
        <v>180</v>
      </c>
      <c r="B1394" s="6" t="s">
        <v>104</v>
      </c>
      <c r="C1394" s="6" t="s">
        <v>1415</v>
      </c>
      <c r="D1394" s="6" t="s">
        <v>2090</v>
      </c>
    </row>
    <row r="1395" customFormat="false" ht="15" hidden="false" customHeight="false" outlineLevel="0" collapsed="false">
      <c r="A1395" s="6" t="s">
        <v>180</v>
      </c>
      <c r="B1395" s="6" t="s">
        <v>104</v>
      </c>
      <c r="C1395" s="6" t="s">
        <v>1415</v>
      </c>
      <c r="D1395" s="6" t="s">
        <v>1615</v>
      </c>
    </row>
    <row r="1396" customFormat="false" ht="15" hidden="false" customHeight="false" outlineLevel="0" collapsed="false">
      <c r="A1396" s="6" t="s">
        <v>180</v>
      </c>
      <c r="B1396" s="6" t="s">
        <v>104</v>
      </c>
      <c r="C1396" s="6" t="s">
        <v>1415</v>
      </c>
      <c r="D1396" s="6" t="s">
        <v>2091</v>
      </c>
    </row>
    <row r="1397" customFormat="false" ht="15" hidden="false" customHeight="false" outlineLevel="0" collapsed="false">
      <c r="A1397" s="6" t="s">
        <v>180</v>
      </c>
      <c r="B1397" s="6" t="s">
        <v>104</v>
      </c>
      <c r="C1397" s="6" t="s">
        <v>1415</v>
      </c>
      <c r="D1397" s="6" t="s">
        <v>2092</v>
      </c>
    </row>
    <row r="1398" customFormat="false" ht="15" hidden="false" customHeight="false" outlineLevel="0" collapsed="false">
      <c r="A1398" s="6" t="s">
        <v>180</v>
      </c>
      <c r="B1398" s="6" t="s">
        <v>104</v>
      </c>
      <c r="C1398" s="6" t="s">
        <v>1415</v>
      </c>
      <c r="D1398" s="6" t="s">
        <v>2093</v>
      </c>
    </row>
    <row r="1399" customFormat="false" ht="15" hidden="false" customHeight="false" outlineLevel="0" collapsed="false">
      <c r="A1399" s="6" t="s">
        <v>180</v>
      </c>
      <c r="B1399" s="6" t="s">
        <v>104</v>
      </c>
      <c r="C1399" s="6" t="s">
        <v>1415</v>
      </c>
      <c r="D1399" s="6" t="s">
        <v>2094</v>
      </c>
    </row>
    <row r="1400" customFormat="false" ht="23.85" hidden="false" customHeight="false" outlineLevel="0" collapsed="false">
      <c r="A1400" s="6" t="s">
        <v>180</v>
      </c>
      <c r="B1400" s="6" t="s">
        <v>104</v>
      </c>
      <c r="C1400" s="6" t="s">
        <v>1415</v>
      </c>
      <c r="D1400" s="6" t="s">
        <v>2095</v>
      </c>
    </row>
    <row r="1401" customFormat="false" ht="35.05" hidden="false" customHeight="false" outlineLevel="0" collapsed="false">
      <c r="A1401" s="6" t="s">
        <v>180</v>
      </c>
      <c r="B1401" s="6" t="s">
        <v>104</v>
      </c>
      <c r="C1401" s="6" t="s">
        <v>1415</v>
      </c>
      <c r="D1401" s="6" t="s">
        <v>2096</v>
      </c>
    </row>
    <row r="1402" customFormat="false" ht="23.85" hidden="false" customHeight="false" outlineLevel="0" collapsed="false">
      <c r="A1402" s="6" t="s">
        <v>180</v>
      </c>
      <c r="B1402" s="6" t="s">
        <v>104</v>
      </c>
      <c r="C1402" s="6" t="s">
        <v>1415</v>
      </c>
      <c r="D1402" s="6" t="s">
        <v>187</v>
      </c>
    </row>
    <row r="1403" customFormat="false" ht="46.25" hidden="false" customHeight="false" outlineLevel="0" collapsed="false">
      <c r="A1403" s="6" t="s">
        <v>180</v>
      </c>
      <c r="B1403" s="6" t="s">
        <v>104</v>
      </c>
      <c r="C1403" s="6" t="s">
        <v>2097</v>
      </c>
      <c r="D1403" s="6" t="s">
        <v>2098</v>
      </c>
    </row>
    <row r="1404" customFormat="false" ht="79.85" hidden="false" customHeight="false" outlineLevel="0" collapsed="false">
      <c r="A1404" s="6" t="s">
        <v>180</v>
      </c>
      <c r="B1404" s="6" t="s">
        <v>104</v>
      </c>
      <c r="C1404" s="6" t="s">
        <v>1619</v>
      </c>
      <c r="D1404" s="6" t="s">
        <v>1620</v>
      </c>
    </row>
    <row r="1405" customFormat="false" ht="23.85" hidden="false" customHeight="false" outlineLevel="0" collapsed="false">
      <c r="A1405" s="6" t="s">
        <v>1087</v>
      </c>
      <c r="B1405" s="6" t="s">
        <v>224</v>
      </c>
      <c r="C1405" s="6" t="s">
        <v>1415</v>
      </c>
      <c r="D1405" s="6" t="s">
        <v>831</v>
      </c>
    </row>
    <row r="1406" customFormat="false" ht="23.85" hidden="false" customHeight="false" outlineLevel="0" collapsed="false">
      <c r="A1406" s="6" t="s">
        <v>1087</v>
      </c>
      <c r="B1406" s="6" t="s">
        <v>138</v>
      </c>
      <c r="C1406" s="6" t="s">
        <v>1415</v>
      </c>
      <c r="D1406" s="6" t="s">
        <v>1091</v>
      </c>
    </row>
    <row r="1407" customFormat="false" ht="23.85" hidden="false" customHeight="false" outlineLevel="0" collapsed="false">
      <c r="A1407" s="6" t="s">
        <v>1087</v>
      </c>
      <c r="B1407" s="6" t="s">
        <v>138</v>
      </c>
      <c r="C1407" s="6" t="s">
        <v>1415</v>
      </c>
      <c r="D1407" s="6" t="s">
        <v>2099</v>
      </c>
    </row>
    <row r="1408" customFormat="false" ht="23.85" hidden="false" customHeight="false" outlineLevel="0" collapsed="false">
      <c r="A1408" s="6" t="s">
        <v>701</v>
      </c>
      <c r="B1408" s="6" t="s">
        <v>114</v>
      </c>
      <c r="C1408" s="6" t="s">
        <v>1415</v>
      </c>
      <c r="D1408" s="6" t="s">
        <v>1543</v>
      </c>
    </row>
    <row r="1409" customFormat="false" ht="46.25" hidden="false" customHeight="false" outlineLevel="0" collapsed="false">
      <c r="A1409" s="6" t="s">
        <v>701</v>
      </c>
      <c r="B1409" s="6" t="s">
        <v>114</v>
      </c>
      <c r="C1409" s="6" t="s">
        <v>1415</v>
      </c>
      <c r="D1409" s="6" t="s">
        <v>2100</v>
      </c>
    </row>
    <row r="1410" customFormat="false" ht="46.25" hidden="false" customHeight="false" outlineLevel="0" collapsed="false">
      <c r="A1410" s="6" t="s">
        <v>701</v>
      </c>
      <c r="B1410" s="6" t="s">
        <v>296</v>
      </c>
      <c r="C1410" s="6" t="s">
        <v>1415</v>
      </c>
      <c r="D1410" s="6" t="s">
        <v>707</v>
      </c>
    </row>
    <row r="1411" customFormat="false" ht="15" hidden="false" customHeight="false" outlineLevel="0" collapsed="false">
      <c r="A1411" s="6" t="s">
        <v>701</v>
      </c>
      <c r="B1411" s="6" t="s">
        <v>378</v>
      </c>
      <c r="C1411" s="6" t="s">
        <v>1415</v>
      </c>
      <c r="D1411" s="6" t="s">
        <v>1783</v>
      </c>
    </row>
    <row r="1412" customFormat="false" ht="15" hidden="false" customHeight="false" outlineLevel="0" collapsed="false">
      <c r="A1412" s="6" t="s">
        <v>701</v>
      </c>
      <c r="B1412" s="6" t="s">
        <v>378</v>
      </c>
      <c r="C1412" s="6" t="s">
        <v>1415</v>
      </c>
      <c r="D1412" s="6" t="s">
        <v>1784</v>
      </c>
    </row>
    <row r="1413" customFormat="false" ht="23.85" hidden="false" customHeight="false" outlineLevel="0" collapsed="false">
      <c r="A1413" s="6" t="s">
        <v>832</v>
      </c>
      <c r="B1413" s="6" t="s">
        <v>378</v>
      </c>
      <c r="C1413" s="6" t="s">
        <v>1415</v>
      </c>
      <c r="D1413" s="6" t="s">
        <v>838</v>
      </c>
    </row>
    <row r="1414" customFormat="false" ht="23.85" hidden="false" customHeight="false" outlineLevel="0" collapsed="false">
      <c r="A1414" s="6" t="s">
        <v>628</v>
      </c>
      <c r="B1414" s="6" t="s">
        <v>104</v>
      </c>
      <c r="C1414" s="6" t="s">
        <v>1415</v>
      </c>
      <c r="D1414" s="6" t="s">
        <v>1441</v>
      </c>
    </row>
    <row r="1415" customFormat="false" ht="23.85" hidden="false" customHeight="false" outlineLevel="0" collapsed="false">
      <c r="A1415" s="6" t="s">
        <v>628</v>
      </c>
      <c r="B1415" s="6" t="s">
        <v>104</v>
      </c>
      <c r="C1415" s="6" t="s">
        <v>1415</v>
      </c>
      <c r="D1415" s="6" t="s">
        <v>105</v>
      </c>
    </row>
    <row r="1416" customFormat="false" ht="68.65" hidden="false" customHeight="false" outlineLevel="0" collapsed="false">
      <c r="A1416" s="6" t="s">
        <v>628</v>
      </c>
      <c r="B1416" s="6" t="s">
        <v>104</v>
      </c>
      <c r="C1416" s="6" t="s">
        <v>1445</v>
      </c>
      <c r="D1416" s="6" t="s">
        <v>1446</v>
      </c>
    </row>
    <row r="1417" customFormat="false" ht="46.25" hidden="false" customHeight="false" outlineLevel="0" collapsed="false">
      <c r="A1417" s="6" t="s">
        <v>1037</v>
      </c>
      <c r="B1417" s="6" t="s">
        <v>114</v>
      </c>
      <c r="C1417" s="6" t="s">
        <v>1415</v>
      </c>
      <c r="D1417" s="6" t="s">
        <v>1470</v>
      </c>
    </row>
    <row r="1418" customFormat="false" ht="57.45" hidden="false" customHeight="false" outlineLevel="0" collapsed="false">
      <c r="A1418" s="6" t="s">
        <v>1037</v>
      </c>
      <c r="B1418" s="6" t="s">
        <v>156</v>
      </c>
      <c r="C1418" s="6" t="s">
        <v>1415</v>
      </c>
      <c r="D1418" s="6" t="s">
        <v>1494</v>
      </c>
    </row>
    <row r="1419" customFormat="false" ht="23.85" hidden="false" customHeight="false" outlineLevel="0" collapsed="false">
      <c r="A1419" s="6" t="s">
        <v>1037</v>
      </c>
      <c r="B1419" s="6" t="s">
        <v>264</v>
      </c>
      <c r="C1419" s="6" t="s">
        <v>1415</v>
      </c>
      <c r="D1419" s="6" t="s">
        <v>1044</v>
      </c>
    </row>
    <row r="1420" customFormat="false" ht="23.85" hidden="false" customHeight="false" outlineLevel="0" collapsed="false">
      <c r="A1420" s="6" t="s">
        <v>1037</v>
      </c>
      <c r="B1420" s="6" t="s">
        <v>70</v>
      </c>
      <c r="C1420" s="6" t="s">
        <v>1415</v>
      </c>
      <c r="D1420" s="6" t="s">
        <v>1655</v>
      </c>
    </row>
    <row r="1421" customFormat="false" ht="23.85" hidden="false" customHeight="false" outlineLevel="0" collapsed="false">
      <c r="A1421" s="6" t="s">
        <v>930</v>
      </c>
      <c r="B1421" s="6" t="s">
        <v>131</v>
      </c>
      <c r="C1421" s="6" t="s">
        <v>1415</v>
      </c>
      <c r="D1421" s="6" t="s">
        <v>1827</v>
      </c>
    </row>
    <row r="1422" customFormat="false" ht="23.85" hidden="false" customHeight="false" outlineLevel="0" collapsed="false">
      <c r="A1422" s="6" t="s">
        <v>930</v>
      </c>
      <c r="B1422" s="6" t="s">
        <v>70</v>
      </c>
      <c r="C1422" s="6" t="s">
        <v>1415</v>
      </c>
      <c r="D1422" s="6" t="s">
        <v>1655</v>
      </c>
    </row>
    <row r="1423" customFormat="false" ht="23.85" hidden="false" customHeight="false" outlineLevel="0" collapsed="false">
      <c r="A1423" s="6" t="s">
        <v>930</v>
      </c>
      <c r="B1423" s="6" t="s">
        <v>95</v>
      </c>
      <c r="C1423" s="6" t="s">
        <v>1415</v>
      </c>
      <c r="D1423" s="6" t="s">
        <v>2101</v>
      </c>
    </row>
    <row r="1424" customFormat="false" ht="23.85" hidden="false" customHeight="false" outlineLevel="0" collapsed="false">
      <c r="A1424" s="6" t="s">
        <v>930</v>
      </c>
      <c r="B1424" s="6" t="s">
        <v>95</v>
      </c>
      <c r="C1424" s="6" t="s">
        <v>1415</v>
      </c>
      <c r="D1424" s="6" t="s">
        <v>898</v>
      </c>
    </row>
    <row r="1425" customFormat="false" ht="15" hidden="false" customHeight="false" outlineLevel="0" collapsed="false">
      <c r="A1425" s="6" t="s">
        <v>930</v>
      </c>
      <c r="B1425" s="6" t="s">
        <v>95</v>
      </c>
      <c r="C1425" s="6" t="s">
        <v>1415</v>
      </c>
      <c r="D1425" s="6" t="s">
        <v>1595</v>
      </c>
    </row>
    <row r="1426" customFormat="false" ht="191.75" hidden="false" customHeight="false" outlineLevel="0" collapsed="false">
      <c r="A1426" s="6" t="s">
        <v>930</v>
      </c>
      <c r="B1426" s="6" t="s">
        <v>68</v>
      </c>
      <c r="C1426" s="6" t="s">
        <v>1576</v>
      </c>
      <c r="D1426" s="6" t="s">
        <v>1577</v>
      </c>
    </row>
    <row r="1427" customFormat="false" ht="15" hidden="false" customHeight="false" outlineLevel="0" collapsed="false">
      <c r="A1427" s="6" t="s">
        <v>267</v>
      </c>
      <c r="B1427" s="6" t="s">
        <v>156</v>
      </c>
      <c r="C1427" s="6" t="s">
        <v>1415</v>
      </c>
      <c r="D1427" s="6" t="s">
        <v>2062</v>
      </c>
    </row>
    <row r="1428" customFormat="false" ht="57.45" hidden="false" customHeight="false" outlineLevel="0" collapsed="false">
      <c r="A1428" s="6" t="s">
        <v>267</v>
      </c>
      <c r="B1428" s="6" t="s">
        <v>156</v>
      </c>
      <c r="C1428" s="6" t="s">
        <v>1415</v>
      </c>
      <c r="D1428" s="6" t="s">
        <v>1494</v>
      </c>
    </row>
    <row r="1429" customFormat="false" ht="57.45" hidden="false" customHeight="false" outlineLevel="0" collapsed="false">
      <c r="A1429" s="6" t="s">
        <v>267</v>
      </c>
      <c r="B1429" s="6" t="s">
        <v>156</v>
      </c>
      <c r="C1429" s="6" t="s">
        <v>1415</v>
      </c>
      <c r="D1429" s="6" t="s">
        <v>2063</v>
      </c>
    </row>
    <row r="1430" customFormat="false" ht="35.05" hidden="false" customHeight="false" outlineLevel="0" collapsed="false">
      <c r="A1430" s="6" t="s">
        <v>267</v>
      </c>
      <c r="B1430" s="6" t="s">
        <v>378</v>
      </c>
      <c r="C1430" s="6" t="s">
        <v>1415</v>
      </c>
      <c r="D1430" s="6" t="s">
        <v>1646</v>
      </c>
    </row>
    <row r="1431" customFormat="false" ht="23.85" hidden="false" customHeight="false" outlineLevel="0" collapsed="false">
      <c r="A1431" s="6" t="s">
        <v>267</v>
      </c>
      <c r="B1431" s="6" t="s">
        <v>568</v>
      </c>
      <c r="C1431" s="6" t="s">
        <v>1415</v>
      </c>
      <c r="D1431" s="6" t="s">
        <v>1942</v>
      </c>
    </row>
    <row r="1432" customFormat="false" ht="15" hidden="false" customHeight="false" outlineLevel="0" collapsed="false">
      <c r="A1432" s="6" t="s">
        <v>267</v>
      </c>
      <c r="B1432" s="6" t="s">
        <v>264</v>
      </c>
      <c r="C1432" s="6" t="s">
        <v>1415</v>
      </c>
      <c r="D1432" s="6" t="s">
        <v>2102</v>
      </c>
    </row>
    <row r="1433" customFormat="false" ht="23.85" hidden="false" customHeight="false" outlineLevel="0" collapsed="false">
      <c r="A1433" s="6" t="s">
        <v>267</v>
      </c>
      <c r="B1433" s="6" t="s">
        <v>264</v>
      </c>
      <c r="C1433" s="6" t="s">
        <v>1415</v>
      </c>
      <c r="D1433" s="6" t="s">
        <v>274</v>
      </c>
    </row>
    <row r="1434" customFormat="false" ht="23.85" hidden="false" customHeight="false" outlineLevel="0" collapsed="false">
      <c r="A1434" s="6" t="s">
        <v>267</v>
      </c>
      <c r="B1434" s="6" t="s">
        <v>138</v>
      </c>
      <c r="C1434" s="6" t="s">
        <v>1488</v>
      </c>
      <c r="D1434" s="6" t="s">
        <v>1489</v>
      </c>
    </row>
    <row r="1435" customFormat="false" ht="23.85" hidden="false" customHeight="false" outlineLevel="0" collapsed="false">
      <c r="A1435" s="6" t="s">
        <v>937</v>
      </c>
      <c r="B1435" s="6" t="s">
        <v>95</v>
      </c>
      <c r="C1435" s="6" t="s">
        <v>1415</v>
      </c>
      <c r="D1435" s="6" t="s">
        <v>669</v>
      </c>
    </row>
    <row r="1436" customFormat="false" ht="23.85" hidden="false" customHeight="false" outlineLevel="0" collapsed="false">
      <c r="A1436" s="6" t="s">
        <v>663</v>
      </c>
      <c r="B1436" s="6" t="s">
        <v>378</v>
      </c>
      <c r="C1436" s="6" t="s">
        <v>1415</v>
      </c>
      <c r="D1436" s="6" t="s">
        <v>1786</v>
      </c>
    </row>
    <row r="1437" customFormat="false" ht="15" hidden="false" customHeight="false" outlineLevel="0" collapsed="false">
      <c r="A1437" s="6" t="s">
        <v>663</v>
      </c>
      <c r="B1437" s="6" t="s">
        <v>378</v>
      </c>
      <c r="C1437" s="6" t="s">
        <v>1415</v>
      </c>
      <c r="D1437" s="6" t="s">
        <v>1787</v>
      </c>
    </row>
    <row r="1438" customFormat="false" ht="15" hidden="false" customHeight="false" outlineLevel="0" collapsed="false">
      <c r="A1438" s="6" t="s">
        <v>663</v>
      </c>
      <c r="B1438" s="6" t="s">
        <v>378</v>
      </c>
      <c r="C1438" s="6" t="s">
        <v>1415</v>
      </c>
      <c r="D1438" s="6" t="s">
        <v>2103</v>
      </c>
    </row>
    <row r="1439" customFormat="false" ht="15" hidden="false" customHeight="false" outlineLevel="0" collapsed="false">
      <c r="A1439" s="6" t="s">
        <v>663</v>
      </c>
      <c r="B1439" s="6" t="s">
        <v>378</v>
      </c>
      <c r="C1439" s="6" t="s">
        <v>1415</v>
      </c>
      <c r="D1439" s="6" t="s">
        <v>2104</v>
      </c>
    </row>
    <row r="1440" customFormat="false" ht="15" hidden="false" customHeight="false" outlineLevel="0" collapsed="false">
      <c r="A1440" s="6" t="s">
        <v>663</v>
      </c>
      <c r="B1440" s="6" t="s">
        <v>378</v>
      </c>
      <c r="C1440" s="6" t="s">
        <v>1415</v>
      </c>
      <c r="D1440" s="6" t="s">
        <v>2105</v>
      </c>
    </row>
    <row r="1441" customFormat="false" ht="15" hidden="false" customHeight="false" outlineLevel="0" collapsed="false">
      <c r="A1441" s="6" t="s">
        <v>663</v>
      </c>
      <c r="B1441" s="6" t="s">
        <v>378</v>
      </c>
      <c r="C1441" s="6" t="s">
        <v>1415</v>
      </c>
      <c r="D1441" s="6" t="s">
        <v>2106</v>
      </c>
    </row>
    <row r="1442" customFormat="false" ht="23.85" hidden="false" customHeight="false" outlineLevel="0" collapsed="false">
      <c r="A1442" s="6" t="s">
        <v>663</v>
      </c>
      <c r="B1442" s="6" t="s">
        <v>378</v>
      </c>
      <c r="C1442" s="6" t="s">
        <v>1415</v>
      </c>
      <c r="D1442" s="6" t="s">
        <v>2107</v>
      </c>
    </row>
    <row r="1443" customFormat="false" ht="15" hidden="false" customHeight="false" outlineLevel="0" collapsed="false">
      <c r="A1443" s="6" t="s">
        <v>663</v>
      </c>
      <c r="B1443" s="6" t="s">
        <v>378</v>
      </c>
      <c r="C1443" s="6" t="s">
        <v>1415</v>
      </c>
      <c r="D1443" s="6" t="s">
        <v>1788</v>
      </c>
    </row>
    <row r="1444" customFormat="false" ht="35.05" hidden="false" customHeight="false" outlineLevel="0" collapsed="false">
      <c r="A1444" s="6" t="s">
        <v>663</v>
      </c>
      <c r="B1444" s="6" t="s">
        <v>378</v>
      </c>
      <c r="C1444" s="6" t="s">
        <v>1415</v>
      </c>
      <c r="D1444" s="6" t="s">
        <v>656</v>
      </c>
    </row>
    <row r="1445" customFormat="false" ht="15" hidden="false" customHeight="false" outlineLevel="0" collapsed="false">
      <c r="A1445" s="6" t="s">
        <v>663</v>
      </c>
      <c r="B1445" s="6" t="s">
        <v>265</v>
      </c>
      <c r="C1445" s="6" t="s">
        <v>1415</v>
      </c>
      <c r="D1445" s="6" t="s">
        <v>1583</v>
      </c>
    </row>
    <row r="1446" customFormat="false" ht="23.85" hidden="false" customHeight="false" outlineLevel="0" collapsed="false">
      <c r="A1446" s="6" t="s">
        <v>663</v>
      </c>
      <c r="B1446" s="6" t="s">
        <v>265</v>
      </c>
      <c r="C1446" s="6" t="s">
        <v>1545</v>
      </c>
      <c r="D1446" s="6" t="s">
        <v>1546</v>
      </c>
    </row>
    <row r="1447" customFormat="false" ht="23.85" hidden="false" customHeight="false" outlineLevel="0" collapsed="false">
      <c r="A1447" s="6" t="s">
        <v>663</v>
      </c>
      <c r="B1447" s="6" t="s">
        <v>95</v>
      </c>
      <c r="C1447" s="6" t="s">
        <v>1415</v>
      </c>
      <c r="D1447" s="6" t="s">
        <v>669</v>
      </c>
    </row>
    <row r="1448" customFormat="false" ht="15" hidden="false" customHeight="false" outlineLevel="0" collapsed="false">
      <c r="A1448" s="6" t="s">
        <v>634</v>
      </c>
      <c r="B1448" s="6" t="s">
        <v>114</v>
      </c>
      <c r="C1448" s="6" t="s">
        <v>1415</v>
      </c>
      <c r="D1448" s="6" t="s">
        <v>1624</v>
      </c>
    </row>
    <row r="1449" customFormat="false" ht="15" hidden="false" customHeight="false" outlineLevel="0" collapsed="false">
      <c r="A1449" s="6" t="s">
        <v>634</v>
      </c>
      <c r="B1449" s="6" t="s">
        <v>114</v>
      </c>
      <c r="C1449" s="6" t="s">
        <v>1415</v>
      </c>
      <c r="D1449" s="6" t="s">
        <v>1606</v>
      </c>
    </row>
    <row r="1450" customFormat="false" ht="23.85" hidden="false" customHeight="false" outlineLevel="0" collapsed="false">
      <c r="A1450" s="6" t="s">
        <v>634</v>
      </c>
      <c r="B1450" s="6" t="s">
        <v>114</v>
      </c>
      <c r="C1450" s="6" t="s">
        <v>1415</v>
      </c>
      <c r="D1450" s="6" t="s">
        <v>1607</v>
      </c>
    </row>
    <row r="1451" customFormat="false" ht="23.85" hidden="false" customHeight="false" outlineLevel="0" collapsed="false">
      <c r="A1451" s="6" t="s">
        <v>634</v>
      </c>
      <c r="B1451" s="6" t="s">
        <v>114</v>
      </c>
      <c r="C1451" s="6" t="s">
        <v>1415</v>
      </c>
      <c r="D1451" s="6" t="s">
        <v>1710</v>
      </c>
    </row>
    <row r="1452" customFormat="false" ht="23.85" hidden="false" customHeight="false" outlineLevel="0" collapsed="false">
      <c r="A1452" s="6" t="s">
        <v>634</v>
      </c>
      <c r="B1452" s="6" t="s">
        <v>114</v>
      </c>
      <c r="C1452" s="6" t="s">
        <v>1415</v>
      </c>
      <c r="D1452" s="6" t="s">
        <v>1826</v>
      </c>
    </row>
    <row r="1453" customFormat="false" ht="23.85" hidden="false" customHeight="false" outlineLevel="0" collapsed="false">
      <c r="A1453" s="6" t="s">
        <v>634</v>
      </c>
      <c r="B1453" s="6" t="s">
        <v>114</v>
      </c>
      <c r="C1453" s="6" t="s">
        <v>1415</v>
      </c>
      <c r="D1453" s="6" t="s">
        <v>1711</v>
      </c>
    </row>
    <row r="1454" customFormat="false" ht="23.85" hidden="false" customHeight="false" outlineLevel="0" collapsed="false">
      <c r="A1454" s="6" t="s">
        <v>634</v>
      </c>
      <c r="B1454" s="6" t="s">
        <v>114</v>
      </c>
      <c r="C1454" s="6" t="s">
        <v>1415</v>
      </c>
      <c r="D1454" s="6" t="s">
        <v>1712</v>
      </c>
    </row>
    <row r="1455" customFormat="false" ht="15" hidden="false" customHeight="false" outlineLevel="0" collapsed="false">
      <c r="A1455" s="6" t="s">
        <v>634</v>
      </c>
      <c r="B1455" s="6" t="s">
        <v>156</v>
      </c>
      <c r="C1455" s="6" t="s">
        <v>1415</v>
      </c>
      <c r="D1455" s="6" t="s">
        <v>1652</v>
      </c>
    </row>
    <row r="1456" customFormat="false" ht="35.05" hidden="false" customHeight="false" outlineLevel="0" collapsed="false">
      <c r="A1456" s="6" t="s">
        <v>634</v>
      </c>
      <c r="B1456" s="6" t="s">
        <v>568</v>
      </c>
      <c r="C1456" s="6" t="s">
        <v>1415</v>
      </c>
      <c r="D1456" s="6" t="s">
        <v>2026</v>
      </c>
    </row>
    <row r="1457" customFormat="false" ht="23.85" hidden="false" customHeight="false" outlineLevel="0" collapsed="false">
      <c r="A1457" s="6" t="s">
        <v>634</v>
      </c>
      <c r="B1457" s="6" t="s">
        <v>224</v>
      </c>
      <c r="C1457" s="6" t="s">
        <v>1415</v>
      </c>
      <c r="D1457" s="6" t="s">
        <v>1567</v>
      </c>
    </row>
    <row r="1458" customFormat="false" ht="23.85" hidden="false" customHeight="false" outlineLevel="0" collapsed="false">
      <c r="A1458" s="6" t="s">
        <v>634</v>
      </c>
      <c r="B1458" s="6" t="s">
        <v>95</v>
      </c>
      <c r="C1458" s="6" t="s">
        <v>1415</v>
      </c>
      <c r="D1458" s="6" t="s">
        <v>1527</v>
      </c>
    </row>
    <row r="1459" customFormat="false" ht="15" hidden="false" customHeight="false" outlineLevel="0" collapsed="false">
      <c r="A1459" s="6" t="s">
        <v>634</v>
      </c>
      <c r="B1459" s="6" t="s">
        <v>104</v>
      </c>
      <c r="C1459" s="6" t="s">
        <v>1415</v>
      </c>
      <c r="D1459" s="6" t="s">
        <v>2108</v>
      </c>
    </row>
    <row r="1460" customFormat="false" ht="15" hidden="false" customHeight="false" outlineLevel="0" collapsed="false">
      <c r="A1460" s="6" t="s">
        <v>634</v>
      </c>
      <c r="B1460" s="6" t="s">
        <v>104</v>
      </c>
      <c r="C1460" s="6" t="s">
        <v>1415</v>
      </c>
      <c r="D1460" s="6" t="s">
        <v>2109</v>
      </c>
    </row>
    <row r="1461" customFormat="false" ht="23.85" hidden="false" customHeight="false" outlineLevel="0" collapsed="false">
      <c r="A1461" s="6" t="s">
        <v>634</v>
      </c>
      <c r="B1461" s="6" t="s">
        <v>104</v>
      </c>
      <c r="C1461" s="6" t="s">
        <v>1415</v>
      </c>
      <c r="D1461" s="6" t="s">
        <v>1640</v>
      </c>
    </row>
    <row r="1462" customFormat="false" ht="23.85" hidden="false" customHeight="false" outlineLevel="0" collapsed="false">
      <c r="A1462" s="6" t="s">
        <v>634</v>
      </c>
      <c r="B1462" s="6" t="s">
        <v>104</v>
      </c>
      <c r="C1462" s="6" t="s">
        <v>1415</v>
      </c>
      <c r="D1462" s="6" t="s">
        <v>639</v>
      </c>
    </row>
    <row r="1463" customFormat="false" ht="15" hidden="false" customHeight="false" outlineLevel="0" collapsed="false">
      <c r="A1463" s="6" t="s">
        <v>634</v>
      </c>
      <c r="B1463" s="6" t="s">
        <v>104</v>
      </c>
      <c r="C1463" s="6" t="s">
        <v>1415</v>
      </c>
      <c r="D1463" s="6" t="s">
        <v>2110</v>
      </c>
    </row>
    <row r="1464" customFormat="false" ht="35.05" hidden="false" customHeight="false" outlineLevel="0" collapsed="false">
      <c r="A1464" s="6" t="s">
        <v>634</v>
      </c>
      <c r="B1464" s="6" t="s">
        <v>104</v>
      </c>
      <c r="C1464" s="6" t="s">
        <v>1593</v>
      </c>
      <c r="D1464" s="6" t="s">
        <v>1594</v>
      </c>
    </row>
    <row r="1465" customFormat="false" ht="15" hidden="false" customHeight="false" outlineLevel="0" collapsed="false">
      <c r="A1465" s="6" t="s">
        <v>871</v>
      </c>
      <c r="B1465" s="6" t="s">
        <v>378</v>
      </c>
      <c r="C1465" s="6" t="s">
        <v>1415</v>
      </c>
      <c r="D1465" s="6" t="s">
        <v>1628</v>
      </c>
    </row>
    <row r="1466" customFormat="false" ht="15" hidden="false" customHeight="false" outlineLevel="0" collapsed="false">
      <c r="A1466" s="6" t="s">
        <v>871</v>
      </c>
      <c r="B1466" s="6" t="s">
        <v>378</v>
      </c>
      <c r="C1466" s="6" t="s">
        <v>1415</v>
      </c>
      <c r="D1466" s="6" t="s">
        <v>1629</v>
      </c>
    </row>
    <row r="1467" customFormat="false" ht="23.85" hidden="false" customHeight="false" outlineLevel="0" collapsed="false">
      <c r="A1467" s="6" t="s">
        <v>871</v>
      </c>
      <c r="B1467" s="6" t="s">
        <v>378</v>
      </c>
      <c r="C1467" s="6" t="s">
        <v>1415</v>
      </c>
      <c r="D1467" s="6" t="s">
        <v>2111</v>
      </c>
    </row>
    <row r="1468" customFormat="false" ht="23.85" hidden="false" customHeight="false" outlineLevel="0" collapsed="false">
      <c r="A1468" s="6" t="s">
        <v>871</v>
      </c>
      <c r="B1468" s="6" t="s">
        <v>378</v>
      </c>
      <c r="C1468" s="6" t="s">
        <v>1415</v>
      </c>
      <c r="D1468" s="6" t="s">
        <v>1630</v>
      </c>
    </row>
    <row r="1469" customFormat="false" ht="35.05" hidden="false" customHeight="false" outlineLevel="0" collapsed="false">
      <c r="A1469" s="6" t="s">
        <v>871</v>
      </c>
      <c r="B1469" s="6" t="s">
        <v>378</v>
      </c>
      <c r="C1469" s="6" t="s">
        <v>1415</v>
      </c>
      <c r="D1469" s="6" t="s">
        <v>864</v>
      </c>
    </row>
  </sheetData>
  <autoFilter ref="A1:D146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65"/>
  </cols>
  <sheetData>
    <row r="1" customFormat="false" ht="27.75" hidden="false" customHeight="true" outlineLevel="0" collapsed="false">
      <c r="A1" s="4" t="s">
        <v>1412</v>
      </c>
      <c r="B1" s="4" t="s">
        <v>2112</v>
      </c>
      <c r="C1" s="4" t="s">
        <v>2113</v>
      </c>
    </row>
    <row r="2" customFormat="false" ht="15" hidden="false" customHeight="false" outlineLevel="0" collapsed="false">
      <c r="A2" s="6" t="s">
        <v>114</v>
      </c>
      <c r="B2" s="6" t="s">
        <v>2114</v>
      </c>
      <c r="C2" s="6" t="s">
        <v>2115</v>
      </c>
    </row>
    <row r="3" customFormat="false" ht="15" hidden="false" customHeight="false" outlineLevel="0" collapsed="false">
      <c r="A3" s="6" t="s">
        <v>114</v>
      </c>
      <c r="B3" s="6" t="s">
        <v>2116</v>
      </c>
      <c r="C3" s="6" t="s">
        <v>2117</v>
      </c>
    </row>
    <row r="4" customFormat="false" ht="15" hidden="false" customHeight="false" outlineLevel="0" collapsed="false">
      <c r="A4" s="6" t="s">
        <v>156</v>
      </c>
      <c r="B4" s="6" t="s">
        <v>2118</v>
      </c>
      <c r="C4" s="6" t="s">
        <v>2119</v>
      </c>
    </row>
    <row r="5" customFormat="false" ht="15" hidden="false" customHeight="false" outlineLevel="0" collapsed="false">
      <c r="A5" s="6" t="s">
        <v>156</v>
      </c>
      <c r="B5" s="6" t="s">
        <v>2120</v>
      </c>
      <c r="C5" s="6" t="s">
        <v>2121</v>
      </c>
    </row>
    <row r="6" customFormat="false" ht="15" hidden="false" customHeight="false" outlineLevel="0" collapsed="false">
      <c r="A6" s="6" t="s">
        <v>131</v>
      </c>
      <c r="B6" s="6" t="s">
        <v>2122</v>
      </c>
      <c r="C6" s="6" t="s">
        <v>2123</v>
      </c>
    </row>
    <row r="7" customFormat="false" ht="15" hidden="false" customHeight="false" outlineLevel="0" collapsed="false">
      <c r="A7" s="6" t="s">
        <v>296</v>
      </c>
      <c r="B7" s="6" t="s">
        <v>2124</v>
      </c>
      <c r="C7" s="6" t="s">
        <v>2125</v>
      </c>
    </row>
    <row r="8" customFormat="false" ht="15" hidden="false" customHeight="false" outlineLevel="0" collapsed="false">
      <c r="A8" s="6" t="s">
        <v>378</v>
      </c>
      <c r="B8" s="6" t="s">
        <v>2126</v>
      </c>
      <c r="C8" s="6" t="s">
        <v>2127</v>
      </c>
    </row>
    <row r="9" customFormat="false" ht="15" hidden="false" customHeight="false" outlineLevel="0" collapsed="false">
      <c r="A9" s="6" t="s">
        <v>378</v>
      </c>
      <c r="B9" s="6" t="s">
        <v>2128</v>
      </c>
      <c r="C9" s="6" t="s">
        <v>2129</v>
      </c>
    </row>
    <row r="10" customFormat="false" ht="15" hidden="false" customHeight="false" outlineLevel="0" collapsed="false">
      <c r="A10" s="6" t="s">
        <v>568</v>
      </c>
      <c r="B10" s="6" t="s">
        <v>2130</v>
      </c>
      <c r="C10" s="6" t="s">
        <v>2131</v>
      </c>
    </row>
    <row r="11" customFormat="false" ht="15" hidden="false" customHeight="false" outlineLevel="0" collapsed="false">
      <c r="A11" s="6" t="s">
        <v>568</v>
      </c>
      <c r="B11" s="6" t="s">
        <v>2132</v>
      </c>
      <c r="C11" s="6" t="s">
        <v>2133</v>
      </c>
    </row>
    <row r="12" customFormat="false" ht="15" hidden="false" customHeight="false" outlineLevel="0" collapsed="false">
      <c r="A12" s="6" t="s">
        <v>568</v>
      </c>
      <c r="B12" s="6" t="s">
        <v>2134</v>
      </c>
      <c r="C12" s="6" t="s">
        <v>2135</v>
      </c>
    </row>
    <row r="13" customFormat="false" ht="15" hidden="false" customHeight="false" outlineLevel="0" collapsed="false">
      <c r="A13" s="6" t="s">
        <v>568</v>
      </c>
      <c r="B13" s="6" t="s">
        <v>2136</v>
      </c>
      <c r="C13" s="6" t="s">
        <v>2137</v>
      </c>
    </row>
    <row r="14" customFormat="false" ht="15" hidden="false" customHeight="false" outlineLevel="0" collapsed="false">
      <c r="A14" s="6" t="s">
        <v>264</v>
      </c>
      <c r="B14" s="6" t="s">
        <v>2138</v>
      </c>
      <c r="C14" s="6" t="s">
        <v>2139</v>
      </c>
    </row>
    <row r="15" customFormat="false" ht="15" hidden="false" customHeight="false" outlineLevel="0" collapsed="false">
      <c r="A15" s="6" t="s">
        <v>264</v>
      </c>
      <c r="B15" s="6" t="s">
        <v>2140</v>
      </c>
      <c r="C15" s="6" t="s">
        <v>2141</v>
      </c>
    </row>
    <row r="16" customFormat="false" ht="15" hidden="false" customHeight="false" outlineLevel="0" collapsed="false">
      <c r="A16" s="6" t="s">
        <v>264</v>
      </c>
      <c r="B16" s="6" t="s">
        <v>2142</v>
      </c>
      <c r="C16" s="6" t="s">
        <v>2143</v>
      </c>
    </row>
    <row r="17" customFormat="false" ht="15" hidden="false" customHeight="false" outlineLevel="0" collapsed="false">
      <c r="A17" s="6" t="s">
        <v>264</v>
      </c>
      <c r="B17" s="6" t="s">
        <v>2144</v>
      </c>
      <c r="C17" s="6" t="s">
        <v>2145</v>
      </c>
    </row>
    <row r="18" customFormat="false" ht="15" hidden="false" customHeight="false" outlineLevel="0" collapsed="false">
      <c r="A18" s="6" t="s">
        <v>304</v>
      </c>
      <c r="B18" s="6" t="s">
        <v>2146</v>
      </c>
      <c r="C18" s="6" t="s">
        <v>2147</v>
      </c>
    </row>
    <row r="19" customFormat="false" ht="15" hidden="false" customHeight="false" outlineLevel="0" collapsed="false">
      <c r="A19" s="6" t="s">
        <v>304</v>
      </c>
      <c r="B19" s="6" t="s">
        <v>2148</v>
      </c>
      <c r="C19" s="6" t="s">
        <v>2149</v>
      </c>
    </row>
    <row r="20" customFormat="false" ht="15" hidden="false" customHeight="false" outlineLevel="0" collapsed="false">
      <c r="A20" s="6" t="s">
        <v>304</v>
      </c>
      <c r="B20" s="6" t="s">
        <v>2150</v>
      </c>
      <c r="C20" s="6" t="s">
        <v>2151</v>
      </c>
    </row>
    <row r="21" customFormat="false" ht="15" hidden="false" customHeight="false" outlineLevel="0" collapsed="false">
      <c r="A21" s="6" t="s">
        <v>224</v>
      </c>
      <c r="B21" s="6" t="s">
        <v>2152</v>
      </c>
      <c r="C21" s="6" t="s">
        <v>1846</v>
      </c>
    </row>
    <row r="22" customFormat="false" ht="15" hidden="false" customHeight="false" outlineLevel="0" collapsed="false">
      <c r="A22" s="6" t="s">
        <v>224</v>
      </c>
      <c r="B22" s="6" t="s">
        <v>2153</v>
      </c>
      <c r="C22" s="6" t="s">
        <v>1439</v>
      </c>
    </row>
    <row r="23" customFormat="false" ht="23.85" hidden="false" customHeight="false" outlineLevel="0" collapsed="false">
      <c r="A23" s="6" t="s">
        <v>265</v>
      </c>
      <c r="B23" s="6" t="s">
        <v>2154</v>
      </c>
      <c r="C23" s="6" t="s">
        <v>1546</v>
      </c>
    </row>
    <row r="24" customFormat="false" ht="15" hidden="false" customHeight="false" outlineLevel="0" collapsed="false">
      <c r="A24" s="6" t="s">
        <v>265</v>
      </c>
      <c r="B24" s="6" t="s">
        <v>2155</v>
      </c>
      <c r="C24" s="6" t="s">
        <v>2156</v>
      </c>
    </row>
    <row r="25" customFormat="false" ht="15" hidden="false" customHeight="false" outlineLevel="0" collapsed="false">
      <c r="A25" s="6" t="s">
        <v>138</v>
      </c>
      <c r="B25" s="6" t="s">
        <v>2157</v>
      </c>
      <c r="C25" s="6" t="s">
        <v>1458</v>
      </c>
    </row>
    <row r="26" customFormat="false" ht="23.85" hidden="false" customHeight="false" outlineLevel="0" collapsed="false">
      <c r="A26" s="6" t="s">
        <v>138</v>
      </c>
      <c r="B26" s="6" t="s">
        <v>2158</v>
      </c>
      <c r="C26" s="6" t="s">
        <v>1489</v>
      </c>
    </row>
    <row r="27" customFormat="false" ht="35.05" hidden="false" customHeight="false" outlineLevel="0" collapsed="false">
      <c r="A27" s="6" t="s">
        <v>70</v>
      </c>
      <c r="B27" s="6" t="s">
        <v>2159</v>
      </c>
      <c r="C27" s="6" t="s">
        <v>2160</v>
      </c>
    </row>
    <row r="28" customFormat="false" ht="35.05" hidden="false" customHeight="false" outlineLevel="0" collapsed="false">
      <c r="A28" s="6" t="s">
        <v>70</v>
      </c>
      <c r="B28" s="6" t="s">
        <v>2161</v>
      </c>
      <c r="C28" s="6" t="s">
        <v>2162</v>
      </c>
    </row>
    <row r="29" customFormat="false" ht="180.55" hidden="false" customHeight="false" outlineLevel="0" collapsed="false">
      <c r="A29" s="6" t="s">
        <v>95</v>
      </c>
      <c r="B29" s="6" t="s">
        <v>2163</v>
      </c>
      <c r="C29" s="6" t="s">
        <v>2164</v>
      </c>
    </row>
    <row r="30" customFormat="false" ht="147" hidden="false" customHeight="false" outlineLevel="0" collapsed="false">
      <c r="A30" s="6" t="s">
        <v>104</v>
      </c>
      <c r="B30" s="6" t="s">
        <v>2165</v>
      </c>
      <c r="C30" s="6" t="s">
        <v>2166</v>
      </c>
    </row>
    <row r="31" customFormat="false" ht="57.45" hidden="false" customHeight="false" outlineLevel="0" collapsed="false">
      <c r="A31" s="6" t="s">
        <v>104</v>
      </c>
      <c r="B31" s="6" t="s">
        <v>2167</v>
      </c>
      <c r="C31" s="6" t="s">
        <v>1446</v>
      </c>
    </row>
    <row r="32" customFormat="false" ht="124.6" hidden="false" customHeight="false" outlineLevel="0" collapsed="false">
      <c r="A32" s="6" t="s">
        <v>104</v>
      </c>
      <c r="B32" s="6" t="s">
        <v>2168</v>
      </c>
      <c r="C32" s="6" t="s">
        <v>1469</v>
      </c>
    </row>
    <row r="33" customFormat="false" ht="35.05" hidden="false" customHeight="false" outlineLevel="0" collapsed="false">
      <c r="A33" s="6" t="s">
        <v>104</v>
      </c>
      <c r="B33" s="6" t="s">
        <v>2169</v>
      </c>
      <c r="C33" s="6" t="s">
        <v>2098</v>
      </c>
    </row>
    <row r="34" customFormat="false" ht="68.65" hidden="false" customHeight="false" outlineLevel="0" collapsed="false">
      <c r="A34" s="6" t="s">
        <v>104</v>
      </c>
      <c r="B34" s="6" t="s">
        <v>2170</v>
      </c>
      <c r="C34" s="6" t="s">
        <v>1620</v>
      </c>
    </row>
    <row r="35" customFormat="false" ht="23.85" hidden="false" customHeight="false" outlineLevel="0" collapsed="false">
      <c r="A35" s="6" t="s">
        <v>104</v>
      </c>
      <c r="B35" s="6" t="s">
        <v>2171</v>
      </c>
      <c r="C35" s="6" t="s">
        <v>1594</v>
      </c>
    </row>
    <row r="36" customFormat="false" ht="225.35" hidden="false" customHeight="false" outlineLevel="0" collapsed="false">
      <c r="A36" s="6" t="s">
        <v>104</v>
      </c>
      <c r="B36" s="6" t="s">
        <v>2172</v>
      </c>
      <c r="C36" s="6" t="s">
        <v>1428</v>
      </c>
    </row>
    <row r="37" customFormat="false" ht="68.65" hidden="false" customHeight="false" outlineLevel="0" collapsed="false">
      <c r="A37" s="6" t="s">
        <v>104</v>
      </c>
      <c r="B37" s="6" t="s">
        <v>2173</v>
      </c>
      <c r="C37" s="6" t="s">
        <v>1462</v>
      </c>
    </row>
    <row r="38" customFormat="false" ht="35.05" hidden="false" customHeight="false" outlineLevel="0" collapsed="false">
      <c r="A38" s="6" t="s">
        <v>104</v>
      </c>
      <c r="B38" s="6" t="s">
        <v>2174</v>
      </c>
      <c r="C38" s="6" t="s">
        <v>1464</v>
      </c>
    </row>
    <row r="39" customFormat="false" ht="180.55" hidden="false" customHeight="false" outlineLevel="0" collapsed="false">
      <c r="A39" s="6" t="s">
        <v>68</v>
      </c>
      <c r="B39" s="6" t="s">
        <v>2175</v>
      </c>
      <c r="C39" s="6" t="s">
        <v>1577</v>
      </c>
    </row>
    <row r="40" customFormat="false" ht="147" hidden="false" customHeight="false" outlineLevel="0" collapsed="false">
      <c r="A40" s="6" t="s">
        <v>68</v>
      </c>
      <c r="B40" s="6" t="s">
        <v>2176</v>
      </c>
      <c r="C40" s="6" t="s">
        <v>1579</v>
      </c>
    </row>
    <row r="41" customFormat="false" ht="202.95" hidden="false" customHeight="false" outlineLevel="0" collapsed="false">
      <c r="A41" s="6" t="s">
        <v>68</v>
      </c>
      <c r="B41" s="6" t="s">
        <v>2177</v>
      </c>
      <c r="C41" s="6" t="s">
        <v>1622</v>
      </c>
    </row>
    <row r="42" customFormat="false" ht="35.05" hidden="false" customHeight="false" outlineLevel="0" collapsed="false">
      <c r="A42" s="6" t="s">
        <v>68</v>
      </c>
      <c r="B42" s="6" t="s">
        <v>2178</v>
      </c>
      <c r="C42" s="6" t="s">
        <v>1878</v>
      </c>
    </row>
    <row r="43" customFormat="false" ht="214.15" hidden="false" customHeight="false" outlineLevel="0" collapsed="false">
      <c r="A43" s="6" t="s">
        <v>68</v>
      </c>
      <c r="B43" s="6" t="s">
        <v>2179</v>
      </c>
      <c r="C43" s="6" t="s">
        <v>1522</v>
      </c>
    </row>
    <row r="44" customFormat="false" ht="281.3" hidden="false" customHeight="false" outlineLevel="0" collapsed="false">
      <c r="A44" s="6" t="s">
        <v>393</v>
      </c>
      <c r="B44" s="6" t="s">
        <v>2180</v>
      </c>
      <c r="C44" s="6" t="s">
        <v>2181</v>
      </c>
    </row>
    <row r="45" customFormat="false" ht="79.85" hidden="false" customHeight="false" outlineLevel="0" collapsed="false">
      <c r="A45" s="6" t="s">
        <v>393</v>
      </c>
      <c r="B45" s="6" t="s">
        <v>2182</v>
      </c>
      <c r="C45" s="6" t="s">
        <v>1778</v>
      </c>
    </row>
    <row r="46" customFormat="false" ht="180.55" hidden="false" customHeight="false" outlineLevel="0" collapsed="false">
      <c r="A46" s="6" t="s">
        <v>393</v>
      </c>
      <c r="B46" s="6" t="s">
        <v>2183</v>
      </c>
      <c r="C46" s="6" t="s">
        <v>2184</v>
      </c>
    </row>
    <row r="47" customFormat="false" ht="124.6" hidden="false" customHeight="false" outlineLevel="0" collapsed="false">
      <c r="A47" s="6" t="s">
        <v>393</v>
      </c>
      <c r="B47" s="6" t="s">
        <v>2185</v>
      </c>
      <c r="C47" s="6" t="s">
        <v>2074</v>
      </c>
    </row>
    <row r="48" customFormat="false" ht="124.6" hidden="false" customHeight="false" outlineLevel="0" collapsed="false">
      <c r="A48" s="6" t="s">
        <v>393</v>
      </c>
      <c r="B48" s="6" t="s">
        <v>2186</v>
      </c>
      <c r="C48" s="6" t="s">
        <v>1662</v>
      </c>
    </row>
    <row r="49" customFormat="false" ht="202.95" hidden="false" customHeight="false" outlineLevel="0" collapsed="false">
      <c r="A49" s="6" t="s">
        <v>393</v>
      </c>
      <c r="B49" s="6" t="s">
        <v>2187</v>
      </c>
      <c r="C49" s="6" t="s">
        <v>2188</v>
      </c>
    </row>
    <row r="50" customFormat="false" ht="46.25" hidden="false" customHeight="false" outlineLevel="0" collapsed="false">
      <c r="A50" s="6" t="s">
        <v>393</v>
      </c>
      <c r="B50" s="6" t="s">
        <v>2189</v>
      </c>
      <c r="C50" s="6" t="s">
        <v>2190</v>
      </c>
    </row>
    <row r="51" customFormat="false" ht="158.2" hidden="false" customHeight="false" outlineLevel="0" collapsed="false">
      <c r="A51" s="6" t="s">
        <v>393</v>
      </c>
      <c r="B51" s="6" t="s">
        <v>2191</v>
      </c>
      <c r="C51" s="6" t="s">
        <v>2192</v>
      </c>
    </row>
    <row r="52" customFormat="false" ht="102.2" hidden="false" customHeight="false" outlineLevel="0" collapsed="false">
      <c r="A52" s="6" t="s">
        <v>147</v>
      </c>
      <c r="B52" s="6" t="s">
        <v>2193</v>
      </c>
      <c r="C52" s="6" t="s">
        <v>1817</v>
      </c>
    </row>
    <row r="53" customFormat="false" ht="35.05" hidden="false" customHeight="false" outlineLevel="0" collapsed="false">
      <c r="A53" s="6" t="s">
        <v>147</v>
      </c>
      <c r="B53" s="6" t="s">
        <v>2194</v>
      </c>
      <c r="C53" s="6" t="s">
        <v>1696</v>
      </c>
    </row>
    <row r="54" customFormat="false" ht="23.85" hidden="false" customHeight="false" outlineLevel="0" collapsed="false">
      <c r="A54" s="6" t="s">
        <v>147</v>
      </c>
      <c r="B54" s="6" t="s">
        <v>2195</v>
      </c>
      <c r="C54" s="6" t="s">
        <v>1698</v>
      </c>
    </row>
  </sheetData>
  <autoFilter ref="A1:C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10"/>
    <col collapsed="false" customWidth="true" hidden="false" outlineLevel="0" max="4" min="4" style="0" width="80"/>
    <col collapsed="false" customWidth="true" hidden="false" outlineLevel="0" max="5" min="5" style="0" width="50"/>
    <col collapsed="false" customWidth="true" hidden="false" outlineLevel="0" max="6" min="6" style="0" width="9"/>
  </cols>
  <sheetData>
    <row r="1" customFormat="false" ht="27.75" hidden="false" customHeight="true" outlineLevel="0" collapsed="false">
      <c r="A1" s="4" t="s">
        <v>1412</v>
      </c>
      <c r="B1" s="4" t="s">
        <v>2196</v>
      </c>
      <c r="C1" s="4" t="s">
        <v>41</v>
      </c>
      <c r="D1" s="4" t="s">
        <v>2197</v>
      </c>
      <c r="E1" s="4" t="s">
        <v>2198</v>
      </c>
      <c r="F1" s="4" t="s">
        <v>2199</v>
      </c>
    </row>
    <row r="2" customFormat="false" ht="23.85" hidden="false" customHeight="false" outlineLevel="0" collapsed="false">
      <c r="A2" s="19" t="s">
        <v>68</v>
      </c>
      <c r="B2" s="6" t="s">
        <v>2200</v>
      </c>
      <c r="C2" s="6" t="s">
        <v>158</v>
      </c>
      <c r="D2" s="6" t="s">
        <v>2201</v>
      </c>
      <c r="E2" s="6" t="s">
        <v>2202</v>
      </c>
      <c r="F2" s="6" t="s">
        <v>2203</v>
      </c>
    </row>
    <row r="4" customFormat="false" ht="15" hidden="false" customHeight="false" outlineLevel="0" collapsed="false">
      <c r="A4" s="20" t="s">
        <v>2204</v>
      </c>
    </row>
  </sheetData>
  <autoFilter ref="A1:F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130"/>
    <col collapsed="false" customWidth="true" hidden="false" outlineLevel="0" max="4" min="4" style="0" width="12"/>
  </cols>
  <sheetData>
    <row r="1" customFormat="false" ht="27.75" hidden="false" customHeight="true" outlineLevel="0" collapsed="false">
      <c r="A1" s="4" t="s">
        <v>41</v>
      </c>
      <c r="B1" s="4" t="s">
        <v>2205</v>
      </c>
      <c r="C1" s="4" t="s">
        <v>2206</v>
      </c>
      <c r="D1" s="4" t="s">
        <v>2207</v>
      </c>
    </row>
    <row r="2" customFormat="false" ht="23.85" hidden="false" customHeight="false" outlineLevel="0" collapsed="false">
      <c r="A2" s="6" t="s">
        <v>634</v>
      </c>
      <c r="B2" s="6" t="s">
        <v>2208</v>
      </c>
      <c r="C2" s="6" t="s">
        <v>2209</v>
      </c>
      <c r="D2" s="6" t="s">
        <v>104</v>
      </c>
    </row>
    <row r="3" customFormat="false" ht="23.85" hidden="false" customHeight="false" outlineLevel="0" collapsed="false">
      <c r="A3" s="6" t="s">
        <v>999</v>
      </c>
      <c r="B3" s="6" t="s">
        <v>2210</v>
      </c>
      <c r="C3" s="6" t="s">
        <v>2211</v>
      </c>
      <c r="D3" s="6" t="s">
        <v>95</v>
      </c>
    </row>
    <row r="4" customFormat="false" ht="15" hidden="false" customHeight="false" outlineLevel="0" collapsed="false">
      <c r="A4" s="6" t="s">
        <v>570</v>
      </c>
      <c r="B4" s="6" t="s">
        <v>2212</v>
      </c>
      <c r="C4" s="6" t="s">
        <v>2213</v>
      </c>
      <c r="D4" s="6" t="s">
        <v>95</v>
      </c>
    </row>
    <row r="5" customFormat="false" ht="15" hidden="false" customHeight="false" outlineLevel="0" collapsed="false">
      <c r="A5" s="6" t="s">
        <v>243</v>
      </c>
      <c r="B5" s="6" t="s">
        <v>2214</v>
      </c>
      <c r="C5" s="6" t="s">
        <v>2215</v>
      </c>
      <c r="D5" s="6" t="s">
        <v>70</v>
      </c>
    </row>
    <row r="6" customFormat="false" ht="23.85" hidden="false" customHeight="false" outlineLevel="0" collapsed="false">
      <c r="A6" s="6" t="s">
        <v>2216</v>
      </c>
      <c r="B6" s="6" t="s">
        <v>2217</v>
      </c>
      <c r="C6" s="6" t="s">
        <v>2218</v>
      </c>
      <c r="D6" s="6" t="s">
        <v>104</v>
      </c>
    </row>
    <row r="7" customFormat="false" ht="23.85" hidden="false" customHeight="false" outlineLevel="0" collapsed="false">
      <c r="A7" s="6" t="s">
        <v>306</v>
      </c>
      <c r="B7" s="6" t="s">
        <v>2219</v>
      </c>
      <c r="C7" s="6" t="s">
        <v>2220</v>
      </c>
      <c r="D7" s="6" t="s">
        <v>104</v>
      </c>
    </row>
    <row r="8" customFormat="false" ht="15" hidden="false" customHeight="false" outlineLevel="0" collapsed="false">
      <c r="A8" s="6" t="s">
        <v>313</v>
      </c>
      <c r="B8" s="6" t="s">
        <v>2221</v>
      </c>
      <c r="C8" s="6" t="s">
        <v>2222</v>
      </c>
      <c r="D8" s="6" t="s">
        <v>95</v>
      </c>
    </row>
    <row r="9" customFormat="false" ht="15" hidden="false" customHeight="false" outlineLevel="0" collapsed="false">
      <c r="A9" s="6" t="s">
        <v>349</v>
      </c>
      <c r="B9" s="6" t="s">
        <v>2221</v>
      </c>
      <c r="C9" s="6" t="s">
        <v>2223</v>
      </c>
      <c r="D9" s="6" t="s">
        <v>95</v>
      </c>
    </row>
    <row r="10" customFormat="false" ht="15" hidden="false" customHeight="false" outlineLevel="0" collapsed="false">
      <c r="A10" s="6" t="s">
        <v>158</v>
      </c>
      <c r="B10" s="6" t="s">
        <v>2221</v>
      </c>
      <c r="C10" s="6" t="s">
        <v>2224</v>
      </c>
      <c r="D10" s="6" t="s">
        <v>104</v>
      </c>
    </row>
    <row r="11" customFormat="false" ht="15" hidden="false" customHeight="false" outlineLevel="0" collapsed="false">
      <c r="A11" s="6" t="s">
        <v>999</v>
      </c>
      <c r="B11" s="6" t="s">
        <v>2221</v>
      </c>
      <c r="C11" s="6" t="s">
        <v>2225</v>
      </c>
      <c r="D11" s="6" t="s">
        <v>95</v>
      </c>
    </row>
    <row r="12" customFormat="false" ht="15" hidden="false" customHeight="false" outlineLevel="0" collapsed="false">
      <c r="A12" s="6" t="s">
        <v>306</v>
      </c>
      <c r="B12" s="6" t="s">
        <v>2221</v>
      </c>
      <c r="C12" s="6" t="s">
        <v>2226</v>
      </c>
      <c r="D12" s="6" t="s">
        <v>104</v>
      </c>
    </row>
    <row r="13" customFormat="false" ht="23.85" hidden="false" customHeight="false" outlineLevel="0" collapsed="false">
      <c r="A13" s="6" t="s">
        <v>899</v>
      </c>
      <c r="B13" s="6" t="s">
        <v>2227</v>
      </c>
      <c r="C13" s="6" t="s">
        <v>2228</v>
      </c>
      <c r="D13" s="6" t="s">
        <v>70</v>
      </c>
    </row>
    <row r="14" customFormat="false" ht="15" hidden="false" customHeight="false" outlineLevel="0" collapsed="false">
      <c r="A14" s="6" t="s">
        <v>2229</v>
      </c>
      <c r="B14" s="6" t="s">
        <v>2230</v>
      </c>
      <c r="C14" s="6" t="s">
        <v>2231</v>
      </c>
      <c r="D14" s="6" t="s">
        <v>70</v>
      </c>
    </row>
    <row r="15" customFormat="false" ht="23.85" hidden="false" customHeight="false" outlineLevel="0" collapsed="false">
      <c r="A15" s="6" t="s">
        <v>439</v>
      </c>
      <c r="B15" s="6" t="s">
        <v>2232</v>
      </c>
      <c r="C15" s="6" t="s">
        <v>2233</v>
      </c>
      <c r="D15" s="6" t="s">
        <v>265</v>
      </c>
    </row>
    <row r="16" customFormat="false" ht="15" hidden="false" customHeight="false" outlineLevel="0" collapsed="false">
      <c r="A16" s="6" t="s">
        <v>2234</v>
      </c>
      <c r="B16" s="6" t="s">
        <v>2235</v>
      </c>
      <c r="C16" s="6" t="s">
        <v>2236</v>
      </c>
      <c r="D16" s="6" t="s">
        <v>304</v>
      </c>
    </row>
    <row r="17" customFormat="false" ht="15" hidden="false" customHeight="false" outlineLevel="0" collapsed="false">
      <c r="A17" s="6" t="s">
        <v>2237</v>
      </c>
      <c r="B17" s="6" t="s">
        <v>2238</v>
      </c>
      <c r="C17" s="6" t="s">
        <v>2239</v>
      </c>
      <c r="D17" s="6" t="s">
        <v>95</v>
      </c>
    </row>
    <row r="18" customFormat="false" ht="15" hidden="false" customHeight="false" outlineLevel="0" collapsed="false">
      <c r="A18" s="6" t="s">
        <v>904</v>
      </c>
      <c r="B18" s="6" t="s">
        <v>2210</v>
      </c>
      <c r="C18" s="6" t="s">
        <v>2240</v>
      </c>
      <c r="D18" s="6" t="s">
        <v>95</v>
      </c>
    </row>
    <row r="19" customFormat="false" ht="15" hidden="false" customHeight="false" outlineLevel="0" collapsed="false">
      <c r="A19" s="6" t="s">
        <v>2241</v>
      </c>
      <c r="B19" s="6" t="s">
        <v>2242</v>
      </c>
      <c r="C19" s="6" t="s">
        <v>2243</v>
      </c>
      <c r="D19" s="6" t="s">
        <v>568</v>
      </c>
    </row>
    <row r="20" customFormat="false" ht="23.85" hidden="false" customHeight="false" outlineLevel="0" collapsed="false">
      <c r="A20" s="6" t="s">
        <v>2241</v>
      </c>
      <c r="B20" s="6" t="s">
        <v>2244</v>
      </c>
      <c r="C20" s="6" t="s">
        <v>2245</v>
      </c>
      <c r="D20" s="6" t="s">
        <v>70</v>
      </c>
    </row>
  </sheetData>
  <autoFilter ref="A1:D2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2026-08-10T00:53:21Z</dcterms:created>
  <dc:creator>openpyxl</dc:creator>
  <dc:description/>
  <dc:language>en-US</dc:language>
  <cp:lastModifiedBy/>
  <dcterms:modified xsi:type="dcterms:W3CDTF">2026-08-10T00:53:21Z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