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ock Index" sheetId="2" state="visible" r:id="rId4"/>
    <sheet name="Comment Log" sheetId="3" state="visible" r:id="rId5"/>
    <sheet name="Full Log" sheetId="4" state="visible" r:id="rId6"/>
    <sheet name="Dashboard Notes" sheetId="5" state="visible" r:id="rId7"/>
    <sheet name="Our Notes" sheetId="6" state="visible" r:id="rId8"/>
    <sheet name="Follow-ups" sheetId="7" state="visible" r:id="rId9"/>
  </sheets>
  <definedNames>
    <definedName function="false" hidden="true" localSheetId="2" name="_xlnm._FilterDatabase" vbProcedure="false">'Comment Log'!$A$1:$D$280</definedName>
    <definedName function="false" hidden="true" localSheetId="4" name="_xlnm._FilterDatabase" vbProcedure="false">'Dashboard Notes'!$A$1:$C$54</definedName>
    <definedName function="false" hidden="true" localSheetId="6" name="_xlnm._FilterDatabase" vbProcedure="false">'Follow-ups'!$A$1:$D$20</definedName>
    <definedName function="false" hidden="true" localSheetId="3" name="_xlnm._FilterDatabase" vbProcedure="false">'Full Log'!$A$1:$D$1469</definedName>
    <definedName function="false" hidden="true" localSheetId="5" name="_xlnm._FilterDatabase" vbProcedure="false">'Our Notes'!$A$1:$F$2</definedName>
    <definedName function="false" hidden="true" localSheetId="1" name="_xlnm._FilterDatabase" vbProcedure="false">'Stock Index'!$A$1:$N$153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<sst xmlns="http://schemas.openxmlformats.org/spreadsheetml/2006/main" count="8524" uniqueCount="1763">
  <si>
    <t xml:space="preserve">PILLAR 4 - US STOCK NOTES</t>
  </si>
  <si>
    <t xml:space="preserve">What this is</t>
  </si>
  <si>
    <t xml:space="preserve">Every comment Claude has written about each stock in the US dashboard, kept in one place so you and Dad can re-read the reasoning instead of asking the same question twice.</t>
  </si>
  <si>
    <t xml:space="preserve">Generated</t>
  </si>
  <si>
    <t xml:space="preserve">2026-08-10</t>
  </si>
  <si>
    <t xml:space="preserve">Objective on record</t>
  </si>
  <si>
    <t xml:space="preserve">SL-P4: 100% capital gain over five years, 2026-2030 (about 15% a year).</t>
  </si>
  <si>
    <t xml:space="preserve">SHEET</t>
  </si>
  <si>
    <t xml:space="preserve">WHAT IS IN IT</t>
  </si>
  <si>
    <t xml:space="preserve">Stock Index</t>
  </si>
  <si>
    <t xml:space="preserve">One row per ticker: a plain-English line on WHAT THE COMPANY DOES, then group, whether you hold it, shares, cost, budget, last stored price, how many comments exist, and the most recent thing Claude said about it. Start here.</t>
  </si>
  <si>
    <t xml:space="preserve">Comment Log</t>
  </si>
  <si>
    <t xml:space="preserve">Executive summaries, one row per stock per week (Monday-Sunday). GREEN text = something positive, RED text = a risk or negative view, bold RED FLAG = urgent warning. The View column gives the week's overall tilt at a glance.</t>
  </si>
  <si>
    <t xml:space="preserve">Full Log</t>
  </si>
  <si>
    <t xml:space="preserve">The complete unabridged archive - every individual comment with its exact date, for when the summary is not enough.</t>
  </si>
  <si>
    <t xml:space="preserve">Dashboard Notes</t>
  </si>
  <si>
    <t xml:space="preserve">The dated technical notes stored inside the dashboard itself - data conflicts, earnings dates, warnings, what was verified and what was not. Longer and more detailed than the chat comments.</t>
  </si>
  <si>
    <t xml:space="preserve">Our Notes</t>
  </si>
  <si>
    <t xml:space="preserve">YOURS. Claude never overwrites this sheet - it is read back and carried forward on every rebuild. Put your own observations, Dad's notes, and decisions here.</t>
  </si>
  <si>
    <t xml:space="preserve">Follow-ups</t>
  </si>
  <si>
    <t xml:space="preserve">Open items Claude is carrying: unanswered offers, data to fix, earnings to watch.</t>
  </si>
  <si>
    <t xml:space="preserve">HOW TO LOOK UP ONE STOCK</t>
  </si>
  <si>
    <t xml:space="preserve">1</t>
  </si>
  <si>
    <t xml:space="preserve">Go to the Comment Log sheet.</t>
  </si>
  <si>
    <t xml:space="preserve">2</t>
  </si>
  <si>
    <t xml:space="preserve">Click the small arrow in the Ticker header (row 1, column A).</t>
  </si>
  <si>
    <t xml:space="preserve">3</t>
  </si>
  <si>
    <t xml:space="preserve">Untick "Select All", tick just the ticker you want, press OK.</t>
  </si>
  <si>
    <t xml:space="preserve">4</t>
  </si>
  <si>
    <t xml:space="preserve">Every comment about that stock, oldest to newest, is now on screen.</t>
  </si>
  <si>
    <t xml:space="preserve">5</t>
  </si>
  <si>
    <t xml:space="preserve">To clear it, click the arrow again and tick "Select All".</t>
  </si>
  <si>
    <t xml:space="preserve">IMPORTANT LIMITS</t>
  </si>
  <si>
    <t xml:space="preserve">Not advice</t>
  </si>
  <si>
    <t xml:space="preserve">These are analytical comments, not licensed investment advice. Every order is placed by Salee.</t>
  </si>
  <si>
    <t xml:space="preserve">Comments age</t>
  </si>
  <si>
    <t xml:space="preserve">A comment is a snapshot of what was true and known on its date. A buy case from three weeks ago may have been overtaken by an earnings report. Always check the date column.</t>
  </si>
  <si>
    <t xml:space="preserve">Prices are closes</t>
  </si>
  <si>
    <t xml:space="preserve">Prices in the Stock Index come from the dashboard and are closing prices with a stated date, not live quotes.</t>
  </si>
  <si>
    <t xml:space="preserve">Coverage</t>
  </si>
  <si>
    <t xml:space="preserve">Comments were mined from the chat history of the Jul 20 - Aug 7 2026 session plus the full git history of the dashboard. Anything said before that session is not captured.</t>
  </si>
  <si>
    <t xml:space="preserve">Ticker</t>
  </si>
  <si>
    <t xml:space="preserve">Company</t>
  </si>
  <si>
    <t xml:space="preserve">What the company does</t>
  </si>
  <si>
    <t xml:space="preserve">Group</t>
  </si>
  <si>
    <t xml:space="preserve">Held</t>
  </si>
  <si>
    <t xml:space="preserve">Shares</t>
  </si>
  <si>
    <t xml:space="preserve">Cost (USD)</t>
  </si>
  <si>
    <t xml:space="preserve">Budget (USD)</t>
  </si>
  <si>
    <t xml:space="preserve">Last close (USD)</t>
  </si>
  <si>
    <t xml:space="preserve">Price date</t>
  </si>
  <si>
    <t xml:space="preserve">Comments</t>
  </si>
  <si>
    <t xml:space="preserve">First comment</t>
  </si>
  <si>
    <t xml:space="preserve">Last comment</t>
  </si>
  <si>
    <t xml:space="preserve">Most recent comment</t>
  </si>
  <si>
    <t xml:space="preserve">AAPL</t>
  </si>
  <si>
    <t xml:space="preserve">Apple</t>
  </si>
  <si>
    <t xml:space="preserve">iPhone, Mac and services — the world's biggest consumer technology company.</t>
  </si>
  <si>
    <t xml:space="preserve">Hyperscalers</t>
  </si>
  <si>
    <t xml:space="preserve">YES</t>
  </si>
  <si>
    <t xml:space="preserve">2026-08-07</t>
  </si>
  <si>
    <t xml:space="preserve">2026-07-20</t>
  </si>
  <si>
    <t xml:space="preserve">2026-08-04</t>
  </si>
  <si>
    <t xml:space="preserve">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</si>
  <si>
    <t xml:space="preserve">AMZN</t>
  </si>
  <si>
    <t xml:space="preserve">Amazon</t>
  </si>
  <si>
    <t xml:space="preserve">Online shopping giant, and the world's largest cloud-computing provider (AWS).</t>
  </si>
  <si>
    <t xml:space="preserve">Your AMZN buy is logged. 7 shares @ $285.3599 (limit 285.50, order 65487), $1,997.52 + $8.56 fees = $2,006.08. You now hold 209 shares at an average cost of $232.54, worth $59,360 — up 22.1%. Budget left in the Amazon sleeve: $1,399.25, so that position is now essentially full.</t>
  </si>
  <si>
    <t xml:space="preserve">GOOGL</t>
  </si>
  <si>
    <t xml:space="preserve">Alphabet</t>
  </si>
  <si>
    <t xml:space="preserve">Google search and YouTube advertising, plus Google Cloud and Waymo self-driving cars.</t>
  </si>
  <si>
    <t xml:space="preserve">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</si>
  <si>
    <t xml:space="preserve">META</t>
  </si>
  <si>
    <t xml:space="preserve">Meta Platforms</t>
  </si>
  <si>
    <t xml:space="preserve">Facebook, Instagram and WhatsApp — sells advertising to their billions of users.</t>
  </si>
  <si>
    <t xml:space="preserve">2026-08-05</t>
  </si>
  <si>
    <t xml:space="preserve">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</si>
  <si>
    <t xml:space="preserve">MSFT</t>
  </si>
  <si>
    <t xml:space="preserve">Microsoft</t>
  </si>
  <si>
    <t xml:space="preserve">Windows and Office software, Azure cloud computing, and a large stake in OpenAI.</t>
  </si>
  <si>
    <t xml:space="preserve">2026-08-06</t>
  </si>
  <si>
    <t xml:space="preserve">- VEEV's return-on-capital reads 176% on one source and 31% on another. I stored the conservative 31.44%. The 176% is a maths artifact — Veeva has almost no debt and a tiny capital base, so the ratio explodes. Don't read it as "six times better than Microsoft."</t>
  </si>
  <si>
    <t xml:space="preserve">AMD</t>
  </si>
  <si>
    <t xml:space="preserve">Advanced Micro Devices</t>
  </si>
  <si>
    <t xml:space="preserve">Designs computer processors and AI chips — Nvidia's main challenger.</t>
  </si>
  <si>
    <t xml:space="preserve">Computing Chips</t>
  </si>
  <si>
    <t xml:space="preserve">2026-07-21</t>
  </si>
  <si>
    <t xml:space="preserve">&gt;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</si>
  <si>
    <t xml:space="preserve">ARM</t>
  </si>
  <si>
    <t xml:space="preserve">Arm Holdings</t>
  </si>
  <si>
    <t xml:space="preserve">Licenses the chip blueprints used inside nearly every smartphone in the world.</t>
  </si>
  <si>
    <t xml:space="preserve">Portfolio now: $560,432 cost, $683,857 market value, +$123,426 (+22.02%). A strong day across the board — 109 of 112 names repriced, and the tone was risk-on: PLTR +29%, AAOI +19%, ARM +17%, FN +16%, your own AMD +7% and AVGO +6.6%.</t>
  </si>
  <si>
    <t xml:space="preserve">AVGO</t>
  </si>
  <si>
    <t xml:space="preserve">Broadcom</t>
  </si>
  <si>
    <t xml:space="preserve">Custom AI chips and networking parts, plus a large enterprise software business.</t>
  </si>
  <si>
    <t xml:space="preserve">2026-07-23</t>
  </si>
  <si>
    <t xml:space="preserve">INTC</t>
  </si>
  <si>
    <t xml:space="preserve">Intel</t>
  </si>
  <si>
    <t xml:space="preserve">The historic US chipmaker, now rebuilding both its chip designs and its factories.</t>
  </si>
  <si>
    <t xml:space="preserve">2026-08-03</t>
  </si>
  <si>
    <t xml:space="preserve">&gt; Conviction: High. Horizon: Long (3–5 years, fits the 2030 mandate). What would change my mind: a serious Taiwan Strait escalation, or evidence that Intel or Samsung has genuinely closed the leading-edge manufacturing gap.</t>
  </si>
  <si>
    <t xml:space="preserve">MCHP</t>
  </si>
  <si>
    <t xml:space="preserve">Microchip Technology</t>
  </si>
  <si>
    <t xml:space="preserve">Microcontrollers and analog chips for cars, factory equipment and data centres.</t>
  </si>
  <si>
    <t xml:space="preserve">2026-08-09</t>
  </si>
  <si>
    <t xml:space="preserve">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</si>
  <si>
    <t xml:space="preserve">MRVL</t>
  </si>
  <si>
    <t xml:space="preserve">Marvell Technology</t>
  </si>
  <si>
    <t xml:space="preserve">Custom data-centre chips that move data between AI servers.</t>
  </si>
  <si>
    <t xml:space="preserve">2026-07-22</t>
  </si>
  <si>
    <t xml:space="preserve">⚠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</si>
  <si>
    <t xml:space="preserve">NVDA</t>
  </si>
  <si>
    <t xml:space="preserve">NVIDIA</t>
  </si>
  <si>
    <t xml:space="preserve">Makes the GPU chips that almost all AI computing runs on.</t>
  </si>
  <si>
    <t xml:space="preserve">-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</si>
  <si>
    <t xml:space="preserve">ON</t>
  </si>
  <si>
    <t xml:space="preserve">ON Semiconductor</t>
  </si>
  <si>
    <t xml:space="preserve">Power and sensing chips for electric cars, industry and AI data centres.</t>
  </si>
  <si>
    <t xml:space="preserve">No comment on record yet.</t>
  </si>
  <si>
    <t xml:space="preserve">QCOM</t>
  </si>
  <si>
    <t xml:space="preserve">Qualcomm</t>
  </si>
  <si>
    <t xml:space="preserve">Smartphone processors and modems, expanding into cars and AI laptops.</t>
  </si>
  <si>
    <t xml:space="preserve">TSM</t>
  </si>
  <si>
    <t xml:space="preserve">Taiwan Semiconductor</t>
  </si>
  <si>
    <t xml:space="preserve">The world's chip factory — actually manufactures the chips Nvidia, Apple and AMD design.</t>
  </si>
  <si>
    <t xml:space="preserve">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</si>
  <si>
    <t xml:space="preserve">AEHR</t>
  </si>
  <si>
    <t xml:space="preserve">Aehr Test Systems</t>
  </si>
  <si>
    <t xml:space="preserve">Burn-in machines that stress-test chips, both on the wafer and after packaging.</t>
  </si>
  <si>
    <t xml:space="preserve">Chips Manufacturing</t>
  </si>
  <si>
    <t xml:space="preserve">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</si>
  <si>
    <t xml:space="preserve">AMAT</t>
  </si>
  <si>
    <t xml:space="preserve">Applied Materials</t>
  </si>
  <si>
    <t xml:space="preserve">Equipment that deposits and etches the microscopic layers inside every chip.</t>
  </si>
  <si>
    <t xml:space="preserve">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</si>
  <si>
    <t xml:space="preserve">AMKR</t>
  </si>
  <si>
    <t xml:space="preserve">Amkor Technology</t>
  </si>
  <si>
    <t xml:space="preserve">Packages and tests finished chips on behalf of other chip companies.</t>
  </si>
  <si>
    <t xml:space="preserve">Worth noting on the close: MU finished at $820.53, +35.89%, recovering above where it traded intraday — the market did not fully buy the CXMT supply-glut story. The real damage on the book is older wounds, not Jul 28: AMKR −27.26%, ORCL −27.85%, TSLA −28.58%.</t>
  </si>
  <si>
    <t xml:space="preserve">ASML</t>
  </si>
  <si>
    <t xml:space="preserve">ASML Holding</t>
  </si>
  <si>
    <t xml:space="preserve">The only company that makes the EUV machines needed for the most advanced chips.</t>
  </si>
  <si>
    <t xml:space="preserve">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</si>
  <si>
    <t xml:space="preserve">KLAC</t>
  </si>
  <si>
    <t xml:space="preserve">KLA Corporation</t>
  </si>
  <si>
    <t xml:space="preserve">Inspection machines that find microscopic defects on chips during manufacturing.</t>
  </si>
  <si>
    <t xml:space="preserve">2026-07-31</t>
  </si>
  <si>
    <t xml:space="preserve">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</si>
  <si>
    <t xml:space="preserve">LRCX</t>
  </si>
  <si>
    <t xml:space="preserve">Lam Research</t>
  </si>
  <si>
    <t xml:space="preserve">Etching and deposition equipment, especially important for advanced memory chips.</t>
  </si>
  <si>
    <t xml:space="preserve">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</si>
  <si>
    <t xml:space="preserve">MU</t>
  </si>
  <si>
    <t xml:space="preserve">Micron Technology</t>
  </si>
  <si>
    <t xml:space="preserve">Memory chips, including the high-speed HBM memory that feeds AI processors.</t>
  </si>
  <si>
    <t xml:space="preserve">Memory &amp; Storage</t>
  </si>
  <si>
    <t xml:space="preserve">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</si>
  <si>
    <t xml:space="preserve">SKHY</t>
  </si>
  <si>
    <t xml:space="preserve">SK hynix (NASDAQ ADR, listed Jul 10 '26)</t>
  </si>
  <si>
    <t xml:space="preserve">Korean memory maker — the leading supplier of HBM memory used by AI chips.</t>
  </si>
  <si>
    <t xml:space="preserve">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</si>
  <si>
    <t xml:space="preserve">SNDK</t>
  </si>
  <si>
    <t xml:space="preserve">SanDisk</t>
  </si>
  <si>
    <t xml:space="preserve">Flash memory and SSD storage, spun out of Western Digital.</t>
  </si>
  <si>
    <t xml:space="preserve">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</si>
  <si>
    <t xml:space="preserve">STX</t>
  </si>
  <si>
    <t xml:space="preserve">Seagate Technology</t>
  </si>
  <si>
    <t xml:space="preserve">Hard disk drives — the bulk storage that fills data centres.</t>
  </si>
  <si>
    <t xml:space="preserve">2026-07-29</t>
  </si>
  <si>
    <t xml:space="preserve">2026-08-01</t>
  </si>
  <si>
    <t xml:space="preserve">I caught this because when I pulled the full history tables for those names, the number stored on the board matched the Jul 29 row exactly, every single time. ARM 224.89, SNDK 1015.89, STX 764.43, DELL 369.64, and thirty-plus more.</t>
  </si>
  <si>
    <t xml:space="preserve">WDC</t>
  </si>
  <si>
    <t xml:space="preserve">Western Digital</t>
  </si>
  <si>
    <t xml:space="preserve">Hard drives and storage systems for data centres and consumers.</t>
  </si>
  <si>
    <t xml:space="preserve">When I corrected WDC's Jul 28 close yesterday I never rescaled its market cap. Same error I *had* caught on SKHY and missed here. SNDK had it too, just under the warning threshold. Both fixed by preserving implied share count — WDC 189.02 → 202.69, SNDK 235.37 → 230.94.</t>
  </si>
  <si>
    <t xml:space="preserve">AAOI</t>
  </si>
  <si>
    <t xml:space="preserve">Applied Optoelectronics</t>
  </si>
  <si>
    <t xml:space="preserve">Optical transceivers that carry data as light inside data centres.</t>
  </si>
  <si>
    <t xml:space="preserve">Photonic &amp; Optic Fiber</t>
  </si>
  <si>
    <t xml:space="preserve">ALAB</t>
  </si>
  <si>
    <t xml:space="preserve">Astera Labs</t>
  </si>
  <si>
    <t xml:space="preserve">Connectivity chips that link AI processors together at very high speed.</t>
  </si>
  <si>
    <t xml:space="preserve">One last flag: APH and LITE sit in the same dashboard group. Adding aggressively to both concentrates dad further into the interconnect layer, which already includes ANET, CRDO and ALAB. That's a fine theme — it's just no longer a diversifying one.</t>
  </si>
  <si>
    <t xml:space="preserve">ANET</t>
  </si>
  <si>
    <t xml:space="preserve">Arista Networks</t>
  </si>
  <si>
    <t xml:space="preserve">High-speed network switches that connect the servers in AI data centres.</t>
  </si>
  <si>
    <t xml:space="preserve">2026-07-24</t>
  </si>
  <si>
    <t xml:space="preserve">APH</t>
  </si>
  <si>
    <t xml:space="preserve">Amphenol</t>
  </si>
  <si>
    <t xml:space="preserve">Connectors and cables — the physical plumbing of all electronics.</t>
  </si>
  <si>
    <t xml:space="preserve">2026-07-30</t>
  </si>
  <si>
    <t xml:space="preserve">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</si>
  <si>
    <t xml:space="preserve">AXTI</t>
  </si>
  <si>
    <t xml:space="preserve">AXT Inc</t>
  </si>
  <si>
    <t xml:space="preserve">Grows the crystal wafers (indium phosphide) that optical components are built on.</t>
  </si>
  <si>
    <t xml:space="preserve">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</si>
  <si>
    <t xml:space="preserve">COHR</t>
  </si>
  <si>
    <t xml:space="preserve">Coherent</t>
  </si>
  <si>
    <t xml:space="preserve">Lasers and optical components for data centres and industrial use.</t>
  </si>
  <si>
    <t xml:space="preserve">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</si>
  <si>
    <t xml:space="preserve">CRDO</t>
  </si>
  <si>
    <t xml:space="preserve">Credo Technology</t>
  </si>
  <si>
    <t xml:space="preserve">High-speed cables and chips that move data inside AI server racks.</t>
  </si>
  <si>
    <t xml:space="preserve">FN</t>
  </si>
  <si>
    <t xml:space="preserve">Fabrinet</t>
  </si>
  <si>
    <t xml:space="preserve">Contract manufacturer that builds optical modules for other companies.</t>
  </si>
  <si>
    <t xml:space="preserve">GLW</t>
  </si>
  <si>
    <t xml:space="preserve">Corning</t>
  </si>
  <si>
    <t xml:space="preserve">Corning — optical fibre for networks and the tough glass on phone screens.</t>
  </si>
  <si>
    <t xml:space="preserve">$119.26,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</si>
  <si>
    <t xml:space="preserve">LITE</t>
  </si>
  <si>
    <t xml:space="preserve">Lumentum</t>
  </si>
  <si>
    <t xml:space="preserve">Lasers and optical modules; a key supplier for AI data-centre networking.</t>
  </si>
  <si>
    <t xml:space="preserve">LWLG</t>
  </si>
  <si>
    <t xml:space="preserve">Lightwave Logic</t>
  </si>
  <si>
    <t xml:space="preserve">Pre-revenue developer of polymer materials that could speed up optical chips.</t>
  </si>
  <si>
    <t xml:space="preserve">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</si>
  <si>
    <t xml:space="preserve">POET</t>
  </si>
  <si>
    <t xml:space="preserve">POET Technologies</t>
  </si>
  <si>
    <t xml:space="preserve">Small developer of optical 'engines' that combine light and electronics on one chip.</t>
  </si>
  <si>
    <t xml:space="preserve">AXTI is live on the dashboard — 126th name, sitting in Photonic &amp; Optic Fiber alongside LITE, COHR, AAOI and POET. Watchlist only, no position and no budget. Pushed as `effe9e9`; refresh https://sakulratpradit.github.io/p4-trrsg5/ to see it.</t>
  </si>
  <si>
    <t xml:space="preserve">AMPX</t>
  </si>
  <si>
    <t xml:space="preserve">Amprius Technologies</t>
  </si>
  <si>
    <t xml:space="preserve">High-energy silicon-anode batteries for drones and aviation.</t>
  </si>
  <si>
    <t xml:space="preserve">Energy</t>
  </si>
  <si>
    <t xml:space="preserve">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</si>
  <si>
    <t xml:space="preserve">ENPH</t>
  </si>
  <si>
    <t xml:space="preserve">Enphase Energy</t>
  </si>
  <si>
    <t xml:space="preserve">Solar microinverters and home battery systems for rooftop solar.</t>
  </si>
  <si>
    <t xml:space="preserve">2026-07-25</t>
  </si>
  <si>
    <t xml:space="preserve">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</si>
  <si>
    <t xml:space="preserve">EOSE</t>
  </si>
  <si>
    <t xml:space="preserve">Eos Energy Enterprises</t>
  </si>
  <si>
    <t xml:space="preserve">Zinc-based batteries designed for long-duration electricity grid storage.</t>
  </si>
  <si>
    <t xml:space="preserve">Palantir's revenue *is* other enterprises applying AI internally. Q1 2026: revenue $1.633 billion, +85%. US commercial +133%. Net revenue retention 150%+ — existing customers spend half again as much each year without Palantir adding a single new logo.</t>
  </si>
  <si>
    <t xml:space="preserve">FSLR</t>
  </si>
  <si>
    <t xml:space="preserve">First Solar</t>
  </si>
  <si>
    <t xml:space="preserve">The largest US solar-panel maker, and a winner from tariffs on foreign solar.</t>
  </si>
  <si>
    <t xml:space="preserve">2026-08-08</t>
  </si>
  <si>
    <t xml:space="preserve">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</si>
  <si>
    <t xml:space="preserve">TE</t>
  </si>
  <si>
    <t xml:space="preserve">T1 Energy</t>
  </si>
  <si>
    <t xml:space="preserve">Solar manufacturing company (formerly Freyr) building US solar capacity.</t>
  </si>
  <si>
    <t xml:space="preserve">TSLA</t>
  </si>
  <si>
    <t xml:space="preserve">Tesla</t>
  </si>
  <si>
    <t xml:space="preserve">Electric cars, plus a fast-growing battery-storage business and robotics ambitions.</t>
  </si>
  <si>
    <t xml:space="preserve">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</si>
  <si>
    <t xml:space="preserve">CGNX</t>
  </si>
  <si>
    <t xml:space="preserve">Cognex</t>
  </si>
  <si>
    <t xml:space="preserve">Machine-vision systems that let factory robots and machines 'see'.</t>
  </si>
  <si>
    <t xml:space="preserve">Robotic / Automation / EV</t>
  </si>
  <si>
    <t xml:space="preserve">Excellent — the real grouping. I've transcribed your note (INTL→INTC, CONX→CGNX, ONDAS→ONDS, and IBM moving to Quantum — nice touch). Before I flag the gaps, let me rebuild:</t>
  </si>
  <si>
    <t xml:space="preserve">ISRG</t>
  </si>
  <si>
    <t xml:space="preserve">Intuitive Surgical</t>
  </si>
  <si>
    <t xml:space="preserve">Maker of the da Vinci surgical robot used in hospitals worldwide.</t>
  </si>
  <si>
    <t xml:space="preserve">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</si>
  <si>
    <t xml:space="preserve">OUST</t>
  </si>
  <si>
    <t xml:space="preserve">Ouster</t>
  </si>
  <si>
    <t xml:space="preserve">Lidar sensors — the 'eyes' for robots and self-driving vehicles.</t>
  </si>
  <si>
    <t xml:space="preserve">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</si>
  <si>
    <t xml:space="preserve">ROK</t>
  </si>
  <si>
    <t xml:space="preserve">Rockwell Automation</t>
  </si>
  <si>
    <t xml:space="preserve">Factory automation equipment and industrial control software.</t>
  </si>
  <si>
    <t xml:space="preserve">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</si>
  <si>
    <t xml:space="preserve">TER</t>
  </si>
  <si>
    <t xml:space="preserve">Teradyne</t>
  </si>
  <si>
    <t xml:space="preserve">Machines that test finished chips, plus industrial and collaborative robots.</t>
  </si>
  <si>
    <t xml:space="preserve">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</si>
  <si>
    <t xml:space="preserve">ASTS</t>
  </si>
  <si>
    <t xml:space="preserve">AST SpaceMobile</t>
  </si>
  <si>
    <t xml:space="preserve">Building satellites that connect directly to ordinary mobile phones from space.</t>
  </si>
  <si>
    <t xml:space="preserve">Space</t>
  </si>
  <si>
    <t xml:space="preserve">ASTS — the quote page served me a snapshot from July 13, eighteen days old, with no warning that it was old. The history table was current, so I used that (59.02). This is the one name in all 60 that rests on a single source. Everything else has at least two.</t>
  </si>
  <si>
    <t xml:space="preserve">LUNR</t>
  </si>
  <si>
    <t xml:space="preserve">Intuitive Machines</t>
  </si>
  <si>
    <t xml:space="preserve">Builds Moon landers plus satellites and space services for NASA and defence customers.</t>
  </si>
  <si>
    <t xml:space="preserve">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</si>
  <si>
    <t xml:space="preserve">PL</t>
  </si>
  <si>
    <t xml:space="preserve">Planet Labs</t>
  </si>
  <si>
    <t xml:space="preserve">Operates satellites that photograph the whole Earth daily and sells the imagery.</t>
  </si>
  <si>
    <t xml:space="preserve">| PL $22.83 | Planet Labs | Beat and raised, but wild — down 26% in a single day in June, up 15.6% in another. Roughly 9% of its shares are sold short. |</t>
  </si>
  <si>
    <t xml:space="preserve">RKLB</t>
  </si>
  <si>
    <t xml:space="preserve">Rocket Lab</t>
  </si>
  <si>
    <t xml:space="preserve">Small rockets and satellites — a leading commercial space launch company.</t>
  </si>
  <si>
    <t xml:space="preserve">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</si>
  <si>
    <t xml:space="preserve">SIDU</t>
  </si>
  <si>
    <t xml:space="preserve">Sidus Space</t>
  </si>
  <si>
    <t xml:space="preserve">Very small company that 3D-prints compact satellites; still early stage.</t>
  </si>
  <si>
    <t xml:space="preserve">SPCX</t>
  </si>
  <si>
    <t xml:space="preserve">SpaceX</t>
  </si>
  <si>
    <t xml:space="preserve">SpaceX — rockets, Starship, and the Starlink satellite internet network.</t>
  </si>
  <si>
    <t xml:space="preserve">AVAV</t>
  </si>
  <si>
    <t xml:space="preserve">AeroVironment</t>
  </si>
  <si>
    <t xml:space="preserve">Military drones and loitering munitions for the US and allied forces.</t>
  </si>
  <si>
    <t xml:space="preserve">Drone &amp; Defense</t>
  </si>
  <si>
    <t xml:space="preserve">Clear split. Group 7 holds RKLB/ASTS/SPACEX (space) and PLTR/AVAV/ONDS/MDB (drone &amp; defense). I'll make Space and Drone &amp; Defense adjacent groups, plus add the cash card to the Portfolio page. Starting with the data reindex.</t>
  </si>
  <si>
    <t xml:space="preserve">AXON</t>
  </si>
  <si>
    <t xml:space="preserve">Axon Enterprise</t>
  </si>
  <si>
    <t xml:space="preserve">Tasers, police body cameras, drones and the evidence software behind them.</t>
  </si>
  <si>
    <t xml:space="preserve">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</si>
  <si>
    <t xml:space="preserve">LMT</t>
  </si>
  <si>
    <t xml:space="preserve">Lockheed Martin</t>
  </si>
  <si>
    <t xml:space="preserve">The world's largest defence contractor — F-35 fighter jets and missile defence.</t>
  </si>
  <si>
    <t xml:space="preserve">NOC</t>
  </si>
  <si>
    <t xml:space="preserve">Northrop Grumman</t>
  </si>
  <si>
    <t xml:space="preserve">Builds the B-21 stealth bomber, nuclear missiles and space systems.</t>
  </si>
  <si>
    <t xml:space="preserve">ONDS</t>
  </si>
  <si>
    <t xml:space="preserve">Ondas Holdings</t>
  </si>
  <si>
    <t xml:space="preserve">Defence and security drones and counter-drone systems, plus private wireless networks.</t>
  </si>
  <si>
    <t xml:space="preserve">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</si>
  <si>
    <t xml:space="preserve">PLTR</t>
  </si>
  <si>
    <t xml:space="preserve">Palantir</t>
  </si>
  <si>
    <t xml:space="preserve">Software that helps governments and companies make sense of huge amounts of data.</t>
  </si>
  <si>
    <t xml:space="preserve">RCAT</t>
  </si>
  <si>
    <t xml:space="preserve">Red Cat Holdings</t>
  </si>
  <si>
    <t xml:space="preserve">Small military drones; its Black Widow won a US Army reconnaissance programme.</t>
  </si>
  <si>
    <t xml:space="preserve">RTX</t>
  </si>
  <si>
    <t xml:space="preserve">RTX Corp</t>
  </si>
  <si>
    <t xml:space="preserve">Patriot and AIM-9X missiles, jet engines, and aerospace components.</t>
  </si>
  <si>
    <t xml:space="preserve">IBM</t>
  </si>
  <si>
    <t xml:space="preserve">Enterprise software and consulting, plus one of the leading quantum computing programmes.</t>
  </si>
  <si>
    <t xml:space="preserve">Quantum</t>
  </si>
  <si>
    <t xml:space="preserve">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</si>
  <si>
    <t xml:space="preserve">IONQ</t>
  </si>
  <si>
    <t xml:space="preserve">IonQ</t>
  </si>
  <si>
    <t xml:space="preserve">Builds quantum computers using trapped ions; still early-stage and loss-making.</t>
  </si>
  <si>
    <t xml:space="preserve">ADBE</t>
  </si>
  <si>
    <t xml:space="preserve">Adobe</t>
  </si>
  <si>
    <t xml:space="preserve">Photoshop and the creative software suite, now adding AI design tools.</t>
  </si>
  <si>
    <t xml:space="preserve">SaaS</t>
  </si>
  <si>
    <t xml:space="preserve">2026-07-28</t>
  </si>
  <si>
    <t xml:space="preserve">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</si>
  <si>
    <t xml:space="preserve">APP</t>
  </si>
  <si>
    <t xml:space="preserve">AppLovin</t>
  </si>
  <si>
    <t xml:space="preserve">Advertising software that helps mobile apps and games find new users.</t>
  </si>
  <si>
    <t xml:space="preserve">⚠️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</si>
  <si>
    <t xml:space="preserve">CDNS</t>
  </si>
  <si>
    <t xml:space="preserve">Cadence Design Systems</t>
  </si>
  <si>
    <t xml:space="preserve">The software that engineers use to design computer chips.</t>
  </si>
  <si>
    <t xml:space="preserve">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</si>
  <si>
    <t xml:space="preserve">CRM</t>
  </si>
  <si>
    <t xml:space="preserve">Salesforce</t>
  </si>
  <si>
    <t xml:space="preserve">Salesforce — the customer-management software used by sales teams worldwide.</t>
  </si>
  <si>
    <t xml:space="preserve">Nothing on either list reports earnings between today and Aug 20. The nearest is Salesforce on Aug 26 (company-confirmed). Twenty days out — far enough that you're not gambling on an earnings print, but close enough that you should know it's coming.</t>
  </si>
  <si>
    <t xml:space="preserve">DDOG</t>
  </si>
  <si>
    <t xml:space="preserve">Datadog</t>
  </si>
  <si>
    <t xml:space="preserve">Monitoring software that tells companies the moment their systems break.</t>
  </si>
  <si>
    <t xml:space="preserve">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</si>
  <si>
    <t xml:space="preserve">MDB</t>
  </si>
  <si>
    <t xml:space="preserve">MongoDB</t>
  </si>
  <si>
    <t xml:space="preserve">MongoDB — a widely used database for modern applications.</t>
  </si>
  <si>
    <t xml:space="preserve">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</si>
  <si>
    <t xml:space="preserve">NOW</t>
  </si>
  <si>
    <t xml:space="preserve">ServiceNow</t>
  </si>
  <si>
    <t xml:space="preserve">ServiceNow — workflow software that automates company IT and HR tasks.</t>
  </si>
  <si>
    <t xml:space="preserve">ORCL</t>
  </si>
  <si>
    <t xml:space="preserve">Oracle</t>
  </si>
  <si>
    <t xml:space="preserve">Databases and business software, and now a large AI cloud provider.</t>
  </si>
  <si>
    <t xml:space="preserve">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</si>
  <si>
    <t xml:space="preserve">SNOW</t>
  </si>
  <si>
    <t xml:space="preserve">Snowflake</t>
  </si>
  <si>
    <t xml:space="preserve">Cloud data warehouse where companies store and analyse all their data.</t>
  </si>
  <si>
    <t xml:space="preserve">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</si>
  <si>
    <t xml:space="preserve">TEAM</t>
  </si>
  <si>
    <t xml:space="preserve">Atlassian</t>
  </si>
  <si>
    <t xml:space="preserve">Atlassian — Jira, Confluence and Trello, the tools teams use to track work.</t>
  </si>
  <si>
    <t xml:space="preserve">VEEV</t>
  </si>
  <si>
    <t xml:space="preserve">Veeva Systems</t>
  </si>
  <si>
    <t xml:space="preserve">Cloud software built specifically for pharmaceutical and life-science companies.</t>
  </si>
  <si>
    <t xml:space="preserve">ZETA</t>
  </si>
  <si>
    <t xml:space="preserve">Zeta Global</t>
  </si>
  <si>
    <t xml:space="preserve">Marketing software that uses data and AI to target customers.</t>
  </si>
  <si>
    <t xml:space="preserve">⚠️ One correction worth knowing: you may see headlines saying "Zeta missed on earnings per share." They're wrong. Data vendors compared an *adjusted* estimate against the company's *GAAP* actual — an apples-to-oranges comparison. Zeta never published an adjusted number. Ignore those headlines.</t>
  </si>
  <si>
    <t xml:space="preserve">KO</t>
  </si>
  <si>
    <t xml:space="preserve">Coca-Cola</t>
  </si>
  <si>
    <t xml:space="preserve">Coca-Cola — the world's largest soft-drink company.</t>
  </si>
  <si>
    <t xml:space="preserve">Consumer / F&amp;B</t>
  </si>
  <si>
    <t xml:space="preserve">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</si>
  <si>
    <t xml:space="preserve">MCD</t>
  </si>
  <si>
    <t xml:space="preserve">McDonald's</t>
  </si>
  <si>
    <t xml:space="preserve">McDonald's — the world's largest fast-food restaurant chain.</t>
  </si>
  <si>
    <t xml:space="preserve">⚠️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</si>
  <si>
    <t xml:space="preserve">SBUX</t>
  </si>
  <si>
    <t xml:space="preserve">Starbucks</t>
  </si>
  <si>
    <t xml:space="preserve">Starbucks — the global coffee-shop chain.</t>
  </si>
  <si>
    <t xml:space="preserve">YUM</t>
  </si>
  <si>
    <t xml:space="preserve">Yum! Brands</t>
  </si>
  <si>
    <t xml:space="preserve">Owns KFC, Pizza Hut and Taco Bell.</t>
  </si>
  <si>
    <t xml:space="preserve">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</si>
  <si>
    <t xml:space="preserve">CRSP</t>
  </si>
  <si>
    <t xml:space="preserve">CRISPR Therapeutics</t>
  </si>
  <si>
    <t xml:space="preserve">Gene-editing biotech; co-developed Casgevy, the first approved CRISPR medicine.</t>
  </si>
  <si>
    <t xml:space="preserve">Healthcare</t>
  </si>
  <si>
    <t xml:space="preserve">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</si>
  <si>
    <t xml:space="preserve">HNGE</t>
  </si>
  <si>
    <t xml:space="preserve">Hinge Health</t>
  </si>
  <si>
    <t xml:space="preserve">Hinge Health — app-based physical therapy for back and joint pain.</t>
  </si>
  <si>
    <t xml:space="preserve">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</si>
  <si>
    <t xml:space="preserve">JNJ</t>
  </si>
  <si>
    <t xml:space="preserve">Johnson &amp; Johnson</t>
  </si>
  <si>
    <t xml:space="preserve">Johnson &amp; Johnson — prescription medicines and medical devices.</t>
  </si>
  <si>
    <t xml:space="preserve">&gt;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</si>
  <si>
    <t xml:space="preserve">TEM</t>
  </si>
  <si>
    <t xml:space="preserve">Tempus AI</t>
  </si>
  <si>
    <t xml:space="preserve">Tempus AI — applies AI to medical and genetic data to guide cancer treatment.</t>
  </si>
  <si>
    <t xml:space="preserve">TMDX</t>
  </si>
  <si>
    <t xml:space="preserve">TransMedics Group</t>
  </si>
  <si>
    <t xml:space="preserve">'Organ-in-a-box' machines that keep donor organs alive during transport.</t>
  </si>
  <si>
    <t xml:space="preserve">UNH</t>
  </si>
  <si>
    <t xml:space="preserve">UnitedHealth</t>
  </si>
  <si>
    <t xml:space="preserve">America's largest health insurer, plus a very large healthcare services arm.</t>
  </si>
  <si>
    <t xml:space="preserve">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</si>
  <si>
    <t xml:space="preserve">APLD</t>
  </si>
  <si>
    <t xml:space="preserve">Applied Digital</t>
  </si>
  <si>
    <t xml:space="preserve">Builds and rents out data centres designed for AI computing.</t>
  </si>
  <si>
    <t xml:space="preserve">Neocloud Watch</t>
  </si>
  <si>
    <t xml:space="preserve">CIFR</t>
  </si>
  <si>
    <t xml:space="preserve">Cipher Mining</t>
  </si>
  <si>
    <t xml:space="preserve">Bitcoin miner converting its power sites into AI data-centre hosting.</t>
  </si>
  <si>
    <t xml:space="preserve">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</si>
  <si>
    <t xml:space="preserve">CORZ</t>
  </si>
  <si>
    <t xml:space="preserve">Core Scientific</t>
  </si>
  <si>
    <t xml:space="preserve">Former bitcoin miner now hosting AI and high-performance computing.</t>
  </si>
  <si>
    <t xml:space="preserve">CRWV</t>
  </si>
  <si>
    <t xml:space="preserve">CoreWeave</t>
  </si>
  <si>
    <t xml:space="preserve">CoreWeave — rents Nvidia GPU computing power to AI companies.</t>
  </si>
  <si>
    <t xml:space="preserve">DELL</t>
  </si>
  <si>
    <t xml:space="preserve">Dell Technologies</t>
  </si>
  <si>
    <t xml:space="preserve">Servers and PCs; one of the largest suppliers of AI server systems.</t>
  </si>
  <si>
    <t xml:space="preserve">HPE</t>
  </si>
  <si>
    <t xml:space="preserve">Hewlett Packard Enterprise</t>
  </si>
  <si>
    <t xml:space="preserve">Enterprise servers, storage and networking equipment for data centres.</t>
  </si>
  <si>
    <t xml:space="preserve">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</si>
  <si>
    <t xml:space="preserve">HUT</t>
  </si>
  <si>
    <t xml:space="preserve">Hut 8 Corp</t>
  </si>
  <si>
    <t xml:space="preserve">Owns power sites and data centres leased for AI; bitcoin mining held via a stake.</t>
  </si>
  <si>
    <t xml:space="preserve">IREN</t>
  </si>
  <si>
    <t xml:space="preserve">IREN (Iris Energy)</t>
  </si>
  <si>
    <t xml:space="preserve">Data-centre operator shifting from bitcoin mining to AI computing.</t>
  </si>
  <si>
    <t xml:space="preserve">KEEL</t>
  </si>
  <si>
    <t xml:space="preserve">Keel Infrastructure</t>
  </si>
  <si>
    <t xml:space="preserve">Former crypto miner pivoting to AI data centres; still deeply loss-making.</t>
  </si>
  <si>
    <t xml:space="preserve">NBIS</t>
  </si>
  <si>
    <t xml:space="preserve">Nebius Group</t>
  </si>
  <si>
    <t xml:space="preserve">Nebius — European AI cloud provider spun out of Yandex.</t>
  </si>
  <si>
    <t xml:space="preserve">NOK</t>
  </si>
  <si>
    <t xml:space="preserve">Nokia (ADR)</t>
  </si>
  <si>
    <t xml:space="preserve">Nokia — telecom network equipment, now also selling data-centre networking.</t>
  </si>
  <si>
    <t xml:space="preserve">⚠️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</si>
  <si>
    <t xml:space="preserve">SMCI</t>
  </si>
  <si>
    <t xml:space="preserve">Super Micro Computer</t>
  </si>
  <si>
    <t xml:space="preserve">Builds the AI server racks that house Nvidia's chips.</t>
  </si>
  <si>
    <t xml:space="preserve">STRL</t>
  </si>
  <si>
    <t xml:space="preserve">Sterling Infrastructure</t>
  </si>
  <si>
    <t xml:space="preserve">Does the site groundwork and utilities underneath data centres and chip plants.</t>
  </si>
  <si>
    <t xml:space="preserve">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</si>
  <si>
    <t xml:space="preserve">HOOD</t>
  </si>
  <si>
    <t xml:space="preserve">Robinhood Markets</t>
  </si>
  <si>
    <t xml:space="preserve">Robinhood — the commission-free app for trading shares and crypto.</t>
  </si>
  <si>
    <t xml:space="preserve">Digital Fintech</t>
  </si>
  <si>
    <t xml:space="preserve">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</si>
  <si>
    <t xml:space="preserve">LMND</t>
  </si>
  <si>
    <t xml:space="preserve">Lemonade</t>
  </si>
  <si>
    <t xml:space="preserve">Lemonade — app-based renters, home, car and pet insurance run largely by AI.</t>
  </si>
  <si>
    <t xml:space="preserve">MA</t>
  </si>
  <si>
    <t xml:space="preserve">Mastercard</t>
  </si>
  <si>
    <t xml:space="preserve">Mastercard — operates one of the two big global card payment networks.</t>
  </si>
  <si>
    <t xml:space="preserve">| Compounders | MA | Mastercard | 27 | +17% | 46% | 100% gross margin, ROE 232% — elite |</t>
  </si>
  <si>
    <t xml:space="preserve">NU</t>
  </si>
  <si>
    <t xml:space="preserve">Nu Holdings</t>
  </si>
  <si>
    <t xml:space="preserve">Nu Holdings — Latin America's largest digital-only bank.</t>
  </si>
  <si>
    <t xml:space="preserve">PYPL</t>
  </si>
  <si>
    <t xml:space="preserve">PayPal</t>
  </si>
  <si>
    <t xml:space="preserve">PayPal — online payments and the Venmo app.</t>
  </si>
  <si>
    <t xml:space="preserve">SOFI</t>
  </si>
  <si>
    <t xml:space="preserve">SoFi Technologies</t>
  </si>
  <si>
    <t xml:space="preserve">SoFi — a digital bank combining loans, investing and banking in one app.</t>
  </si>
  <si>
    <t xml:space="preserve">Worth noting the perverse detail: 12 of the 23 whitelisted names (ADBE, COIN, HOOD, JNJ, KO, PYPL, SBUX, SHOP, SOFI, UBER, UNH, V) are watchlist-only — you own none of them. So nearly half your free entitlement is spent on names you don't hold, while $242K of what you do hold goes unpriced.</t>
  </si>
  <si>
    <t xml:space="preserve">V</t>
  </si>
  <si>
    <t xml:space="preserve">Visa</t>
  </si>
  <si>
    <t xml:space="preserve">Visa — the world's largest payment network, earning a small fee on card transactions.</t>
  </si>
  <si>
    <t xml:space="preserve">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</si>
  <si>
    <t xml:space="preserve">CRWD</t>
  </si>
  <si>
    <t xml:space="preserve">CrowdStrike</t>
  </si>
  <si>
    <t xml:space="preserve">CrowdStrike — cloud security that protects company laptops and servers.</t>
  </si>
  <si>
    <t xml:space="preserve">Cybersecurity</t>
  </si>
  <si>
    <t xml:space="preserve">FTNT</t>
  </si>
  <si>
    <t xml:space="preserve">Fortinet</t>
  </si>
  <si>
    <t xml:space="preserve">Fortinet — firewalls and network security hardware and software.</t>
  </si>
  <si>
    <t xml:space="preserve">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</si>
  <si>
    <t xml:space="preserve">NET</t>
  </si>
  <si>
    <t xml:space="preserve">Cloudflare</t>
  </si>
  <si>
    <t xml:space="preserve">Cloudflare — speeds up and protects a large share of the world's websites.</t>
  </si>
  <si>
    <t xml:space="preserve">NET was a move, not an addition. Each stock can only sit in one group on the dashboard, so putting Cloudflare into SaaS took it out of Cybersecurity. Cybersecurity now has four names instead of five. If you'd rather it stayed in Cybersecurity, say the word and I'll put it back.</t>
  </si>
  <si>
    <t xml:space="preserve">PANW</t>
  </si>
  <si>
    <t xml:space="preserve">Palo Alto Networks</t>
  </si>
  <si>
    <t xml:space="preserve">Palo Alto Networks — the largest pure-play cybersecurity company.</t>
  </si>
  <si>
    <t xml:space="preserve">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</si>
  <si>
    <t xml:space="preserve">RBRK</t>
  </si>
  <si>
    <t xml:space="preserve">Rubrik</t>
  </si>
  <si>
    <t xml:space="preserve">Rubrik — data backup and fast recovery after ransomware attacks.</t>
  </si>
  <si>
    <t xml:space="preserve">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</si>
  <si>
    <t xml:space="preserve">ZS</t>
  </si>
  <si>
    <t xml:space="preserve">Zscaler</t>
  </si>
  <si>
    <t xml:space="preserve">Zscaler — cloud security that replaces traditional corporate firewalls.</t>
  </si>
  <si>
    <t xml:space="preserve">BWXT</t>
  </si>
  <si>
    <t xml:space="preserve">BWX Technologies</t>
  </si>
  <si>
    <t xml:space="preserve">Builds the nuclear reactors that power US Navy submarines and carriers.</t>
  </si>
  <si>
    <t xml:space="preserve">Nuclear Energy</t>
  </si>
  <si>
    <t xml:space="preserve">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</si>
  <si>
    <t xml:space="preserve">CCJ</t>
  </si>
  <si>
    <t xml:space="preserve">Cameco</t>
  </si>
  <si>
    <t xml:space="preserve">Cameco — one of the world's largest uranium miners.</t>
  </si>
  <si>
    <t xml:space="preserve">&gt;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</si>
  <si>
    <t xml:space="preserve">CEG</t>
  </si>
  <si>
    <t xml:space="preserve">Constellation Energy</t>
  </si>
  <si>
    <t xml:space="preserve">America's largest nuclear power operator, selling electricity to data centres.</t>
  </si>
  <si>
    <t xml:space="preserve">Three — two of your existing holdings report this week. Constellation (CEG) reports tomorrow, Aug 6, and Vistra (VST) reports Friday, Aug 7. You own both. Wait and see those before adding anything else to the power/energy side. CEG also declared a dividend of $0.4265 per share this morning.</t>
  </si>
  <si>
    <t xml:space="preserve">LEU</t>
  </si>
  <si>
    <t xml:space="preserve">Centrus Energy</t>
  </si>
  <si>
    <t xml:space="preserve">Centrus — the only US-owned uranium enricher, making HALEU fuel for new reactors.</t>
  </si>
  <si>
    <t xml:space="preserve">NNE</t>
  </si>
  <si>
    <t xml:space="preserve">Nano Nuclear Energy</t>
  </si>
  <si>
    <t xml:space="preserve">Early-stage developer of very small ('micro') nuclear reactors.</t>
  </si>
  <si>
    <t xml:space="preserve">One gap: NNE has no reliable 52-week low. It's printing fresh lows almost daily and I got six conflicting candidates (14.71 / 14.78 / 14.89 / 15.44 / 15.78 / 18.04). It renders "range n/a" with no band. Your call whether to leave it null or pin the lowest evidenced print with a flag.</t>
  </si>
  <si>
    <t xml:space="preserve">OKLO</t>
  </si>
  <si>
    <t xml:space="preserve">Oklo</t>
  </si>
  <si>
    <t xml:space="preserve">Developing small fast reactors to power data centres; earned its first revenue in 2026.</t>
  </si>
  <si>
    <t xml:space="preserve">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</si>
  <si>
    <t xml:space="preserve">SMR</t>
  </si>
  <si>
    <t xml:space="preserve">NuScale Power</t>
  </si>
  <si>
    <t xml:space="preserve">NuScale — designer of small modular nuclear reactors.</t>
  </si>
  <si>
    <t xml:space="preserve">⚠️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</si>
  <si>
    <t xml:space="preserve">UUUU</t>
  </si>
  <si>
    <t xml:space="preserve">Energy Fuels</t>
  </si>
  <si>
    <t xml:space="preserve">US uranium miner that also processes rare-earth elements at its Utah mill.</t>
  </si>
  <si>
    <t xml:space="preserve">VST</t>
  </si>
  <si>
    <t xml:space="preserve">Vistra</t>
  </si>
  <si>
    <t xml:space="preserve">Vistra — Texas power producer with nuclear and gas plants serving AI demand.</t>
  </si>
  <si>
    <t xml:space="preserve">XE</t>
  </si>
  <si>
    <t xml:space="preserve">X-energy (IPO Apr 24 '26)</t>
  </si>
  <si>
    <t xml:space="preserve">X-energy — small modular reactor developer; listed on the market in April 2026.</t>
  </si>
  <si>
    <t xml:space="preserve">ETN</t>
  </si>
  <si>
    <t xml:space="preserve">Eaton</t>
  </si>
  <si>
    <t xml:space="preserve">Eaton — electrical equipment that manages power in buildings and data centres.</t>
  </si>
  <si>
    <t xml:space="preserve">Power and Electrification</t>
  </si>
  <si>
    <t xml:space="preserve">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</si>
  <si>
    <t xml:space="preserve">GEV</t>
  </si>
  <si>
    <t xml:space="preserve">GE Vernova</t>
  </si>
  <si>
    <t xml:space="preserve">GE Vernova — gas and wind turbines plus electricity grid equipment.</t>
  </si>
  <si>
    <t xml:space="preserve">HUBB</t>
  </si>
  <si>
    <t xml:space="preserve">Hubbell</t>
  </si>
  <si>
    <t xml:space="preserve">Hubbell — electrical grid components and utility hardware.</t>
  </si>
  <si>
    <t xml:space="preserve">HYLN</t>
  </si>
  <si>
    <t xml:space="preserve">Hyliion Holdings</t>
  </si>
  <si>
    <t xml:space="preserve">Hyliion — KARNO fuel-flexible generators; barely any revenue yet.</t>
  </si>
  <si>
    <t xml:space="preserve">MPWR</t>
  </si>
  <si>
    <t xml:space="preserve">Monolithic Power</t>
  </si>
  <si>
    <t xml:space="preserve">Power-management chips that feed clean, steady voltage to AI processors.</t>
  </si>
  <si>
    <t xml:space="preserve">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</si>
  <si>
    <t xml:space="preserve">NVT</t>
  </si>
  <si>
    <t xml:space="preserve">nVent Electric</t>
  </si>
  <si>
    <t xml:space="preserve">nVent — electrical enclosures and liquid cooling systems for data centres.</t>
  </si>
  <si>
    <t xml:space="preserve">POWI</t>
  </si>
  <si>
    <t xml:space="preserve">Power Integrations</t>
  </si>
  <si>
    <t xml:space="preserve">Power Integrations — energy-efficient power-conversion chips.</t>
  </si>
  <si>
    <t xml:space="preserve">POWL</t>
  </si>
  <si>
    <t xml:space="preserve">Powell Industries</t>
  </si>
  <si>
    <t xml:space="preserve">Powell — electrical switchgear for utilities, industry and data centres.</t>
  </si>
  <si>
    <t xml:space="preserve">PWR</t>
  </si>
  <si>
    <t xml:space="preserve">Quanta Services</t>
  </si>
  <si>
    <t xml:space="preserve">Quanta Services — builds and maintains electricity transmission lines.</t>
  </si>
  <si>
    <t xml:space="preserve">AIRJ</t>
  </si>
  <si>
    <t xml:space="preserve">AirJoule Technologies</t>
  </si>
  <si>
    <t xml:space="preserve">Early-stage technology that pulls water from air to cool and dehumidify data centres.</t>
  </si>
  <si>
    <t xml:space="preserve">Renewal Energy</t>
  </si>
  <si>
    <t xml:space="preserve">BE</t>
  </si>
  <si>
    <t xml:space="preserve">Bloom Energy</t>
  </si>
  <si>
    <t xml:space="preserve">Bloom Energy — fuel cells that generate on-site electricity for data centres.</t>
  </si>
  <si>
    <t xml:space="preserve">FLNC</t>
  </si>
  <si>
    <t xml:space="preserve">Fluence Energy</t>
  </si>
  <si>
    <t xml:space="preserve">Fluence — large grid-scale battery storage systems.</t>
  </si>
  <si>
    <t xml:space="preserve">APP, FLNC and MELI fell because their numbers got worse. When analysts update, they will cut their forecasts, and the stock has further to adjust downward.</t>
  </si>
  <si>
    <t xml:space="preserve">MYRG</t>
  </si>
  <si>
    <t xml:space="preserve">MYR Group</t>
  </si>
  <si>
    <t xml:space="preserve">MYR Group — builds power lines, substations and data-centre electrical systems.</t>
  </si>
  <si>
    <t xml:space="preserve">NEE</t>
  </si>
  <si>
    <t xml:space="preserve">NextEra Energy</t>
  </si>
  <si>
    <t xml:space="preserve">NextEra — the largest US utility and the world's biggest wind and solar operator.</t>
  </si>
  <si>
    <t xml:space="preserve">NRG</t>
  </si>
  <si>
    <t xml:space="preserve">NRG Energy</t>
  </si>
  <si>
    <t xml:space="preserve">Texas power producer and retail electricity seller, with a large data-centre deal.</t>
  </si>
  <si>
    <t xml:space="preserve">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</si>
  <si>
    <t xml:space="preserve">VRT</t>
  </si>
  <si>
    <t xml:space="preserve">Vertiv Holdings</t>
  </si>
  <si>
    <t xml:space="preserve">Vertiv — the power and cooling systems that keep data centres running.</t>
  </si>
  <si>
    <t xml:space="preserve">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</si>
  <si>
    <t xml:space="preserve">AFRM</t>
  </si>
  <si>
    <t xml:space="preserve">Affirm Holdings</t>
  </si>
  <si>
    <t xml:space="preserve">Affirm — buy-now-pay-later lending offered at online checkouts.</t>
  </si>
  <si>
    <t xml:space="preserve">Digital Applications</t>
  </si>
  <si>
    <t xml:space="preserve">&gt;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</si>
  <si>
    <t xml:space="preserve">BKNG</t>
  </si>
  <si>
    <t xml:space="preserve">Booking Holdings</t>
  </si>
  <si>
    <t xml:space="preserve">Booking.com, Priceline and Agoda — the world's biggest online travel agency.</t>
  </si>
  <si>
    <t xml:space="preserve">MELI</t>
  </si>
  <si>
    <t xml:space="preserve">MercadoLibre</t>
  </si>
  <si>
    <t xml:space="preserve">MercadoLibre — Latin America's Amazon, plus a large payments business.</t>
  </si>
  <si>
    <t xml:space="preserve">On MELI: I'm parking it, not rejecting it. It generates cash more cheaply than anything else on your list and revenue is growing 50%. But it reported last night and the market hasn't finished digesting it. Worth revisiting in a week once the dust settles.</t>
  </si>
  <si>
    <t xml:space="preserve">NFLX</t>
  </si>
  <si>
    <t xml:space="preserve">Netflix</t>
  </si>
  <si>
    <t xml:space="preserve">Netflix — the world's largest video streaming service.</t>
  </si>
  <si>
    <t xml:space="preserve">SE</t>
  </si>
  <si>
    <t xml:space="preserve">Sea Limited</t>
  </si>
  <si>
    <t xml:space="preserve">Sea Limited — Shopee shopping, Garena games and Monee payments across South-East Asia.</t>
  </si>
  <si>
    <t xml:space="preserve">SHOP</t>
  </si>
  <si>
    <t xml:space="preserve">Shopify</t>
  </si>
  <si>
    <t xml:space="preserve">Shopify — the software that lets anyone set up and run an online store.</t>
  </si>
  <si>
    <t xml:space="preserve">SOUN</t>
  </si>
  <si>
    <t xml:space="preserve">SoundHound AI</t>
  </si>
  <si>
    <t xml:space="preserve">SoundHound — voice AI for restaurant drive-thrus, cars and call centres.</t>
  </si>
  <si>
    <t xml:space="preserve">UBER</t>
  </si>
  <si>
    <t xml:space="preserve">Uber Technologies</t>
  </si>
  <si>
    <t xml:space="preserve">Uber — ride-hailing and food delivery around the world.</t>
  </si>
  <si>
    <t xml:space="preserve">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</si>
  <si>
    <t xml:space="preserve">WDAY</t>
  </si>
  <si>
    <t xml:space="preserve">Workday</t>
  </si>
  <si>
    <t xml:space="preserve">Workday — cloud software for company HR and finance departments.</t>
  </si>
  <si>
    <t xml:space="preserve">CAT</t>
  </si>
  <si>
    <t xml:space="preserve">Caterpillar</t>
  </si>
  <si>
    <t xml:space="preserve">Caterpillar — the world's biggest maker of construction and mining machinery.</t>
  </si>
  <si>
    <t xml:space="preserve">Industrial STX</t>
  </si>
  <si>
    <t xml:space="preserve">DE</t>
  </si>
  <si>
    <t xml:space="preserve">Deere &amp; Co</t>
  </si>
  <si>
    <t xml:space="preserve">Deere (John Deere) — the world's largest maker of farm machinery.</t>
  </si>
  <si>
    <t xml:space="preserve">GE</t>
  </si>
  <si>
    <t xml:space="preserve">GE Aerospace</t>
  </si>
  <si>
    <t xml:space="preserve">GE Aerospace — builds and services jet engines for airlines and the military.</t>
  </si>
  <si>
    <t xml:space="preserve">MMM</t>
  </si>
  <si>
    <t xml:space="preserve">3M Co</t>
  </si>
  <si>
    <t xml:space="preserve">3M — a diversified industrial: tapes, abrasives, safety gear and electronics.</t>
  </si>
  <si>
    <t xml:space="preserve">Week</t>
  </si>
  <si>
    <t xml:space="preserve">View</t>
  </si>
  <si>
    <t xml:space="preserve">Executive summary (green = positive, red = negative / risk)</t>
  </si>
  <si>
    <t xml:space="preserve">2026-07-20  (Jul 20-26, 2026)</t>
  </si>
  <si>
    <t xml:space="preserve">NEGATIVE</t>
  </si>
  <si>
    <r>
      <rPr>
        <sz val="10"/>
        <color rgb="FFC00000"/>
        <rFont val="Arial"/>
        <family val="0"/>
        <charset val="1"/>
      </rPr>
      <t xml:space="preserve">- AAPL is the only name priced above its average analyst fair value (-4.6% conviction) while sitting at its all-time high, at 40x trailing earnings.
- Worst quadrant of the seven mega-caps: thinnest profit margin (47.9%) at the highest multiple (40.5x). Smallest position, thankfully.
</t>
    </r>
    <r>
      <rPr>
        <sz val="10"/>
        <color rgb="FF000000"/>
        <rFont val="Arial"/>
        <family val="0"/>
        <charset val="1"/>
      </rPr>
      <t xml:space="preserve">  Analysts split: HSBC upgraded Hold to Buy (Jul 17) while KeyBanc downgraded to Underweight (Jul 14) - a genuine bull-bear divide.
  Dad's handwritten AAPL target read as $320 (could be $220, rejected as inconsistent with the $326 price); confirmation requested.</t>
    </r>
  </si>
  <si>
    <t xml:space="preserve">2026-07-27  (Jul 27 - Aug 02, 2026)</t>
  </si>
  <si>
    <r>
      <rPr>
        <sz val="10"/>
        <color rgb="FFC00000"/>
        <rFont val="Arial"/>
        <family val="0"/>
        <charset val="1"/>
      </rPr>
      <t xml:space="preserve">- AAPL prints 96% of its 52-week range with only -2% to the high - the ladder says there's nothing left to buy here.
</t>
    </r>
    <r>
      <rPr>
        <sz val="10"/>
        <color rgb="FF000000"/>
        <rFont val="Arial"/>
        <family val="0"/>
        <charset val="1"/>
      </rPr>
      <t xml:space="preserve">  Fundamentals refreshed Jul 31 after AAPL's earnings, alongside AMZN, COIN, MA and a KLAC catch-up.</t>
    </r>
  </si>
  <si>
    <t xml:space="preserve">2026-08-03  (Aug 03-09, 2026)</t>
  </si>
  <si>
    <t xml:space="preserve">NEUTRAL</t>
  </si>
  <si>
    <t xml:space="preserve">  Apple cited as one of the chip designers (with Nvidia, AMD, Google, Amazon) that all depend on TSMC for leading-edge manufacturing.
  Apple's platform power noted as a risk to META: its 2021 privacy change cost META roughly $10B a year and could happen again.</t>
  </si>
  <si>
    <t xml:space="preserve">MIXED</t>
  </si>
  <si>
    <r>
      <rPr>
        <sz val="10"/>
        <color rgb="FF1E7B34"/>
        <rFont val="Arial"/>
        <family val="0"/>
        <charset val="1"/>
      </rPr>
      <t xml:space="preserve">+ Advisor's runner-up buy: +26.9% to a 65-analyst target, cheapest of five candidates at 3.6x sales and 29.6x forward earnings; suggested GTC limit ~$246-248.
</t>
    </r>
    <r>
      <rPr>
        <sz val="10"/>
        <color rgb="FF000000"/>
        <rFont val="Arial"/>
        <family val="0"/>
        <charset val="1"/>
      </rPr>
      <t xml:space="preserve">  Added 8 shares at $244.00 on Jul 22; now 202 shares at $46,595 cost, leaving $3,405 of the $50K plan.
</t>
    </r>
    <r>
      <rPr>
        <sz val="10"/>
        <color rgb="FFC00000"/>
        <rFont val="Arial"/>
        <family val="0"/>
        <charset val="1"/>
      </rPr>
      <t xml:space="preserve">- Jul 30 earnings is the key risk: AWS growth below ~17% or a capex guide-down would break the thesis; ideal entry seen as after the print.
</t>
    </r>
    <r>
      <rPr>
        <sz val="10"/>
        <color rgb="FF000000"/>
        <rFont val="Arial"/>
        <family val="0"/>
        <charset val="1"/>
      </rPr>
      <t xml:space="preserve">  FCF-based scoring deliberately harsh on AMZN (13.9) - it punishes mid-investment companies, so the metric looks worse than the business.</t>
    </r>
  </si>
  <si>
    <r>
      <rPr>
        <b val="true"/>
        <sz val="10"/>
        <color rgb="FFC00000"/>
        <rFont val="Arial"/>
        <family val="0"/>
        <charset val="1"/>
      </rPr>
      <t xml:space="preserve">RED FLAG: Q2 EPS of $5.75 includes a $53.4B pre-tax paper gain on the Anthropic stake; dashboard stores underlying TTM EPS of 8.61 ex-gain so the P/E isn't distorted.
</t>
    </r>
    <r>
      <rPr>
        <sz val="10"/>
        <color rgb="FF1E7B34"/>
        <rFont val="Arial"/>
        <family val="0"/>
        <charset val="1"/>
      </rPr>
      <t xml:space="preserve">+ Stock jumped 15% overnight after earnings, blowing straight through the standing buy limit.
</t>
    </r>
    <r>
      <rPr>
        <sz val="10"/>
        <color rgb="FF000000"/>
        <rFont val="Arial"/>
        <family val="0"/>
        <charset val="1"/>
      </rPr>
      <t xml:space="preserve">  Post-earnings fundamentals refreshed on the dashboard at the Jul 30 close.</t>
    </r>
  </si>
  <si>
    <r>
      <rPr>
        <sz val="10"/>
        <color rgb="FFC00000"/>
        <rFont val="Arial"/>
        <family val="0"/>
        <charset val="1"/>
      </rPr>
      <t xml:space="preserve">- Advisor pushed back on adding: least upside of ten names (+14.8% to target), only 2.5% below its 52-week high, 29.6x forward, 23% above Dad's limit - META preferred.
</t>
    </r>
    <r>
      <rPr>
        <sz val="10"/>
        <color rgb="FF1E7B34"/>
        <rFont val="Arial"/>
        <family val="0"/>
        <charset val="1"/>
      </rPr>
      <t xml:space="preserve">+ Robotics case: operating margin 11.4% to 13.7%; robot ~$3k/yr vs human ~$34k; 100 robotic centres in 18 months, 40% faster; Morgan Stanley sees up to $4B annual savings.
</t>
    </r>
    <r>
      <rPr>
        <sz val="10"/>
        <color rgb="FF000000"/>
        <rFont val="Arial"/>
        <family val="0"/>
        <charset val="1"/>
      </rPr>
      <t xml:space="preserve">  Bought 7 shares at $285.36 on Aug 4 ($2,006 with fees); now 209 shares at avg cost $232.54, worth $59,360, +22.1%; sleeve essentially full with $1,399 left.
</t>
    </r>
    <r>
      <rPr>
        <sz val="10"/>
        <color rgb="FFC00000"/>
        <rFont val="Arial"/>
        <family val="0"/>
        <charset val="1"/>
      </rPr>
      <t xml:space="preserve">- Watch item: if operating margin stalls below 14% next quarter despite the robot rollout, the savings are one-off, not structural.</t>
    </r>
  </si>
  <si>
    <r>
      <rPr>
        <sz val="10"/>
        <color rgb="FF1E7B34"/>
        <rFont val="Arial"/>
        <family val="0"/>
        <charset val="1"/>
      </rPr>
      <t xml:space="preserve">+ GOOGL is the book's quiet leader: +$15.6K of gain, more than the other six big holdings combined; only 13% off its high after a +12% YTD run - consolidation, not collapse.
</t>
    </r>
    <r>
      <rPr>
        <sz val="10"/>
        <color rgb="FFC00000"/>
        <rFont val="Arial"/>
        <family val="0"/>
        <charset val="1"/>
      </rPr>
      <t xml:space="preserve">- Q2 (Jul 22) beat on headlines but free cash flow turned negative - capex outran $39.1B operating cash flow, $49.6B raised issuing equity; stock fell ~5-6% to the low $340s.
- Capex is running ~42% of revenue and P/FCF is 72.5 and climbing; the fortress balance sheet (D/E 0.18) can afford it, but you are paying up while cash flow is impaired.
</t>
    </r>
    <r>
      <rPr>
        <sz val="10"/>
        <color rgb="FF1E7B34"/>
        <rFont val="Arial"/>
        <family val="0"/>
        <charset val="1"/>
      </rPr>
      <t xml:space="preserve">+ Bought the dip: +7 shares at ~$319.38 ($2,235.64) - now 205 shares at $269.88 avg cost, +17.7% unrealized; right instinct on a compounder whose Cloud is growing 82%.
</t>
    </r>
    <r>
      <rPr>
        <sz val="10"/>
        <color rgb="FFC00000"/>
        <rFont val="Arial"/>
        <family val="0"/>
        <charset val="1"/>
      </rPr>
      <t xml:space="preserve">- Discipline flag: Dad's written limit was under $300 and the fill was $319, about 6% above the plan; the real add sits near $300 if the capex selloff continues.
</t>
    </r>
    <r>
      <rPr>
        <sz val="10"/>
        <color rgb="FF000000"/>
        <rFont val="Arial"/>
        <family val="0"/>
        <charset val="1"/>
      </rPr>
      <t xml:space="preserve">  Weekly revision scan showed the Street's average GOOGL target drifting down 3.3%.</t>
    </r>
  </si>
  <si>
    <t xml:space="preserve">  Price could not be pinned down: a secondary page's $349.01 was distrusted after similar pages served stale data; the main page showed the Jul 30 close of $333.66.</t>
  </si>
  <si>
    <r>
      <rPr>
        <sz val="10"/>
        <color rgb="FFC00000"/>
        <rFont val="Arial"/>
        <family val="0"/>
        <charset val="1"/>
      </rPr>
      <t xml:space="preserve">- Verdict: skip for now - GOOGL (with AMZN and MSFT) is 23-33% above Dad's limits with the smallest upside of the group.
</t>
    </r>
    <r>
      <rPr>
        <sz val="10"/>
        <color rgb="FF1E7B34"/>
        <rFont val="Arial"/>
        <family val="0"/>
        <charset val="1"/>
      </rPr>
      <t xml:space="preserve">+ Ranked #2 on the AI-beneficiary list: 8x engineering speed and falling AI serving cost (CEO-stated), $356.13 at Jul 31, 28.0x earnings, +20% upside, high confidence.
</t>
    </r>
    <r>
      <rPr>
        <sz val="10"/>
        <color rgb="FF000000"/>
        <rFont val="Arial"/>
        <family val="0"/>
        <charset val="1"/>
      </rPr>
      <t xml:space="preserve">  Broker screen validated as a price source: POEMS 'Current Price' for GOOGL ($373.51, Aug 3) matched the official close to the cent.</t>
    </r>
  </si>
  <si>
    <r>
      <rPr>
        <sz val="10"/>
        <color rgb="FF1E7B34"/>
        <rFont val="Arial"/>
        <family val="0"/>
        <charset val="1"/>
      </rPr>
      <t xml:space="preserve">+ Meta is the book's anomaly: the fattest gross margin (81.9%) at one of the cheapest multiples (23.5x), yet only the 5th-largest position.
</t>
    </r>
    <r>
      <rPr>
        <sz val="10"/>
        <color rgb="FF000000"/>
        <rFont val="Arial"/>
        <family val="0"/>
        <charset val="1"/>
      </rPr>
      <t xml:space="preserve">  At $645.85 Meta slipped below every analyst's target (floor $664) - the market now disagrees with the entire Street in the bearish direction.
</t>
    </r>
    <r>
      <rPr>
        <sz val="10"/>
        <color rgb="FF1E7B34"/>
        <rFont val="Arial"/>
        <family val="0"/>
        <charset val="1"/>
      </rPr>
      <t xml:space="preserve">+ Advisor's single best order of the week: a good-til-cancelled limit buy on Meta at $600 ahead of its Jul 30 earnings - best business on the list.
</t>
    </r>
    <r>
      <rPr>
        <sz val="10"/>
        <color rgb="FFC00000"/>
        <rFont val="Arial"/>
        <family val="0"/>
        <charset val="1"/>
      </rPr>
      <t xml:space="preserve">- Meta dropped to $606 (-8.7% unrealized) as the whole book took the AI-capex hit; advice was to wait for the $600 limit rather than pay up at market.</t>
    </r>
  </si>
  <si>
    <r>
      <rPr>
        <sz val="10"/>
        <color rgb="FFC00000"/>
        <rFont val="Arial"/>
        <family val="0"/>
        <charset val="1"/>
      </rPr>
      <t xml:space="preserve">- Do not buy ahead of the Jul 29 report: implied move ~7% either way, and the unresolved issue is capex - $125-145B guided for the year with only $19.84B spent in Q1.
</t>
    </r>
    <r>
      <rPr>
        <sz val="10"/>
        <color rgb="FF000000"/>
        <rFont val="Arial"/>
        <family val="0"/>
        <charset val="1"/>
      </rPr>
      <t xml:space="preserve">  Buy ladder set at $560 and $535 (~$8,760), funded first in the queue; hard ceiling $600 because Meta now spends 1.57x its free cash flow on capex.
</t>
    </r>
    <r>
      <rPr>
        <sz val="10"/>
        <color rgb="FF1E7B34"/>
        <rFont val="Arial"/>
        <family val="0"/>
        <charset val="1"/>
      </rPr>
      <t xml:space="preserve">+ Post-earnings, at $585.61 Meta trades at 17.75x forward - already inside the attractive band; revised plan: buy ~8 shares around $588 before anything else.
+ By Jul 31 the call firmed: Meta first at $539 (8 shares, $4,312), High conviction; mind-changer is 2027 capex guided above ~$135B with no matching revenue line.
</t>
    </r>
    <r>
      <rPr>
        <sz val="10"/>
        <color rgb="FFC00000"/>
        <rFont val="Arial"/>
        <family val="0"/>
        <charset val="1"/>
      </rPr>
      <t xml:space="preserve">- Meta and Microsoft together carry -$10,783 of unrealized loss - two of the three largest positions; both still quality, but that is where the pain sits.
</t>
    </r>
    <r>
      <rPr>
        <sz val="10"/>
        <color rgb="FF000000"/>
        <rFont val="Arial"/>
        <family val="0"/>
        <charset val="1"/>
      </rPr>
      <t xml:space="preserve">  Data caveat: TradingView served a phantom $646.01 Meta price - a leftover placeholder in the raw page, never a real quote.</t>
    </r>
  </si>
  <si>
    <r>
      <rPr>
        <sz val="10"/>
        <color rgb="FF1E7B34"/>
        <rFont val="Arial"/>
        <family val="0"/>
        <charset val="1"/>
      </rPr>
      <t xml:space="preserve">+ Q2: revenue +28% to $60.8B (a beat), ads up 14% in volume and 12% in price - but EPS missed ($6.18 vs $7.13) and capex guidance rose to $130-145B, so the stock fell.
+ The 'Meta Compute' announcement - renting out spare AI computing power - reframed capex as a future revenue line; the stock jumped 6.2% to $591.
+ At ~17.6-17.9x forward earnings Meta is the cheapest mega-cap on the list, below even the bottom of analysts' $700-880 fair-value band; average target $762 (+29%).
+ Recommendation: buy ~10 shares (~$5,820) of the $12,810 remaining budget, cutting average cost from $664.10 to ~$651.60; hold ~$7,000 back for a drop toward $540.
</t>
    </r>
    <r>
      <rPr>
        <sz val="10"/>
        <color rgb="FFC00000"/>
        <rFont val="Arial"/>
        <family val="0"/>
        <charset val="1"/>
      </rPr>
      <t xml:space="preserve">- Real risks: Apple/Google control the platforms (a 2021 privacy change cost ~$10B/yr), Reality Labs lost $4.6B in one quarter, and a break of $520 on heavy volume means value trap.
</t>
    </r>
    <r>
      <rPr>
        <sz val="10"/>
        <color rgb="FF000000"/>
        <rFont val="Arial"/>
        <family val="0"/>
        <charset val="1"/>
      </rPr>
      <t xml:space="preserve">  Executed: 3.5 Meta shares bought at $583.24 on Aug 5 as part of a six-name, $8,039.48 batch of fills.</t>
    </r>
  </si>
  <si>
    <r>
      <rPr>
        <sz val="10"/>
        <color rgb="FFC00000"/>
        <rFont val="Arial"/>
        <family val="0"/>
        <charset val="1"/>
      </rPr>
      <t xml:space="preserve">- Position in the red at -12.4%, though the Street's $559 average target implies +41.9% upside; damage came this year (-29% off high, -18% YTD).
- Conservative FCF-based Rule of 40 is 40.8 vs 57.2 on the profit version - the 16-point gap is the AI-capex tax on the hyperscalers.
</t>
    </r>
    <r>
      <rPr>
        <b val="true"/>
        <sz val="10"/>
        <color rgb="FFC00000"/>
        <rFont val="Arial"/>
        <family val="0"/>
        <charset val="1"/>
      </rPr>
      <t xml:space="preserve">RED FLAG: A scheduled refresh wrote MSFT at $381 against ~$421 verified live; the bad automated price source was flagged for a sanity check.
</t>
    </r>
    <r>
      <rPr>
        <sz val="10"/>
        <color rgb="FF000000"/>
        <rFont val="Arial"/>
        <family val="0"/>
        <charset val="1"/>
      </rPr>
      <t xml:space="preserve">  Analyst targets drifted mildly lower (-2.4%) in the weekly sweep.</t>
    </r>
  </si>
  <si>
    <r>
      <rPr>
        <sz val="10"/>
        <color rgb="FF1E7B34"/>
        <rFont val="Arial"/>
        <family val="0"/>
        <charset val="1"/>
      </rPr>
      <t xml:space="preserve">+ Q4 FY26 beat; stock gapped +8.9% overnight and printed $451.10 - the 113-share position swung from -$6,687 (-13.2%) to +$156 (+0.31%) in one session.
</t>
    </r>
    <r>
      <rPr>
        <sz val="10"/>
        <color rgb="FFC00000"/>
        <rFont val="Arial"/>
        <family val="0"/>
        <charset val="1"/>
      </rPr>
      <t xml:space="preserve">- About 33c of the 50c EPS beat was a one-time $3.2B mark-to-market gain on the Anthropic stake; the core beat was closer to 17c.
- The advisor's $402 limit never filled - 'right on the business, wrong on the entry'; revised advice: buy remaining ~$9,182 budget (~20 sh) at market, Medium-High.
</t>
    </r>
    <r>
      <rPr>
        <sz val="10"/>
        <color rgb="FF000000"/>
        <rFont val="Arial"/>
        <family val="0"/>
        <charset val="1"/>
      </rPr>
      <t xml:space="preserve">  MSFT displaced ASML in the funding queue (23x forward with Azure +43% beats ASML's 31.5x and sub-10% growth); META still goes first.
</t>
    </r>
    <r>
      <rPr>
        <sz val="10"/>
        <color rgb="FFC00000"/>
        <rFont val="Arial"/>
        <family val="0"/>
        <charset val="1"/>
      </rPr>
      <t xml:space="preserve">- Watch items: Q1 FY27 capex above $55B or an Azure guide under 42% extends the FCF trough; Anthropic/OpenAI investment marks cut both ways.
</t>
    </r>
    <r>
      <rPr>
        <sz val="10"/>
        <color rgb="FF000000"/>
        <rFont val="Arial"/>
        <family val="0"/>
        <charset val="1"/>
      </rPr>
      <t xml:space="preserve">  Price scare closed: POEMS showed $394.59 vs the board's $393.35 - the board was right and the '~$421' incident note was the bad number.</t>
    </r>
  </si>
  <si>
    <r>
      <rPr>
        <sz val="10"/>
        <color rgb="FF1E7B34"/>
        <rFont val="Arial"/>
        <family val="0"/>
        <charset val="1"/>
      </rPr>
      <t xml:space="preserve">+ AI-cost story ranked #3: ~$500M saved in call centres (CCO-stated), 30% of code AI-written; Q4 operating margin 45.1%, Azure +43%, Copilot past 30M paid seats.
</t>
    </r>
    <r>
      <rPr>
        <sz val="10"/>
        <color rgb="FFC00000"/>
        <rFont val="Arial"/>
        <family val="0"/>
        <charset val="1"/>
      </rPr>
      <t xml:space="preserve">- Still tagged 'skip for now' at $481.90: 23.6x forward with only +17% upside, 23-33% above Dad's limit; META at 17.6x is cheaper than MSFT, AMZN and GOOGL.
</t>
    </r>
    <r>
      <rPr>
        <sz val="10"/>
        <color rgb="FF000000"/>
        <rFont val="Arial"/>
        <family val="0"/>
        <charset val="1"/>
      </rPr>
      <t xml:space="preserve">  POEMS 'Current Price' verified as the official close (MSFT $487.65 matched to the cent), making broker screenshots a legitimate price source.</t>
    </r>
  </si>
  <si>
    <t xml:space="preserve">POSITIVE</t>
  </si>
  <si>
    <r>
      <rPr>
        <sz val="10"/>
        <color rgb="FF000000"/>
        <rFont val="Arial"/>
        <family val="0"/>
        <charset val="1"/>
      </rPr>
      <t xml:space="preserve">  Street average target on AMD drifted down 2.3% this week, part of mild downward revisions across several names.
</t>
    </r>
    <r>
      <rPr>
        <sz val="10"/>
        <color rgb="FF1E7B34"/>
        <rFont val="Arial"/>
        <family val="0"/>
        <charset val="1"/>
      </rPr>
      <t xml:space="preserve">+ Allocation plan shows $11.2K of unused budget room in AMD; the plan favors adding to winners in the Computing Chips group.</t>
    </r>
  </si>
  <si>
    <t xml:space="preserve">  Data housekeeping only: TradingView confirmed to offer display widgets, not a data feed, at any price tier.</t>
  </si>
  <si>
    <r>
      <rPr>
        <b val="true"/>
        <sz val="10"/>
        <color rgb="FFC00000"/>
        <rFont val="Arial"/>
        <family val="0"/>
        <charset val="1"/>
      </rPr>
      <t xml:space="preserve">RED FLAG: Dad's ambiguous 'AMP' note likely means AMD: do NOT buy today - AMD reports earnings after tonight's close and is already up 6.1% at $514. Pre-earnings buying is a coin flip.
</t>
    </r>
    <r>
      <rPr>
        <sz val="10"/>
        <color rgb="FF1E7B34"/>
        <rFont val="Arial"/>
        <family val="0"/>
        <charset val="1"/>
      </rPr>
      <t xml:space="preserve">+ AMD gained 7% in the Aug 4 risk-on session; portfolio hit $683,857 market value vs $560,432 cost, up $123,426 (+22.02%).
</t>
    </r>
    <r>
      <rPr>
        <sz val="10"/>
        <color rgb="FFC00000"/>
        <rFont val="Arial"/>
        <family val="0"/>
        <charset val="1"/>
      </rPr>
      <t xml:space="preserve">- CORZ warning: AMD holds warrants for 30M Core Scientific shares at $23.47 that would dilute CORZ holders the moment the trade works.</t>
    </r>
  </si>
  <si>
    <r>
      <rPr>
        <sz val="10"/>
        <color rgb="FFC00000"/>
        <rFont val="Arial"/>
        <family val="0"/>
        <charset val="1"/>
      </rPr>
      <t xml:space="preserve">- Advisor's verdict: do not buy ARM now — the most expensive stock on the board (318x trailing, 124x forward earnings, 58x sales, 3.58 PEG) for only +23% revenue growth.
- Street conviction is thinnest on ARM: average target $302 vs a ~$270 price (+12%), with HSBC downgrading to Hold and UBS cutting its target from $470 to $360.
</t>
    </r>
    <r>
      <rPr>
        <b val="true"/>
        <sz val="10"/>
        <color rgb="FFC00000"/>
        <rFont val="Arial"/>
        <family val="0"/>
        <charset val="1"/>
      </rPr>
      <t xml:space="preserve">RED FLAG: ARM reports earnings Jul 29; the blackout rule bars new buying within 5 days of a binary event — at 124x forward there is zero cushion for a soft guide.
</t>
    </r>
    <r>
      <rPr>
        <sz val="10"/>
        <color rgb="FF000000"/>
        <rFont val="Arial"/>
        <family val="0"/>
        <charset val="1"/>
      </rPr>
      <t xml:space="preserve">  ARM was added as a watchlist column in Computing Chips with no budget or position, matching the notebook's plan; the watchlist trio is ARM, ASTS, SpaceX.
  What would change the view: a post-earnings price reset toward the $230s with guidance intact, or royalty revenue re-accelerating past 35-40% growth.</t>
    </r>
  </si>
  <si>
    <r>
      <rPr>
        <sz val="10"/>
        <color rgb="FFC00000"/>
        <rFont val="Arial"/>
        <family val="0"/>
        <charset val="1"/>
      </rPr>
      <t xml:space="preserve">- ARM's data feed was refreshed Jul 28 but denied by Jul 31 after the FMP entitlement shrank; stored prices for ARM ($224.89) and 30+ names were stuck at the Jul 29 row.
</t>
    </r>
    <r>
      <rPr>
        <sz val="10"/>
        <color rgb="FF000000"/>
        <rFont val="Arial"/>
        <family val="0"/>
        <charset val="1"/>
      </rPr>
      <t xml:space="preserve">  On the Jul 31 refresh ARM was held at its Jul 30 close because the Jul 31 print could not be verified.</t>
    </r>
  </si>
  <si>
    <t xml:space="preserve">+ ARM jumped +17% in the Aug 5 risk-on session that lifted the whole portfolio to +22.0% ($683,857 value on $560,432 cost).</t>
  </si>
  <si>
    <t xml:space="preserve">  Rotation-trade framing: money hyperscalers like Google spend on capex flows to NVDA, AVGO, memory makers and power names — the market sells the payer and buys the beneficiaries.</t>
  </si>
  <si>
    <r>
      <rPr>
        <sz val="10"/>
        <color rgb="FFC00000"/>
        <rFont val="Arial"/>
        <family val="0"/>
        <charset val="1"/>
      </rPr>
      <t xml:space="preserve">- Stale-data warning: for 36 of 47 holdings, including AVGO, MU, ASML and AMAT (~$98,000 together), the board showed live prices while the stored file still held Jul 28 prices.
</t>
    </r>
    <r>
      <rPr>
        <sz val="10"/>
        <color rgb="FF000000"/>
        <rFont val="Arial"/>
        <family val="0"/>
        <charset val="1"/>
      </rPr>
      <t xml:space="preserve">  AVGO's current price can be seen free in the market tape without paying for the FMP feed.</t>
    </r>
  </si>
  <si>
    <t xml:space="preserve">+ AVGO gained +6.6% in the Aug 5 risk-on session that took the portfolio to +22.0%.</t>
  </si>
  <si>
    <r>
      <rPr>
        <b val="true"/>
        <sz val="10"/>
        <color rgb="FFC00000"/>
        <rFont val="Arial"/>
        <family val="0"/>
        <charset val="1"/>
      </rPr>
      <t xml:space="preserve">RED FLAG: Both INTC buy conditions remain unmet and earnings are tomorrow - check the INTC section before placing anything.
</t>
    </r>
    <r>
      <rPr>
        <sz val="10"/>
        <color rgb="FFC00000"/>
        <rFont val="Arial"/>
        <family val="0"/>
        <charset val="1"/>
      </rPr>
      <t xml:space="preserve">- Of everything held, Intel is the position where the price has run furthest beyond what the business is doing.</t>
    </r>
  </si>
  <si>
    <t xml:space="preserve">  Intel appears only as a risk marker: evidence it (or Samsung) has closed the leading-edge manufacturing gap would change the high-conviction TSM view.</t>
  </si>
  <si>
    <r>
      <rPr>
        <sz val="10"/>
        <color rgb="FF000000"/>
        <rFont val="Arial"/>
        <family val="0"/>
        <charset val="1"/>
      </rPr>
      <t xml:space="preserve">  MCHP (Microchip Technology) added to Computing Chips at the Aug 7 close $84.69 (jumped ~14% that day on earnings). Makes microcontrollers and analog chips for cars, industry and data centres. Watchlist only.
</t>
    </r>
    <r>
      <rPr>
        <sz val="10"/>
        <color rgb="FF1E7B34"/>
        <rFont val="Arial"/>
        <family val="0"/>
        <charset val="1"/>
      </rPr>
      <t xml:space="preserve">+ The downturn is turning up: Q1 (Aug 6) sales +38%, back to profit, strong guidance, inventories clearing. Analysts see FY2027 earnings nearly doubling; 25 rate it Buy (avg ~$109). Pays a 2.2% dividend.
</t>
    </r>
    <r>
      <rPr>
        <sz val="10"/>
        <color rgb="FFC00000"/>
        <rFont val="Arial"/>
        <family val="0"/>
        <charset val="1"/>
      </rPr>
      <t xml:space="preserve">- Ignore the scary trailing P/E of 125 - that's depressed trough earnings; the real gauge is ~21x forward. Risks: still weighing a fab closure, 7% shorted, and the price already reflects the big earnings pop.
</t>
    </r>
    <r>
      <rPr>
        <sz val="10"/>
        <color rgb="FF000000"/>
        <rFont val="Arial"/>
        <family val="0"/>
        <charset val="1"/>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</si>
  <si>
    <t xml:space="preserve">  Marvell fails the new deep-value screens (Price/FCF at most 10, EV/EBITDA under 10) - gates built for mature cash machines will permanently exclude growth names like it.
  Also flagged as a competitive threat elsewhere in the book: signs of Credo losing AEC cable share to Marvell or Amphenol would change the advisor's view on Credo.</t>
  </si>
  <si>
    <r>
      <rPr>
        <sz val="10"/>
        <color rgb="FF1E7B34"/>
        <rFont val="Arial"/>
        <family val="0"/>
        <charset val="1"/>
      </rPr>
      <t xml:space="preserve">+ NVDA scored best business on dad's list (+1.64 vs +0.52 next): +71% revenue, +111% EPS growth, 105% ROIC, 63% net margin, Rule of 40 of 118 — yet 0.46 PEG and 20x forward.
</t>
    </r>
    <r>
      <rPr>
        <sz val="10"/>
        <color rgb="FFC00000"/>
        <rFont val="Arial"/>
        <family val="0"/>
        <charset val="1"/>
      </rPr>
      <t xml:space="preserve">- Concentration flag: NVDA is already the largest position (~25% of the block) and at ~$208 the 383 shares are worth ~$80K — effectively at the cap on market value.
</t>
    </r>
    <r>
      <rPr>
        <sz val="10"/>
        <color rgb="FF000000"/>
        <rFont val="Arial"/>
        <family val="0"/>
        <charset val="1"/>
      </rPr>
      <t xml:space="preserve">  TSM was named the sharper portfolio move: near-identical quality, cheapest forward P/E (18.8), and it spreads the AI bet instead of doubling it.
</t>
    </r>
    <r>
      <rPr>
        <sz val="10"/>
        <color rgb="FF1E7B34"/>
        <rFont val="Arial"/>
        <family val="0"/>
        <charset val="1"/>
      </rPr>
      <t xml:space="preserve">+ Street revisions moved up: the lowest analyst target jumped $180 to $218 and consensus ~$302 to $319, with the $203 stock still below the lowest target on the Street.
</t>
    </r>
    <r>
      <rPr>
        <sz val="10"/>
        <color rgb="FF000000"/>
        <rFont val="Arial"/>
        <family val="0"/>
        <charset val="1"/>
      </rPr>
      <t xml:space="preserve">  Bought 9 more shares at $211.06 on Jul 25, lifting the position to 392 shares at $187.22 average cost; a planned IREN sell at $45 was withdrawn unfilled.
</t>
    </r>
    <r>
      <rPr>
        <sz val="10"/>
        <color rgb="FFC00000"/>
        <rFont val="Arial"/>
        <family val="0"/>
        <charset val="1"/>
      </rPr>
      <t xml:space="preserve">- The risk in one line: NVDA is cheap only if the growth is real — a hyperscaler capex pause, a Blackwell/Rubin demand air pocket, or China export escalation breaks the math.</t>
    </r>
  </si>
  <si>
    <r>
      <rPr>
        <sz val="10"/>
        <color rgb="FFC00000"/>
        <rFont val="Arial"/>
        <family val="0"/>
        <charset val="1"/>
      </rPr>
      <t xml:space="preserve">- A memory-glut panic (China's CXMT IPO) crashed KOSPI -10.8% and stirred circular-financing fears around NVDA's $250B OpenAI datacenter backstop; NVDA fell only 1.31%.
</t>
    </r>
    <r>
      <rPr>
        <sz val="10"/>
        <color rgb="FF000000"/>
        <rFont val="Arial"/>
        <family val="0"/>
        <charset val="1"/>
      </rPr>
      <t xml:space="preserve">  Advisor recommended a $190 limit for 34 shares; dad overrode at $196 and filled 10 shares at $195.895 — NVDA never touched $190 and closed $197.01. Advisor owns the miss.
  Position now 402 shares, $75,357.35 total cost, with $4,642.65 budget headroom (~23 shares); cash of $19,542.79 is pre-settlement until the buy clears Jul 30.
  Stated fallback: if any hyperscaler cuts 2027 capex guidance, $190 is not the bottom — the limit would move down to $170.</t>
    </r>
  </si>
  <si>
    <r>
      <rPr>
        <sz val="10"/>
        <color rgb="FF1E7B34"/>
        <rFont val="Arial"/>
        <family val="0"/>
        <charset val="1"/>
      </rPr>
      <t xml:space="preserve">+ SpaceX announced Aug 5 it will build its 'Starmind' AI exclusively on NVIDIA chips, targeting 10 gigawatts of compute by end-2027 — a huge new customer; NVDA rose 3.4%.
+ NVIDIA projects $1 trillion+ of big-cloud datacenter spending in 2027 vs ~$650B in 2026, and announced a Safe Superintelligence partnership Jul 27 (investment size unverified).
</t>
    </r>
    <r>
      <rPr>
        <sz val="10"/>
        <color rgb="FFC00000"/>
        <rFont val="Arial"/>
        <family val="0"/>
        <charset val="1"/>
      </rPr>
      <t xml:space="preserve">- Cautions: earnings land Aug 26, the SpaceX news is already in the price, and NVDA is already the largest position — 402 shares, ~$88K, 13% of the portfolio, budget 94% used.
</t>
    </r>
    <r>
      <rPr>
        <sz val="10"/>
        <color rgb="FF000000"/>
        <rFont val="Arial"/>
        <family val="0"/>
        <charset val="1"/>
      </rPr>
      <t xml:space="preserve">  Advice: buy up to 21 shares with the $4,643 headroom via limit order; dad bought 9 at $219.45 on Aug 6 (below the $221+ quote), leaving $2,667.60 (~12 shares) of budget.
  Exit tests: guidance below ~$91B or gross margin under 73%, hyperscaler 2027 capex cuts, price above ~$260 pre-earnings, or a marquee customer dual-sourcing chips.</t>
    </r>
  </si>
  <si>
    <r>
      <rPr>
        <sz val="10"/>
        <color rgb="FF000000"/>
        <rFont val="Arial"/>
        <family val="0"/>
        <charset val="1"/>
      </rPr>
      <t xml:space="preserve">  ON (ON Semiconductor / onsemi) added to Computing Chips at the Aug 7 close $81.17. Makes power and sensing chips for cars, industry and AI data centres. Watchlist only.
</t>
    </r>
    <r>
      <rPr>
        <sz val="10"/>
        <color rgb="FF1E7B34"/>
        <rFont val="Arial"/>
        <family val="0"/>
        <charset val="1"/>
      </rPr>
      <t xml:space="preserve">+ Profitable and recovering: revenue $6.2B, earnings up 43%, 16% return on capital, $1.5B cash flow; cheap on next year (forward P/E 21, PEG 0.62). Buying Synaptics (~$7B) for 'physical AI'.
</t>
    </r>
    <r>
      <rPr>
        <sz val="10"/>
        <color rgb="FFC00000"/>
        <rFont val="Arial"/>
        <family val="0"/>
        <charset val="1"/>
      </rPr>
      <t xml:space="preserve">- Trailing P/E looks high at 52 (earnings are depressed), and it's a cyclical chipmaker - high beta (2.0), 8% of shares shorted. Stock $81 vs a 52-week high of $135.</t>
    </r>
  </si>
  <si>
    <r>
      <rPr>
        <sz val="10"/>
        <color rgb="FF1E7B34"/>
        <rFont val="Arial"/>
        <family val="0"/>
        <charset val="1"/>
      </rPr>
      <t xml:space="preserve">+ Street chased TSM's earnings momentum: average target raised 12.6% ($520 to $586), implying +46% upside; it's the second-largest position, +14% on cost.
+ Cleanest value on the board: 18.8x forward P/E, 18.5 EV/EBITDA, 50% net margin, 55% ROIC - and it's the foundry NVDA physically depends on.
+ Advice: the next $8.5K is better spent on TSM than more NVDA - near-identical quality, cheaper, and it spreads the AI bet; TSM has ~$14K budget headroom.
</t>
    </r>
    <r>
      <rPr>
        <sz val="10"/>
        <color rgb="FF000000"/>
        <rFont val="Arial"/>
        <family val="0"/>
        <charset val="1"/>
      </rPr>
      <t xml:space="preserve">  Keep sale proceeds at the broker to avoid a Thai remittance tax event, and use limit orders - these names routinely gap 5%+ at the open.
  Housekeeping: a $254 commission drift vs POEMS includes a TSM trim of -$1.17; logged as a standing reconciliation item.</t>
    </r>
  </si>
  <si>
    <r>
      <rPr>
        <sz val="10"/>
        <color rgb="FF000000"/>
        <rFont val="Arial"/>
        <family val="0"/>
        <charset val="1"/>
      </rPr>
      <t xml:space="preserve">  Dad's preferred picks TSM and MU checked against his buy limits: TSM is 15% above its line - not actionable today; MU is the closer trigger after a -7% day.
</t>
    </r>
    <r>
      <rPr>
        <sz val="10"/>
        <color rgb="FFC00000"/>
        <rFont val="Arial"/>
        <family val="0"/>
        <charset val="1"/>
      </rPr>
      <t xml:space="preserve">- Data confession: TSM's 'live' price in a prior message was filled in rather than retrieved; all five affected names were re-pulled properly.</t>
    </r>
  </si>
  <si>
    <r>
      <rPr>
        <sz val="10"/>
        <color rgb="FF1E7B34"/>
        <rFont val="Arial"/>
        <family val="0"/>
        <charset val="1"/>
      </rPr>
      <t xml:space="preserve">+ Buy call on TSM at ~$417: 19x forward, +33% to the average target, no event risk - and even the most bearish of 25 analysts targets $500.
+ The numbers: revenue +30.6%, earnings +53.4%, 49.9% net margin, 54.6% ROIC at 18.8x forward - a combination that barely exists elsewhere.
</t>
    </r>
    <r>
      <rPr>
        <sz val="10"/>
        <color rgb="FF000000"/>
        <rFont val="Arial"/>
        <family val="0"/>
        <charset val="1"/>
      </rPr>
      <t xml:space="preserve">  Advice moved from wait to buy now once the full $18,928 cash was confirmed as own money; June revenue was +67.9% YoY, so the Aug 10 monthly print adds little.
  Actual fill was 4.5 shares at $416.273 ($1,881.79 with commission), not the 33 discussed; TSM now 107.5 shares at $37,850.87 cost, verified against POEMS.
</t>
    </r>
    <r>
      <rPr>
        <sz val="10"/>
        <color rgb="FFC00000"/>
        <rFont val="Arial"/>
        <family val="0"/>
        <charset val="1"/>
      </rPr>
      <t xml:space="preserve">- Key risk is Taiwan-China geopolitics - a real discount for a real danger; a TSMC guidance cut, US export controls, or a hyperscaler capex slowdown would stop the adds.</t>
    </r>
  </si>
  <si>
    <r>
      <rPr>
        <sz val="10"/>
        <color rgb="FF000000"/>
        <rFont val="Arial"/>
        <family val="0"/>
        <charset val="1"/>
      </rPr>
      <t xml:space="preserve">  Aehr Test Systems added as a watchlist name in Computing Chips at $76.32; analysts' average target is $115 (+51%).
</t>
    </r>
    <r>
      <rPr>
        <sz val="10"/>
        <color rgb="FFC00000"/>
        <rFont val="Arial"/>
        <family val="0"/>
        <charset val="1"/>
      </rPr>
      <t xml:space="preserve">- Red flag: revenue is shrinking (-15%) while the stock trades near 50x sales with a -26 Rule of 40 - the recovery bet is not in the numbers yet. Size it as a small call option.</t>
    </r>
  </si>
  <si>
    <r>
      <rPr>
        <sz val="10"/>
        <color rgb="FFC00000"/>
        <rFont val="Arial"/>
        <family val="0"/>
        <charset val="1"/>
      </rPr>
      <t xml:space="preserve">- FY26 revenue fell 15.2% to $50.0M with a $7.1M loss and negative operating cash flow; the cash pile came from ~$100M of share dilution, not the business.
- The FY27 guide of $130-150M implies a 3x jump on one quarter of evidence and is already fully priced at ~88x forward earnings; three customers each exceed 10% of revenue.
</t>
    </r>
    <r>
      <rPr>
        <sz val="10"/>
        <color rgb="FF000000"/>
        <rFont val="Arial"/>
        <family val="0"/>
        <charset val="1"/>
      </rPr>
      <t xml:space="preserve">  Advisor says the wafer-test theme is owned more safely via Teradyne and Applied Materials, and Aehr is misfiled - it belongs in Chips Manufacturing, not Computing Chips.
  Data caveat: the free price feed's access shrank between Jul 28 and 30; Aehr was among ~58 tickers whose refresh is now denied.</t>
    </r>
  </si>
  <si>
    <r>
      <rPr>
        <sz val="10"/>
        <color rgb="FF000000"/>
        <rFont val="Arial"/>
        <family val="0"/>
        <charset val="1"/>
      </rPr>
      <t xml:space="preserve">  Aehr moved to Chips Manufacturing per the handwritten note, was briefly moved to Photonic &amp; Optic Fiber on request, then reverted back the same day.
</t>
    </r>
    <r>
      <rPr>
        <sz val="10"/>
        <color rgb="FFC00000"/>
        <rFont val="Arial"/>
        <family val="0"/>
        <charset val="1"/>
      </rPr>
      <t xml:space="preserve">- Advisor backs the revert: revenue is still mostly silicon-carbide EV chip testing, that market is weak, and Aehr will not trade in step with the photonics names.</t>
    </r>
  </si>
  <si>
    <r>
      <rPr>
        <sz val="10"/>
        <color rgb="FF1E7B34"/>
        <rFont val="Arial"/>
        <family val="0"/>
        <charset val="1"/>
      </rPr>
      <t xml:space="preserve">+ Semi Equipment is one of the book's best-performing groups at +50%, with AMAT among the names pulling hard.
</t>
    </r>
    <r>
      <rPr>
        <sz val="10"/>
        <color rgb="FF000000"/>
        <rFont val="Arial"/>
        <family val="0"/>
        <charset val="1"/>
      </rPr>
      <t xml:space="preserve">  The AMAT/LRCX/KLAC/ASML/TER basket (~$57K) is effectively the biggest cost line of a memory fab - equipment depreciation is 40-50% of leading-edge DRAM cost.
</t>
    </r>
    <r>
      <rPr>
        <sz val="10"/>
        <color rgb="FFC00000"/>
        <rFont val="Arial"/>
        <family val="0"/>
        <charset val="1"/>
      </rPr>
      <t xml:space="preserve">- Advice: adding Tokyo materials names on top would add correlation, not diversification - same cycle, thinner margins, extra FX; wait for a correction before any small allocation.</t>
    </r>
  </si>
  <si>
    <r>
      <rPr>
        <sz val="10"/>
        <color rgb="FF000000"/>
        <rFont val="Arial"/>
        <family val="0"/>
        <charset val="1"/>
      </rPr>
      <t xml:space="preserve">  AEHR verdict: the wafer-level burn-in theme is already owned more safely through TER and AMAT; AEHR should be refiled beside ASML, AMAT, LRCX and KLAC.
</t>
    </r>
    <r>
      <rPr>
        <sz val="10"/>
        <color rgb="FFC00000"/>
        <rFont val="Arial"/>
        <family val="0"/>
        <charset val="1"/>
      </rPr>
      <t xml:space="preserve">- Data warning: for 36 of 47 holdings - incl AVGO, MU, ASML and AMAT, ~$98K combined - the board shows live prices but stored data is still from Jul 28; the math is stale.</t>
    </r>
  </si>
  <si>
    <r>
      <rPr>
        <sz val="10"/>
        <color rgb="FF1E7B34"/>
        <rFont val="Arial"/>
        <family val="0"/>
        <charset val="1"/>
      </rPr>
      <t xml:space="preserve">+ On the new portfolio wheel AMAT shows a fat gold rim - the position has roughly doubled.
</t>
    </r>
    <r>
      <rPr>
        <sz val="10"/>
        <color rgb="FF000000"/>
        <rFont val="Arial"/>
        <family val="0"/>
        <charset val="1"/>
      </rPr>
      <t xml:space="preserve">  All 110 dashboard names repriced at the Jul 31 close after Dad's handwritten note was applied.</t>
    </r>
  </si>
  <si>
    <t xml:space="preserve">  Groups now sort by position size: NVDA appears before AMKR because a 10% bad day costs about $7,800 on NVDA versus $340 on AMKR.</t>
  </si>
  <si>
    <t xml:space="preserve">- AMKR is down 27.26% - an older wound on the book, not damage from the Jul 28 selloff (unlike MU, which recovered to close +35.89% at $820.53).</t>
  </si>
  <si>
    <t xml:space="preserve">  Weekly audit re-based 57 market caps to verified share counts; AMKR's was one of the largest fixes, revised +37%.</t>
  </si>
  <si>
    <r>
      <rPr>
        <sz val="10"/>
        <color rgb="FF000000"/>
        <rFont val="Arial"/>
        <family val="0"/>
        <charset val="1"/>
      </rPr>
      <t xml:space="preserve">  Portfolio already owns ~$57K of AMAT/LRCX/KLAC/ASML/TER - the equipment line of a memory maker's costs (40-50% of leading-edge DRAM cost of goods).
</t>
    </r>
    <r>
      <rPr>
        <sz val="10"/>
        <color rgb="FFC00000"/>
        <rFont val="Arial"/>
        <family val="0"/>
        <charset val="1"/>
      </rPr>
      <t xml:space="preserve">- Adding Tokyo materials names would add correlation, not diversification - same cycle as the equipment names, thinner margins, extra FX.
</t>
    </r>
    <r>
      <rPr>
        <sz val="10"/>
        <color rgb="FF000000"/>
        <rFont val="Arial"/>
        <family val="0"/>
        <charset val="1"/>
      </rPr>
      <t xml:space="preserve">  Chips Manufacturing group cleaned up: five cybersecurity names split out, leaving ASML/LRCX/AMAT/KLAC/AMKR as a pure foundry/equipment group.</t>
    </r>
  </si>
  <si>
    <r>
      <rPr>
        <b val="true"/>
        <sz val="10"/>
        <color rgb="FFC00000"/>
        <rFont val="Arial"/>
        <family val="0"/>
        <charset val="1"/>
      </rPr>
      <t xml:space="preserve">RED FLAG: Do not add ASML above $1,450: the July 27 report of Shanghai achieving immersion-DUV mass production is an unresolved structural threat to its monopoly.
</t>
    </r>
    <r>
      <rPr>
        <sz val="10"/>
        <color rgb="FFC00000"/>
        <rFont val="Arial"/>
        <family val="0"/>
        <charset val="1"/>
      </rPr>
      <t xml:space="preserve">- Down 14% in five sessions yet still expensive: ~50-56x trailing vs a 37.9x five-year average and 61x price-to-free-cash-flow.
- Analyst targets span $885-$2,859 (a 3.2x spread) and all predate the China news; ASML no longer discloses bookings, so forward visibility is gone.
</t>
    </r>
    <r>
      <rPr>
        <sz val="10"/>
        <color rgb="FF000000"/>
        <rFont val="Arial"/>
        <family val="0"/>
        <charset val="1"/>
      </rPr>
      <t xml:space="preserve">  Funding queue revised: MSFT displaces ASML (66% of range, 31.5x forward, sub-10% growth is a worse marginal dollar); ASML waits for new cash.
  Reconciliation scare resolved: ASML is still held (13 shares); a missed row, not a sale - arithmetic proved POEMS carries it at $1,655.26.
</t>
    </r>
    <r>
      <rPr>
        <sz val="10"/>
        <color rgb="FFC00000"/>
        <rFont val="Arial"/>
        <family val="0"/>
        <charset val="1"/>
      </rPr>
      <t xml:space="preserve">- Data caveats: ASML's $21.5K position is among 36 holdings that cannot be auto-priced, and a previously quoted 'live' ASML price had been filled in, not retrieved.</t>
    </r>
  </si>
  <si>
    <t xml:space="preserve">  Cosmetic note only: no freely licensed ASML logo exists, so the dashboard shows a ticker monogram in the same gold-ringed disc.</t>
  </si>
  <si>
    <r>
      <rPr>
        <sz val="10"/>
        <color rgb="FF000000"/>
        <rFont val="Arial"/>
        <family val="0"/>
        <charset val="1"/>
      </rPr>
      <t xml:space="preserve">  Part of the ~$57K semi-equipment holding (AMAT, LRCX, KLAC, ASML, TER) that is effectively the depreciation line of Micron's P&amp;L.
</t>
    </r>
    <r>
      <rPr>
        <sz val="10"/>
        <color rgb="FFC00000"/>
        <rFont val="Arial"/>
        <family val="0"/>
        <charset val="1"/>
      </rPr>
      <t xml:space="preserve">- Adding Tokyo materials names would add correlation, not diversification - same cycle, thinner margins, extra FX on top of the equipment already owned.</t>
    </r>
  </si>
  <si>
    <t xml:space="preserve">  KLAC fundamentals caught up in the Jul 31 post-earnings dashboard refresh; peer set tidied with AEHR and TER proposed to join it in Chips Manufacturing.</t>
  </si>
  <si>
    <t xml:space="preserve">  Semi Equipment is among the book's best groups at +50%, with LRCX one of the names pulling hard.
  Part of the $57K equipment basket that already captures the wafer-demand thesis; a materials add would be a smaller, lower-margin echo of the same bet.</t>
  </si>
  <si>
    <t xml:space="preserve">  Statement checksum caught a transcription error (LRCX 269.60 vs actual 269.61); fixed along with ETN and MU misreads so all broker subtotals tie.</t>
  </si>
  <si>
    <t xml:space="preserve">  No LRCX-specific news; the week's notes covered research on other names.</t>
  </si>
  <si>
    <r>
      <rPr>
        <sz val="10"/>
        <color rgb="FF1E7B34"/>
        <rFont val="Arial"/>
        <family val="0"/>
        <charset val="1"/>
      </rPr>
      <t xml:space="preserve">+ Called the single best trade on the sheet: +187.7% YTD, +51% on the position; Street average target $1,486 implies +75% - though memory cycles cut both ways.
+ Buy plan set: GTC limits for 6 shares at $860 and 6 at $780; a ~$700 third tranche waits on a thesis check; cancel below $650; no buys within 5 days of late-Sept earnings.
</t>
    </r>
    <r>
      <rPr>
        <sz val="10"/>
        <color rgb="FF000000"/>
        <rFont val="Arial"/>
        <family val="0"/>
        <charset val="1"/>
      </rPr>
      <t xml:space="preserve">  Jul 21 fill: bought 2 shares at $921.01; average cost $585.49 on 29.45 shares; MU closed $970.82 (+12.2% day), position +66% unrealized.
</t>
    </r>
    <r>
      <rPr>
        <sz val="10"/>
        <color rgb="FFC00000"/>
        <rFont val="Arial"/>
        <family val="0"/>
        <charset val="1"/>
      </rPr>
      <t xml:space="preserve">- Bear case: SK Hynix and Samsung trade at 5-6x forward vs MU's ~12x - MU has the most multiple to lose if Samsung's yields fix and supply floods.
</t>
    </r>
    <r>
      <rPr>
        <sz val="10"/>
        <color rgb="FF000000"/>
        <rFont val="Arial"/>
        <family val="0"/>
        <charset val="1"/>
      </rPr>
      <t xml:space="preserve">  Spreadsheet fix: MU cost is $50 too high - row 61 carries a $58.56 commission vs the normal $8.56; correcting it ties MU to POEMS exactly.
  SK hynix added to the watchlist beside MU as a cross-check; SKHY is cheaper on every multiple but Korea-listed - MU stays the executable play.</t>
    </r>
  </si>
  <si>
    <r>
      <rPr>
        <sz val="10"/>
        <color rgb="FF1E7B34"/>
        <rFont val="Arial"/>
        <family val="0"/>
        <charset val="1"/>
      </rPr>
      <t xml:space="preserve">+ Dad's preferred pick MU triggered: fell to $869, ~3.5% under his $900 buy-below limit and ~12% off last week's ~$990. Recommendation: Buy MU today. Conviction: High.
</t>
    </r>
    <r>
      <rPr>
        <sz val="10"/>
        <color rgb="FF000000"/>
        <rFont val="Arial"/>
        <family val="0"/>
        <charset val="1"/>
      </rPr>
      <t xml:space="preserve">  Fill booked: 2 shares at $869.16 on Jul 28; average cost $603.80 on 31.45 shares; cash reconciled to the cent including a $39.18 ORCL dividend.
</t>
    </r>
    <r>
      <rPr>
        <b val="true"/>
        <sz val="10"/>
        <color rgb="FFC00000"/>
        <rFont val="Arial"/>
        <family val="0"/>
        <charset val="1"/>
      </rPr>
      <t xml:space="preserve">RED FLAG: Jul 28 memory crash: KOSPI -10.84% with a circuit breaker, SK Hynix -14.65%, MU -9.75% intraday on China CXMT supply fears; MU recovered to close at $820.53.
</t>
    </r>
    <r>
      <rPr>
        <sz val="10"/>
        <color rgb="FFC00000"/>
        <rFont val="Arial"/>
        <family val="0"/>
        <charset val="1"/>
      </rPr>
      <t xml:space="preserve">- Warning: MU's 167% revenue growth and 55.9% net margin are unsustainable, with CXMT bringing state-backed capacity; the +34.6% gain is real but unrealized.
</t>
    </r>
    <r>
      <rPr>
        <sz val="10"/>
        <color rgb="FF000000"/>
        <rFont val="Arial"/>
        <family val="0"/>
        <charset val="1"/>
      </rPr>
      <t xml:space="preserve">  Second add logged Aug 1: 2 shares at $828.63 ($1,665.81) - now 33.45 shares at $617.50 average, ~+$6,875 unrealized, $9,344.71 of MU budget left.
  Advice: don't buy SKHY; for more memory-cycle exposure add to MU or open STX - same thesis without the ~20% toll.</t>
    </r>
  </si>
  <si>
    <r>
      <rPr>
        <sz val="10"/>
        <color rgb="FFC00000"/>
        <rFont val="Arial"/>
        <family val="0"/>
        <charset val="1"/>
      </rPr>
      <t xml:space="preserve">- Stance shifted to 'Hold, don't add': MU's 5.7x forward multiple is a cycle-peak signal, not a bargain. Conviction: Medium-High.
- Cycle-top shape: up 179% YTD yet down 35% from the June high; ~85% gross margin near record while CXMT adds DRAM capacity and Micron commits $250bn+ of plants through 2035.
</t>
    </r>
    <r>
      <rPr>
        <sz val="10"/>
        <color rgb="FF1E7B34"/>
        <rFont val="Arial"/>
        <family val="0"/>
        <charset val="1"/>
      </rPr>
      <t xml:space="preserve">+ MU rose 5.8% in the Aug 4 memory rally and is the book's third-best performer at +34% - fine business, just not a buy today.
</t>
    </r>
    <r>
      <rPr>
        <sz val="10"/>
        <color rgb="FF000000"/>
        <rFont val="Arial"/>
        <family val="0"/>
        <charset val="1"/>
      </rPr>
      <t xml:space="preserve">  MU is the closest name to Dad's buy limit (+8.8% away) - which is precisely what makes it dangerous at this point in the cycle.</t>
    </r>
  </si>
  <si>
    <r>
      <rPr>
        <sz val="10"/>
        <color rgb="FF000000"/>
        <rFont val="Arial"/>
        <family val="0"/>
        <charset val="1"/>
      </rPr>
      <t xml:space="preserve">  SK Hynix added beside Micron in Memory &amp; Storage via its Korean listing (KRX 000660) at 1,836,000 won - no liquid US listing, so its column reads in won.
</t>
    </r>
    <r>
      <rPr>
        <sz val="10"/>
        <color rgb="FF1E7B34"/>
        <rFont val="Arial"/>
        <family val="0"/>
        <charset val="1"/>
      </rPr>
      <t xml:space="preserve">+ It holds ~50% of the HBM memory market yet trades at 4.8x forward - a turn cheaper than Micron on every multiple; Micron stays the executable play, SK Hynix the cross-check.</t>
    </r>
  </si>
  <si>
    <r>
      <rPr>
        <b val="true"/>
        <sz val="10"/>
        <color rgb="FFC00000"/>
        <rFont val="Arial"/>
        <family val="0"/>
        <charset val="1"/>
      </rPr>
      <t xml:space="preserve">RED FLAG: Memory crash Jul 28: KOSPI closed -10.84% with a circuit breaker and SK Hynix fell 14.65% in Seoul; advisor: do not touch SKHY hours before its Q2 report.
</t>
    </r>
    <r>
      <rPr>
        <sz val="10"/>
        <color rgb="FFC00000"/>
        <rFont val="Arial"/>
        <family val="0"/>
        <charset val="1"/>
      </rPr>
      <t xml:space="preserve">- The US shares trade ~33% above Seoul parity ($128.77 vs $96.58 of underlying value) and the conversion quota is exhausted - the premium can only compress.
- Q2 actually missed on revenue and operating profit; headline profit was inflated by a one-off Kioxia gain, and the 'cheap' 4.88x forward P/E is a classic peak-cycle trap.
- Verdict: don't buy SKHY - express the memory thesis through Micron or Seagate instead of paying the premium toll.
</t>
    </r>
    <r>
      <rPr>
        <sz val="10"/>
        <color rgb="FF000000"/>
        <rFont val="Arial"/>
        <family val="0"/>
        <charset val="1"/>
      </rPr>
      <t xml:space="preserve">  Dad bought anyway: 15 shares at $127.55 average ($1,913.26) against a $10,000 budget; advisor says leave the remaining $8,087 untouched until the premium drops below ~10%.
  Data caveat: SKHY's stored fundamentals (revenue +85%, 4.88x forward) are pre-Q2, stale and flattering; a refresh is wanted before more money goes in.</t>
    </r>
  </si>
  <si>
    <r>
      <rPr>
        <sz val="10"/>
        <color rgb="FF000000"/>
        <rFont val="Arial"/>
        <family val="0"/>
        <charset val="1"/>
      </rPr>
      <t xml:space="preserve">  SanDisk joined the Memory &amp; Storage watchlist; its Rule of 40 score of 202.8 is the second-highest in the entire universe tracked.
</t>
    </r>
    <r>
      <rPr>
        <sz val="10"/>
        <color rgb="FFC00000"/>
        <rFont val="Arial"/>
        <family val="0"/>
        <charset val="1"/>
      </rPr>
      <t xml:space="preserve">- Advisor's warning: that spectacular score is what peak cycle looks like in a commodity - paying an all-time-high price for peak earnings, as a third memory bet, is the trap.
</t>
    </r>
    <r>
      <rPr>
        <sz val="10"/>
        <color rgb="FF000000"/>
        <rFont val="Arial"/>
        <family val="0"/>
        <charset val="1"/>
      </rPr>
      <t xml:space="preserve">  It reports in early August, so buying now means holding a binary event; Amazon was preferred for the week's new money.</t>
    </r>
  </si>
  <si>
    <r>
      <rPr>
        <sz val="10"/>
        <color rgb="FFC00000"/>
        <rFont val="Arial"/>
        <family val="0"/>
        <charset val="1"/>
      </rPr>
      <t xml:space="preserve">- SanDisk was among the memory names hit hardest in the Jul 28 crash - commodity stocks at peak profits took the beating.
</t>
    </r>
    <r>
      <rPr>
        <sz val="10"/>
        <color rgb="FF000000"/>
        <rFont val="Arial"/>
        <family val="0"/>
        <charset val="1"/>
      </rPr>
      <t xml:space="preserve">  Data fixes: its market cap was rescaled (235.37 to 230.94) after a missed share-count adjustment, and its +2,633% rise off the 52-week low broke a chart scale.
  SanDisk's FY2026 results land Aug 5 - one of the near-term events expected to move the memory trade.</t>
    </r>
  </si>
  <si>
    <r>
      <rPr>
        <sz val="10"/>
        <color rgb="FF000000"/>
        <rFont val="Arial"/>
        <family val="0"/>
        <charset val="1"/>
      </rPr>
      <t xml:space="preserve">  The weekly audit re-based SanDisk's market cap upward by 42% - the largest correction among 57 fixes.
</t>
    </r>
    <r>
      <rPr>
        <sz val="10"/>
        <color rgb="FFC00000"/>
        <rFont val="Arial"/>
        <family val="0"/>
        <charset val="1"/>
      </rPr>
      <t xml:space="preserve">- It rallied +8.6% on the Aug 4 memory-chip run; advisor's counsel was not to start a fresh position at the top of a news spike, in the upper half of its yearly range.</t>
    </r>
  </si>
  <si>
    <r>
      <rPr>
        <sz val="10"/>
        <color rgb="FF1E7B34"/>
        <rFont val="Arial"/>
        <family val="0"/>
        <charset val="1"/>
      </rPr>
      <t xml:space="preserve">+ Advice: don't buy SKHY - for more memory-cycle exposure, add to MU or open STX; same thesis without the ~20% toll.
</t>
    </r>
    <r>
      <rPr>
        <sz val="10"/>
        <color rgb="FF000000"/>
        <rFont val="Arial"/>
        <family val="0"/>
        <charset val="1"/>
      </rPr>
      <t xml:space="preserve">  STX confirmed live on the board in Memory &amp; Storage at $747.30, watchlist with no position.
  Data caveat: STX was among 30+ watchlist names found stuck at the Jul 29 close (764.43 stored) during the stale-price audit.</t>
    </r>
  </si>
  <si>
    <r>
      <rPr>
        <sz val="10"/>
        <color rgb="FF000000"/>
        <rFont val="Arial"/>
        <family val="0"/>
        <charset val="1"/>
      </rPr>
      <t xml:space="preserve">  Added to the Memory &amp; Storage watchlist alongside SNDK; Rule of 40 computed at 59.9 (35.2 growth + 24.7 FCF margin).
</t>
    </r>
    <r>
      <rPr>
        <sz val="10"/>
        <color rgb="FFC00000"/>
        <rFont val="Arial"/>
        <family val="0"/>
        <charset val="1"/>
      </rPr>
      <t xml:space="preserve">- Passed over in the buy decision: it reports within a week (a binary event), and it's described as 'SNDK with less upside' - a third memory bet on top of MU and SKHY.</t>
    </r>
  </si>
  <si>
    <r>
      <rPr>
        <sz val="10"/>
        <color rgb="FFC00000"/>
        <rFont val="Arial"/>
        <family val="0"/>
        <charset val="1"/>
      </rPr>
      <t xml:space="preserve">- Hit hard on a memory cycle-fear day alongside MU, SKHY and SNDK - the commodity names with peak profits took the beating while NVDA fell only 1.31%.
</t>
    </r>
    <r>
      <rPr>
        <sz val="10"/>
        <color rgb="FF000000"/>
        <rFont val="Arial"/>
        <family val="0"/>
        <charset val="1"/>
      </rPr>
      <t xml:space="preserve">  Data fix: market cap was never rescaled after a price correction; corrected 189.02 to 202.69 by preserving the implied share count (SNDK had the same bug).</t>
    </r>
  </si>
  <si>
    <t xml:space="preserve">  Weekly audit re-based 57 market caps to verified shares outstanding; WDC was among the largest fixes at +27%.</t>
  </si>
  <si>
    <r>
      <rPr>
        <sz val="10"/>
        <color rgb="FF000000"/>
        <rFont val="Arial"/>
        <family val="0"/>
        <charset val="1"/>
      </rPr>
      <t xml:space="preserve">  AAOI added to the dashboard (58 names); portfolio reconciled to POEMS to the cent: cost $536,988.31, market value $635,013.32, up 18.25%.
  Standard $8.56 POEMS commission applied to the AAOI fill; cost basis will be trued up if the trade confirmation shows a different fee.
</t>
    </r>
    <r>
      <rPr>
        <sz val="10"/>
        <color rgb="FFC00000"/>
        <rFont val="Arial"/>
        <family val="0"/>
        <charset val="1"/>
      </rPr>
      <t xml:space="preserve">- Data flag: the July 2026 CRWD 4-for-1 stock split was never applied to the manual record - the one row behind the reconciliation gap.</t>
    </r>
  </si>
  <si>
    <t xml:space="preserve">  Housekeeping only: the earnings refresh job was moved to 03:00 UTC to clear a 01:00 scheduling pile-up.</t>
  </si>
  <si>
    <r>
      <rPr>
        <sz val="10"/>
        <color rgb="FF1E7B34"/>
        <rFont val="Arial"/>
        <family val="0"/>
        <charset val="1"/>
      </rPr>
      <t xml:space="preserve">+ Bought 10 AAOI shares at $133.00, part of six buys totaling $8,039.48; new cost basis $560,431.70 ties to the POEMS statement to the cent.
+ AAOI jumped 19% in a broad risk-on session; portfolio now $683,857 market value on $560,432 cost, up 22.02%.
</t>
    </r>
    <r>
      <rPr>
        <sz val="10"/>
        <color rgb="FF000000"/>
        <rFont val="Arial"/>
        <family val="0"/>
        <charset val="1"/>
      </rPr>
      <t xml:space="preserve">  COHR added beside AAOI in Photonic &amp; Optic Fiber; AXTI later joined the same group as a watchlist-only name.</t>
    </r>
  </si>
  <si>
    <t xml:space="preserve">  Astera Labs has only 26 analysts, so one real upgrade can move the price 5-10% in a day; per-firm rating alerts need a ~$22-29/month data upgrade the advisor recommends.</t>
  </si>
  <si>
    <r>
      <rPr>
        <sz val="10"/>
        <color rgb="FF000000"/>
        <rFont val="Arial"/>
        <family val="0"/>
        <charset val="1"/>
      </rPr>
      <t xml:space="preserve">  Astera Labs sits in the AI connectivity cluster with Amphenol, Arista, Credo and Lumentum; advisor proposes renaming the group 'Interconnect &amp; Networking'.
</t>
    </r>
    <r>
      <rPr>
        <sz val="10"/>
        <color rgb="FFC00000"/>
        <rFont val="Arial"/>
        <family val="0"/>
        <charset val="1"/>
      </rPr>
      <t xml:space="preserve">- Concentration warning: adding aggressively to Amphenol and Lumentum stacks more money on the same interconnect theme that already includes Astera Labs.</t>
    </r>
  </si>
  <si>
    <t xml:space="preserve">  Cost-basis housekeeping: ANET needs a -$61.83 commission trim (one of six rows totaling $254.14) to tie the spreadsheet to POEMS exactly.</t>
  </si>
  <si>
    <r>
      <rPr>
        <sz val="10"/>
        <color rgb="FF000000"/>
        <rFont val="Arial"/>
        <family val="0"/>
        <charset val="1"/>
      </rPr>
      <t xml:space="preserve">  ANET sits in the AI connectivity cluster with APH, CRDO, LITE and ALAB; group rename to 'Interconnect &amp; Networking' proposed.
</t>
    </r>
    <r>
      <rPr>
        <sz val="10"/>
        <color rgb="FFC00000"/>
        <rFont val="Arial"/>
        <family val="0"/>
        <charset val="1"/>
      </rPr>
      <t xml:space="preserve">- Adding aggressively to APH and LITE would further concentrate the interconnect layer already held via ANET, CRDO and ALAB - the theme is no longer diversifying.</t>
    </r>
  </si>
  <si>
    <t xml:space="preserve">  Mentioned only as a competitive threat: AEC share loss to Amphenol/Marvell is a named risk to the CRDO position; no APH-specific view this week.</t>
  </si>
  <si>
    <r>
      <rPr>
        <sz val="10"/>
        <color rgb="FF1E7B34"/>
        <rFont val="Arial"/>
        <family val="0"/>
        <charset val="1"/>
      </rPr>
      <t xml:space="preserve">+ Buy call: limit $148.50 for ~$1,930; business just accelerated yet trades at 27.4x forward vs its own 5-yr median of 34.3x; consensus target $186 vs $152.60 price.
</t>
    </r>
    <r>
      <rPr>
        <sz val="10"/>
        <color rgb="FFC00000"/>
        <rFont val="Arial"/>
        <family val="0"/>
        <charset val="1"/>
      </rPr>
      <t xml:space="preserve">- Never chase the ~+6% post-earnings gap: if the limit doesn't fill in five sessions with the stock above $150, raise to $152 - do not go to market.
</t>
    </r>
    <r>
      <rPr>
        <sz val="10"/>
        <color rgb="FF000000"/>
        <rFont val="Arial"/>
        <family val="0"/>
        <charset val="1"/>
      </rPr>
      <t xml:space="preserve">  Position is only $2,004 of a $10,000 budget; the buy takes it to ~$3,935, still just 39% deployed - the smallest deployed position vs budget.
</t>
    </r>
    <r>
      <rPr>
        <sz val="10"/>
        <color rgb="FFC00000"/>
        <rFont val="Arial"/>
        <family val="0"/>
        <charset val="1"/>
      </rPr>
      <t xml:space="preserve">- Concentration flag: APH deepens the interconnect layer already held via ANET, CRDO, LITE, ALAB - a fine theme but no longer diversifying.
</t>
    </r>
    <r>
      <rPr>
        <sz val="10"/>
        <color rgb="FF000000"/>
        <rFont val="Arial"/>
        <family val="0"/>
        <charset val="1"/>
      </rPr>
      <t xml:space="preserve">  By Jul 30 the $148.50 limit hadn't filled (stock $150.31); META at 17.75x forward judged a better use of the $2,000 than APH at 29.8x.</t>
    </r>
  </si>
  <si>
    <r>
      <rPr>
        <sz val="10"/>
        <color rgb="FF000000"/>
        <rFont val="Arial"/>
        <family val="0"/>
        <charset val="1"/>
      </rPr>
      <t xml:space="preserve">  AXTI added as the 126th dashboard name in Photonic &amp; Optic Fiber at the Aug 5 close of $68.61 - watchlist only, no position, no budget.
</t>
    </r>
    <r>
      <rPr>
        <sz val="10"/>
        <color rgb="FF1E7B34"/>
        <rFont val="Arial"/>
        <family val="0"/>
        <charset val="1"/>
      </rPr>
      <t xml:space="preserve">+ Q2 (Jul 30) was a large beat: adjusted EPS $0.19 vs $0.07 expected, gross margin up to 44.9%; 2026 estimates: revenue $217.98M (+147%), EPS $0.87.
+ Jul 29 supply deal with Lumentum (LITE) through 2031: $43.5M upfront plus $43.5M in 2028, $87M total, prepaid as credits against reserved wafer capacity.
</t>
    </r>
    <r>
      <rPr>
        <b val="true"/>
        <sz val="10"/>
        <color rgb="FFC00000"/>
        <rFont val="Arial"/>
        <family val="0"/>
        <charset val="1"/>
      </rPr>
      <t xml:space="preserve">RED FLAG: Warning: subsidiary Beijing Tongmei withdrew its Shanghai IPO (Jul 8), triggering ~US$49M redemption rights held by eleven PE funds; company says funds suffice.
</t>
    </r>
    <r>
      <rPr>
        <sz val="10"/>
        <color rgb="FFC00000"/>
        <rFont val="Arial"/>
        <family val="0"/>
        <charset val="1"/>
      </rPr>
      <t xml:space="preserve">- Risks: 17.27% short interest, negative free cash flow (-$27.98M TTM), beta 1.97, and the stock trades ~52% below its May high.
- Analyst view is thin and split (5 analysts): targets $55-$125 with Buy vs Hold ratings; P/E of 957 will distort the dashboard's chart scales.
</t>
    </r>
    <r>
      <rPr>
        <sz val="10"/>
        <color rgb="FF000000"/>
        <rFont val="Arial"/>
        <family val="0"/>
        <charset val="1"/>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</si>
  <si>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r>
      <rPr>
        <sz val="10"/>
        <color rgb="FF000000"/>
        <rFont val="Arial"/>
        <family val="0"/>
        <charset val="1"/>
      </rPr>
      <t xml:space="preserve">  Bought 4 COHR shares at $330.00 as part of six overnight buys totaling $8,039.48; new cost basis $560,431.70 ties POEMS to the cent.
</t>
    </r>
    <r>
      <rPr>
        <sz val="10"/>
        <color rgb="FF1E7B34"/>
        <rFont val="Arial"/>
        <family val="0"/>
        <charset val="1"/>
      </rPr>
      <t xml:space="preserve">+ COHR jumped 12.35% on Aug 4 on news the FCC is drafting a ban on imports of new Chinese optical transceivers - share would go directly to COHR.
</t>
    </r>
    <r>
      <rPr>
        <sz val="10"/>
        <color rgb="FFC00000"/>
        <rFont val="Arial"/>
        <family val="0"/>
        <charset val="1"/>
      </rPr>
      <t xml:space="preserve">- Calendar risk: COHR reports earnings Aug 12 and is violently volatile - it went $440 to $222 to $324 in nine weeks.
</t>
    </r>
    <r>
      <rPr>
        <sz val="10"/>
        <color rgb="FF000000"/>
        <rFont val="Arial"/>
        <family val="0"/>
        <charset val="1"/>
      </rPr>
      <t xml:space="preserve">  AXTI added beside COHR in Photonic &amp; Optic Fiber; AXT supplies the substrate wafers under the optical parts COHR and LITE build.</t>
    </r>
  </si>
  <si>
    <r>
      <rPr>
        <sz val="10"/>
        <color rgb="FF1E7B34"/>
        <rFont val="Arial"/>
        <family val="0"/>
        <charset val="1"/>
      </rPr>
      <t xml:space="preserve">+ Top buy pick, Medium-High conviction, 6-24 month horizon: -27.5% off its high with Rule of 40 of 236 and PEG 0.73 - the book's fastest fundamental compounder.
+ Only one of five candidates with no earnings inside six weeks, plus the most pre-approved budget room ($7,299); diversifies within AI infra.
</t>
    </r>
    <r>
      <rPr>
        <sz val="10"/>
        <color rgb="FF000000"/>
        <rFont val="Arial"/>
        <family val="0"/>
        <charset val="1"/>
      </rPr>
      <t xml:space="preserve">  Execution: GTC limit $220-222 (close $223.87, don't chase), tranche 1 of ~16 shares (~$3,550), keep the rest for a dip toward $205.
</t>
    </r>
    <r>
      <rPr>
        <sz val="10"/>
        <color rgb="FFC00000"/>
        <rFont val="Arial"/>
        <family val="0"/>
        <charset val="1"/>
      </rPr>
      <t xml:space="preserve">- Kill switches: hyperscaler capex disappointment in AMZN/MSFT/META guides, or AEC cable share loss to Marvell/Amphenol in the next print.
</t>
    </r>
    <r>
      <rPr>
        <sz val="10"/>
        <color rgb="FF000000"/>
        <rFont val="Arial"/>
        <family val="0"/>
        <charset val="1"/>
      </rPr>
      <t xml:space="preserve">  Only 19 analysts cover it, so one firm's rating change can move the price 5-10% in a day; per-firm alerts need the paid FMP tier (~$22-29/month).
</t>
    </r>
    <r>
      <rPr>
        <sz val="10"/>
        <color rgb="FFC00000"/>
        <rFont val="Arial"/>
        <family val="0"/>
        <charset val="1"/>
      </rPr>
      <t xml:space="preserve">- Fails Dad's new deep-value screens (P/FCF &lt;=10, EV/EBITDA &lt;10) - those gates permanently exclude growth names; decide which game each name plays before buying.</t>
    </r>
  </si>
  <si>
    <r>
      <rPr>
        <sz val="10"/>
        <color rgb="FF000000"/>
        <rFont val="Arial"/>
        <family val="0"/>
        <charset val="1"/>
      </rPr>
      <t xml:space="preserve">  Sits in the AI connectivity cluster with ANET, LITE, ALAB and now APH; advisor proposed renaming the group 'Interconnect &amp; Networking'.
</t>
    </r>
    <r>
      <rPr>
        <sz val="10"/>
        <color rgb="FFC00000"/>
        <rFont val="Arial"/>
        <family val="0"/>
        <charset val="1"/>
      </rPr>
      <t xml:space="preserve">- Adding APH and LITE aggressively concentrates the interconnect layer already held via ANET, CRDO and ALAB - no longer a diversifying theme.</t>
    </r>
  </si>
  <si>
    <r>
      <rPr>
        <sz val="10"/>
        <color rgb="FF000000"/>
        <rFont val="Arial"/>
        <family val="0"/>
        <charset val="1"/>
      </rPr>
      <t xml:space="preserve">  FN (Fabrinet) added as a watchlist name in Photonic &amp; Optic Fiber alongside GLW - no budget or position.
</t>
    </r>
    <r>
      <rPr>
        <sz val="10"/>
        <color rgb="FF1E7B34"/>
        <rFont val="Arial"/>
        <family val="0"/>
        <charset val="1"/>
      </rPr>
      <t xml:space="preserve">+ FN is the quality operator: ROIC 30%, revenue +35%, Street average target $749 is +52% above the $494 price after a -34% drawdown; only 9 analysts cover it.</t>
    </r>
  </si>
  <si>
    <t xml:space="preserve">  Data caveat: FN's dashboard price held at the Jul 28 close - no verified fresh close available in the Jul 31 refresh.</t>
  </si>
  <si>
    <r>
      <rPr>
        <sz val="10"/>
        <color rgb="FF000000"/>
        <rFont val="Arial"/>
        <family val="0"/>
        <charset val="1"/>
      </rPr>
      <t xml:space="preserve">  Bought 3 FN shares at $532.00 in the six-buy batch; fills reverse-engineered to clean limit prices with the standard $8.56 POEMS commission.
</t>
    </r>
    <r>
      <rPr>
        <sz val="10"/>
        <color rgb="FF1E7B34"/>
        <rFont val="Arial"/>
        <family val="0"/>
        <charset val="1"/>
      </rPr>
      <t xml:space="preserve">+ FN rose 16% in the Aug 4 risk-on session, one of the day's biggest movers in the book.</t>
    </r>
  </si>
  <si>
    <t xml:space="preserve">  GLW (Corning) and FN (Fabrinet) were added as Photonic &amp; Optic Fiber watchlist names — stalked, not owned, with no budget or position.
  GLW is 'the puzzle': 74x trailing earnings for a glass company, down 44% from its high, yet analysts still see +39% upside on the optical-fiber-for-AI-datacenters story.</t>
  </si>
  <si>
    <t xml:space="preserve">  On the Jul 31 refresh GLW was held at its Jul 30 close because the Jul 31 print could not be verified.</t>
  </si>
  <si>
    <t xml:space="preserve">  Housekeeping: LITE's small intraday price drift refreshed alongside ETN, MPWR and ZETA; bookings confirmed clean.</t>
  </si>
  <si>
    <r>
      <rPr>
        <sz val="10"/>
        <color rgb="FFC00000"/>
        <rFont val="Arial"/>
        <family val="0"/>
        <charset val="1"/>
      </rPr>
      <t xml:space="preserve">- Do not buy yet: 114.7x trailing / 37.8x forward, down 21% in three sessions, earnings Aug 11, and insiders sold $38.9M with zero buying.
- Fundamentals under the 69% revenue growth are thin: $0.11B free cash flow on $2.49B revenue (566x P/FCF), EV/EBITDA 127x, debt/equity 1.11.
</t>
    </r>
    <r>
      <rPr>
        <sz val="10"/>
        <color rgb="FF000000"/>
        <rFont val="Arial"/>
        <family val="0"/>
        <charset val="1"/>
      </rPr>
      <t xml:space="preserve">  Queue plan: LITE last at $530 or below (~$3,700), gated on the Aug 11 print; likely unfunded this cycle as the lowest-quality balance sheet of the group.
  What changes the view: free cash flow inflecting above ~$400M annualized would convert LITE from a story into a business (Rule of 40 at 73.6 is genuinely excellent).
</t>
    </r>
    <r>
      <rPr>
        <sz val="10"/>
        <color rgb="FFC00000"/>
        <rFont val="Arial"/>
        <family val="0"/>
        <charset val="1"/>
      </rPr>
      <t xml:space="preserve">- Concentration flag: LITE and APH share a group with ANET, CRDO and ALAB - adding aggressively to both deepens interconnect-layer exposure.</t>
    </r>
  </si>
  <si>
    <r>
      <rPr>
        <sz val="10"/>
        <color rgb="FFC00000"/>
        <rFont val="Arial"/>
        <family val="0"/>
        <charset val="1"/>
      </rPr>
      <t xml:space="preserve">- LITE +7.4% (up to 14% intraday) on a report of draft US rules banning Chinese optical parts - nothing signed; better to buy on a quiet day than a rumour day.
</t>
    </r>
    <r>
      <rPr>
        <sz val="10"/>
        <color rgb="FF000000"/>
        <rFont val="Arial"/>
        <family val="0"/>
        <charset val="1"/>
      </rPr>
      <t xml:space="preserve">  Bought 2 LITE at $854.68 among six overnight buys totaling $8,039.48; new cost basis $560,431.70 ties to POEMS to the cent.
  Supplier AXT signed an $87M prepaid wafer-capacity deal with Lumentum through 2031; COHR joined the same group and reports Aug 12 (a violently volatile stock).</t>
    </r>
  </si>
  <si>
    <r>
      <rPr>
        <sz val="10"/>
        <color rgb="FF000000"/>
        <rFont val="Arial"/>
        <family val="0"/>
        <charset val="1"/>
      </rPr>
      <t xml:space="preserve">  LWLG (Lightwave Logic) added to Photonic &amp; Optic Fiber at $7.27, confirmed by five sources (one history table wrongly said $7.73).
</t>
    </r>
    <r>
      <rPr>
        <sz val="10"/>
        <color rgb="FFC00000"/>
        <rFont val="Arial"/>
        <family val="0"/>
        <charset val="1"/>
      </rPr>
      <t xml:space="preserve">- It is effectively pre-revenue: $243,105 of trailing revenue against a $1.12B market value - 5,040x sales, versus 855x for POET, the board's previous most expensive name.
- Zero sell-side coverage - no analyst targets exist, so fair-value fields are blank; verdict: lottery ticket, do not buy.
</t>
    </r>
    <r>
      <rPr>
        <sz val="10"/>
        <color rgb="FF000000"/>
        <rFont val="Arial"/>
        <family val="0"/>
        <charset val="1"/>
      </rPr>
      <t xml:space="preserve">  Funding: $100M cash post-ATM against ~$4.1M quarterly burn, guided through Dec 2027 - but share count has grown 112M to 154M on an ATM programme raised to a $51.4M limit.
  Q2 earnings are company-confirmed for Aug 11 - five days after listing on the board.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</si>
  <si>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t xml:space="preserve">  POET not yet on the dashboard: the handwritten note asks to add it to Photonic, but the FMP data feed was down, so the entry awaits creation and backfill.</t>
  </si>
  <si>
    <r>
      <rPr>
        <sz val="10"/>
        <color rgb="FF000000"/>
        <rFont val="Arial"/>
        <family val="0"/>
        <charset val="1"/>
      </rPr>
      <t xml:space="preserve">  POET added to Photonic &amp; Optic Fiber per the handwritten note; the board reached 110 names, all priced at the Jul 31 close.
</t>
    </r>
    <r>
      <rPr>
        <sz val="10"/>
        <color rgb="FFC00000"/>
        <rFont val="Arial"/>
        <family val="0"/>
        <charset val="1"/>
      </rPr>
      <t xml:space="preserve">- POET has zero analyst coverage, so no fair-value ladder; its 854x price-to-sales and 100% gross margin are artifacts of ~$1.4M revenue - treat both as noise.
</t>
    </r>
    <r>
      <rPr>
        <sz val="10"/>
        <color rgb="FF000000"/>
        <rFont val="Arial"/>
        <family val="0"/>
        <charset val="1"/>
      </rPr>
      <t xml:space="preserve">  Data caveats: POET's year-to-date column is blank (free source serves only ~10 weeks of history); a chart crash on pre-revenue names like POET was found and fixed.</t>
    </r>
  </si>
  <si>
    <t xml:space="preserve">  AMPX was slotted into the Energy group, but with the FMP data feed down its price, market cap, 52-week range and fundamentals could not be pulled yet.
  Options offered: add AMPX and POET as empty entries now and backfill when the data feed returns, or wait.</t>
  </si>
  <si>
    <r>
      <rPr>
        <sz val="10"/>
        <color rgb="FF000000"/>
        <rFont val="Arial"/>
        <family val="0"/>
        <charset val="1"/>
      </rPr>
      <t xml:space="preserve">  AMPX (Amprius) is now on the board in Energy, verified at the Jul 31 close, added alongside POET and NOK.
</t>
    </r>
    <r>
      <rPr>
        <sz val="10"/>
        <color rgb="FFC00000"/>
        <rFont val="Arial"/>
        <family val="0"/>
        <charset val="1"/>
      </rPr>
      <t xml:space="preserve">- Year-to-date figures for AMPX, POET and NOK are blank: the free price source only serves about ten weeks of history; the rest of their card data is real.
</t>
    </r>
    <r>
      <rPr>
        <sz val="10"/>
        <color rgb="FF000000"/>
        <rFont val="Arial"/>
        <family val="0"/>
        <charset val="1"/>
      </rPr>
      <t xml:space="preserve">  Dashboard search now matches company names, so typing 'amprius' finds AMPX without knowing the ticker.</t>
    </r>
  </si>
  <si>
    <t xml:space="preserve">  ENPH: a profitable solar-inverter leader down 50%, caught in the US solar-subsidy rollback; at 18x forward it carries a recovery option if residential solar stabilizes.</t>
  </si>
  <si>
    <r>
      <rPr>
        <sz val="10"/>
        <color rgb="FFC00000"/>
        <rFont val="Arial"/>
        <family val="0"/>
        <charset val="1"/>
      </rPr>
      <t xml:space="preserve">- Grouped with speculative energy names having essentially no profits and little revenue; valuation columns blank - a thematic call option to be position-sized like a venture bet.
</t>
    </r>
    <r>
      <rPr>
        <sz val="10"/>
        <color rgb="FF000000"/>
        <rFont val="Arial"/>
        <family val="0"/>
        <charset val="1"/>
      </rPr>
      <t xml:space="preserve">  On the list of 16 watchlist names proposed as no-position dashboard columns with reserved budgets.</t>
    </r>
  </si>
  <si>
    <r>
      <rPr>
        <b val="true"/>
        <sz val="10"/>
        <color rgb="FFC00000"/>
        <rFont val="Arial"/>
        <family val="0"/>
        <charset val="1"/>
      </rPr>
      <t xml:space="preserve">RED FLAG: Price data broken: a source printed a 3.17 close below its own 3.22 daily low and served a stale Jul 30 price; verified $3.38 close via two independent sources.
</t>
    </r>
    <r>
      <rPr>
        <sz val="10"/>
        <color rgb="FFC00000"/>
        <rFont val="Arial"/>
        <family val="0"/>
        <charset val="1"/>
      </rPr>
      <t xml:space="preserve">- One of four watchlist names sitting outside its own 52-week band on suspect data; left at the older verified price rather than bake in a bad print.</t>
    </r>
  </si>
  <si>
    <t xml:space="preserve">  No EOSE-specific commentary this week.</t>
  </si>
  <si>
    <r>
      <rPr>
        <sz val="10"/>
        <color rgb="FF000000"/>
        <rFont val="Arial"/>
        <family val="0"/>
        <charset val="1"/>
      </rPr>
      <t xml:space="preserve">  FSLR (First Solar) added to Energy at the Aug 7 close $250.05. The largest US solar-panel maker (thin-film technology) and a winner from US tariffs on foreign solar. Watchlist only.
</t>
    </r>
    <r>
      <rPr>
        <sz val="10"/>
        <color rgb="FF1E7B34"/>
        <rFont val="Arial"/>
        <family val="0"/>
        <charset val="1"/>
      </rPr>
      <t xml:space="preserve">+ High quality and cheap: revenue $5.4B (+24%), 32% net margin, EPS $16.22 (+39%), 21% return on capital, $1.5B cash flow, almost no debt. Only 15x earnings (12x forward), PEG 0.56.
+ Q2 beat handily ($3.92 vs $3.01); 45 GW / $13.6B backlog booked through 2030; passed 100 GW of lifetime sales. 35 analysts rate it Buy, avg target ~$255.
</t>
    </r>
    <r>
      <rPr>
        <sz val="10"/>
        <color rgb="FFC00000"/>
        <rFont val="Arial"/>
        <family val="0"/>
        <charset val="1"/>
      </rPr>
      <t xml:space="preserve">- Near-term growth is slowing - next year's revenue is guided slightly DOWN despite the strong trailing year - and tariff uncertainty costs ~$30M a quarter. Stock is $250 vs a $321 high.
</t>
    </r>
    <r>
      <rPr>
        <sz val="10"/>
        <color rgb="FF000000"/>
        <rFont val="Arial"/>
        <family val="0"/>
        <charset val="1"/>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</si>
  <si>
    <t xml:space="preserve">  Tesla sits among the book's losers; advisor would not sell it just to raise cash - that is a separate thesis decision. It is grouped under industrial Robotic/Automation/EV.</t>
  </si>
  <si>
    <t xml:space="preserve">- Tesla is down 28.6% - flagged as one of the book's old wounds, not damage from the Jul 28 memory crash.</t>
  </si>
  <si>
    <t xml:space="preserve">  The weekly audit re-based Tesla's market cap up 18% to verified share counts; on the portfolio wheel it still shows a red (loss) band.
  Moved from Robotic/Automation/EV to the Energy group (we own 10 shares, cost $4,305, budget $10,000). Its energy-storage business is the part that fits 'Energy'; position unchanged.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</si>
  <si>
    <t xml:space="preserve">  Housekeeping: the handwritten grouping note's 'CONX' was transcribed as CGNX while rebuilding the portfolio groups.</t>
  </si>
  <si>
    <r>
      <rPr>
        <sz val="10"/>
        <color rgb="FFC00000"/>
        <rFont val="Arial"/>
        <family val="0"/>
        <charset val="1"/>
      </rPr>
      <t xml:space="preserve">- ISRG is the biggest percentage loser: 33 shares at $438.94 cost vs ~$332 now, -24.4% (-$3,528); down ~30% YTD after an 11-12% drop on its Jul 16 report.
- Risks: decelerating procedures, GLP-1/ACA demand pressure, the 2027 instrument-life extension cutting high-margin recurring revenue, and J&amp;J/Medtronic robots arriving.
</t>
    </r>
    <r>
      <rPr>
        <sz val="10"/>
        <color rgb="FF1E7B34"/>
        <rFont val="Arial"/>
        <family val="0"/>
        <charset val="1"/>
      </rPr>
      <t xml:space="preserve">+ The quality is intact: 70% gross and 42% operating margins, an 11,710-system installed base, the da Vinci 5 ramp and a recurring razor-blade model.
+ The 30% de-rating leaves ISRG at ~29.5x forward earnings, already under dad's 40x ceiling — the valuation gate is met on both trailing and forward numbers.
</t>
    </r>
    <r>
      <rPr>
        <sz val="10"/>
        <color rgb="FF000000"/>
        <rFont val="Arial"/>
        <family val="0"/>
        <charset val="1"/>
      </rPr>
      <t xml:space="preserve">  An add alert is live: it fires at $300 or below (~27x forward there); do not chase at $337 after the +1.7% pop. A 5-share ISRG add was made this week.</t>
    </r>
  </si>
  <si>
    <r>
      <rPr>
        <sz val="10"/>
        <color rgb="FF000000"/>
        <rFont val="Arial"/>
        <family val="0"/>
        <charset val="1"/>
      </rPr>
      <t xml:space="preserve">  ISRG is the closest name to its buy limit — only a 5.6-6.5% pullback from triggering, and drifting toward it; nothing on the buy list has triggered yet.
</t>
    </r>
    <r>
      <rPr>
        <b val="true"/>
        <sz val="10"/>
        <color rgb="FFC00000"/>
        <rFont val="Arial"/>
        <family val="0"/>
        <charset val="1"/>
      </rPr>
      <t xml:space="preserve">RED FLAG: Data integrity admission: 'live' prices quoted for ten names included five (MPWR, TSM, ISRG, ASML, MU) never actually looked up; four were wrong and have been corrected.</t>
    </r>
  </si>
  <si>
    <t xml:space="preserve">  BOUGHT 5 more ISRG @ $377.60 on Aug 7 (order 368452) near the 52-week low. Position now 38 shares, cost $16,382, avg $431; budget 82% used. Cash after ~$11,327 (real POEMS balance $13,224 less the buy).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</si>
  <si>
    <t xml:space="preserve">  OUST (Ouster, lidar) was added to the Robotic group as a watchlist name.
  It is a high-beta, pre-profit lidar play with a -30% net margin, but carries a Strong Buy rating and +34% upside to target — the speculative end of the automation theme.</t>
  </si>
  <si>
    <t xml:space="preserve">  ROK (Rockwell Automation) joined the Robotic watchlist: a profitable industrial-automation blue chip (27% ROE, +7% revenue) trading right at its $474 target, little upside.</t>
  </si>
  <si>
    <t xml:space="preserve">  Data check: ROK's quote-page close exceeded the history row's own stated daily high — proof the history table shows partial-day snapshots, so quote-page closes are used.</t>
  </si>
  <si>
    <t xml:space="preserve">  Part of the ~$57K semi-equipment basket that is effectively the depreciation line of Micron's P&amp;L; Teradyne included in that thesis.
  Cost-basis cleanup: TER needs a -$118.25 trim, the odd one out - a price-level difference on a lot, worth checking against the broker confirmation first.</t>
  </si>
  <si>
    <r>
      <rPr>
        <sz val="10"/>
        <color rgb="FF000000"/>
        <rFont val="Arial"/>
        <family val="0"/>
        <charset val="1"/>
      </rPr>
      <t xml:space="preserve">  Flagged as misfiled in Robotic/Automation/EV: revenue is overwhelmingly semiconductor test, so it should move to Chips Manufacturing with its true peers.
</t>
    </r>
    <r>
      <rPr>
        <sz val="10"/>
        <color rgb="FF1E7B34"/>
        <rFont val="Arial"/>
        <family val="0"/>
        <charset val="1"/>
      </rPr>
      <t xml:space="preserve">+ On the AEHR question: Dad already owns the wafer-level burn-in theme more safely through TER and AMAT - no need to pay ~88x forward for AEHR.</t>
    </r>
  </si>
  <si>
    <t xml:space="preserve">  ASTS added to the dashboard as a watchlist column in the Space group beside RKLB and SpaceX; no position or budget.
  Groups reorganized: Space (RKLB/ASTS/SpaceX) split from Drone &amp; Defense, and columns now sort by position size so biggest risks appear first.</t>
  </si>
  <si>
    <t xml:space="preserve">- Data caveat: the quote page served an 18-day-old ASTS snapshot with no staleness warning; the current history-table price of $59.02 was used instead.
- ASTS is the only name of the 60 refreshed that rests on a single source; everything else has at least two.</t>
  </si>
  <si>
    <r>
      <rPr>
        <sz val="10"/>
        <color rgb="FF000000"/>
        <rFont val="Arial"/>
        <family val="0"/>
        <charset val="1"/>
      </rPr>
      <t xml:space="preserve">  LUNR (Intuitive Machines) was added to the Space group, bringing the board to 97 tickers.
</t>
    </r>
    <r>
      <rPr>
        <sz val="10"/>
        <color rgb="FF1E7B34"/>
        <rFont val="Arial"/>
        <family val="0"/>
        <charset val="1"/>
      </rPr>
      <t xml:space="preserve">+ The cleaner speculative story: a NASA-contracted lunar-lander with +54% revenue growth and a big analyst gap — $41 average target vs $12.92 price (+216% implied).
</t>
    </r>
    <r>
      <rPr>
        <sz val="10"/>
        <color rgb="FFC00000"/>
        <rFont val="Arial"/>
        <family val="0"/>
        <charset val="1"/>
      </rPr>
      <t xml:space="preserve">- It is still burning cash and down 72% from its high — a sized-to-lose space bet next to RKLB, ASTS and SPCX.</t>
    </r>
  </si>
  <si>
    <r>
      <rPr>
        <sz val="10"/>
        <color rgb="FF000000"/>
        <rFont val="Arial"/>
        <family val="0"/>
        <charset val="1"/>
      </rPr>
      <t xml:space="preserve">  Planet Labs added to the Space group at $22.83, watchlist only, no money in it.
</t>
    </r>
    <r>
      <rPr>
        <sz val="10"/>
        <color rgb="FFC00000"/>
        <rFont val="Arial"/>
        <family val="0"/>
        <charset val="1"/>
      </rPr>
      <t xml:space="preserve">- Beat and raised, but wild: down 26% in a single June day, up 15.6% in another, with roughly 9% of shares sold short.</t>
    </r>
  </si>
  <si>
    <r>
      <rPr>
        <sz val="10"/>
        <color rgb="FF000000"/>
        <rFont val="Arial"/>
        <family val="0"/>
        <charset val="1"/>
      </rPr>
      <t xml:space="preserve">  First read said buy Rocket Lab 13% under an $80 limit - then the limit was corrected to under $50, making it the furthest name from triggering at -28%.
</t>
    </r>
    <r>
      <rPr>
        <sz val="10"/>
        <color rgb="FFC00000"/>
        <rFont val="Arial"/>
        <family val="0"/>
        <charset val="1"/>
      </rPr>
      <t xml:space="preserve">- It fails the new value screens outright (negative free cash flow, no meaningful EBITDA); treat it as a small story bet - a call option on the Neutron launch, not a value position.
</t>
    </r>
    <r>
      <rPr>
        <sz val="10"/>
        <color rgb="FF000000"/>
        <rFont val="Arial"/>
        <family val="0"/>
        <charset val="1"/>
      </rPr>
      <t xml:space="preserve">  Data caveat: live feeds kept serving a stale 2025 cache for the quote - confirm the live price before placing any order.</t>
    </r>
  </si>
  <si>
    <t xml:space="preserve">  Cost-basis audit: the 23-share position at $1,942.58 ties the broker's printed total to the penny; an apparent $0.40 discrepancy was a transcription error.</t>
  </si>
  <si>
    <t xml:space="preserve">  Rocket Lab's quote page served a stale Jul 10 snapshot; the price was rebuilt from the history table instead.</t>
  </si>
  <si>
    <r>
      <rPr>
        <sz val="10"/>
        <color rgb="FF000000"/>
        <rFont val="Arial"/>
        <family val="0"/>
        <charset val="1"/>
      </rPr>
      <t xml:space="preserve">  SIDU (Sidus Space) added to Space at the Aug 7 close $2.24. A micro-cap that 3D-prints small AI-enabled satellites. Watchlist only.
</t>
    </r>
    <r>
      <rPr>
        <b val="true"/>
        <sz val="10"/>
        <color rgb="FFC00000"/>
        <rFont val="Arial"/>
        <family val="0"/>
        <charset val="1"/>
      </rPr>
      <t xml:space="preserve">RED FLAG: Tiny and pre-scale: only $3.5M revenue (shrinking) against a $225M value - a price-to-sales of 64x. Deeply loss-making, burning cash. The one analyst covering it rates it Sell with no target.
</t>
    </r>
    <r>
      <rPr>
        <sz val="10"/>
        <color rgb="FF1E7B34"/>
        <rFont val="Arial"/>
        <family val="0"/>
        <charset val="1"/>
      </rPr>
      <t xml:space="preserve">+ Positives: raised ~$170M so it's cash-rich with almost no debt, and won a spot on a big Missile Defense Agency contract vehicle. A lottery-ticket space bet.</t>
    </r>
  </si>
  <si>
    <t xml:space="preserve">  Correction: SpaceX IPO'd June 12, 2026 as SPCX on Nasdaq at a ~$1.5T cap — one of the largest IPOs ever; the dashboard's 'private company' placeholder now shows live data.
  SPCX sits in the Space group beside RKLB and ASTS, with $25K of budget reserved for the space names; LUNR joined nearby as another sized-to-lose space bet.</t>
  </si>
  <si>
    <r>
      <rPr>
        <sz val="10"/>
        <color rgb="FF1E7B34"/>
        <rFont val="Arial"/>
        <family val="0"/>
        <charset val="1"/>
      </rPr>
      <t xml:space="preserve">+ Announced Aug 5: SpaceX is building its 'Starmind' AI system exclusively on NVIDIA chips, targeting 10 gigawatts of computing power by end-2027.
</t>
    </r>
    <r>
      <rPr>
        <sz val="10"/>
        <color rgb="FF000000"/>
        <rFont val="Arial"/>
        <family val="0"/>
        <charset val="1"/>
      </rPr>
      <t xml:space="preserve">  SpaceX says it will take 'a very significant percentage' of NVIDIA's GPUs next year — a customer at a scale that barely existed six months ago.</t>
    </r>
  </si>
  <si>
    <r>
      <rPr>
        <sz val="10"/>
        <color rgb="FFC00000"/>
        <rFont val="Arial"/>
        <family val="0"/>
        <charset val="1"/>
      </rPr>
      <t xml:space="preserve">- AeroVironment is down 32% and its Space/Defense basket is the portfolio's one red group: -25%, with $24.0K of cost now worth $17.9K.
</t>
    </r>
    <r>
      <rPr>
        <sz val="10"/>
        <color rgb="FF000000"/>
        <rFont val="Arial"/>
        <family val="0"/>
        <charset val="1"/>
      </rPr>
      <t xml:space="preserve">  Advisor would not sell it just to raise cash - the losers are separate thesis decisions; AVAV was regrouped into Drone &amp; Defense beside Palantir and Ondas.</t>
    </r>
  </si>
  <si>
    <r>
      <rPr>
        <sz val="10"/>
        <color rgb="FF000000"/>
        <rFont val="Arial"/>
        <family val="0"/>
        <charset val="1"/>
      </rPr>
      <t xml:space="preserve">  AXON added to Drone &amp; Defense at the Aug 6 close of $522.46 - watchlist only, no position, no budget. Sells Tasers, body cameras, drones and evidence software to police forces.
</t>
    </r>
    <r>
      <rPr>
        <sz val="10"/>
        <color rgb="FF1E7B34"/>
        <rFont val="Arial"/>
        <family val="0"/>
        <charset val="1"/>
      </rPr>
      <t xml:space="preserve">+ Q2 (Aug 5) beat on both lines: revenue $904M vs $876M expected (+35% YoY), adjusted EPS $1.88 vs $1.84; full-year growth guidance RAISED to 32-34%.
+ Recurring revenue engine is strong: ARR $1.6B +39%, customers spending 26% more each year, $15.1B of future contracted bookings; drone/counter-drone revenue +123%.
</t>
    </r>
    <r>
      <rPr>
        <sz val="10"/>
        <color rgb="FFC00000"/>
        <rFont val="Arial"/>
        <family val="0"/>
        <charset val="1"/>
      </rPr>
      <t xml:space="preserve">- Stock still FELL 14% on the results - gross margin slipping, memory costs rising, inventory building, and EPS below the $2.12 earned a year ago.
- Expensive even after the drop: 217x trailing earnings, 315x free cash flow (only $133M of FCF on $3.2B revenue); 21 analysts average a $683 target.
</t>
    </r>
    <r>
      <rPr>
        <b val="true"/>
        <sz val="10"/>
        <color rgb="FFC00000"/>
        <rFont val="Arial"/>
        <family val="0"/>
        <charset val="1"/>
      </rPr>
      <t xml:space="preserve">RED FLAG: Headline risk: a June report tied a Trump family stock purchase to a ~$220M ICE Taser solicitation 'effectively written for Axon' - political/regulatory risk cuts both ways.
</t>
    </r>
    <r>
      <rPr>
        <sz val="10"/>
        <color rgb="FF000000"/>
        <rFont val="Arial"/>
        <family val="0"/>
        <charset val="1"/>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</si>
  <si>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r>
      <rPr>
        <sz val="10"/>
        <color rgb="FF000000"/>
        <rFont val="Arial"/>
        <family val="0"/>
        <charset val="1"/>
      </rPr>
      <t xml:space="preserve">  LMT (Lockheed Martin) added to Drone &amp; Defense at the Aug 7 close $587.95. The world's largest defence contractor - F-35 jets and missile defence. Pays a 2.4% dividend. Watchlist only.
</t>
    </r>
    <r>
      <rPr>
        <sz val="10"/>
        <color rgb="FF1E7B34"/>
        <rFont val="Arial"/>
        <family val="0"/>
        <charset val="1"/>
      </rPr>
      <t xml:space="preserve">+ Cheap for a blue-chip: P/E ~22, earnings up 52% (recovering from 2025 program losses), record $230B backlog, and a $35B THAAD missile award. Very defensive (low market correlation).
</t>
    </r>
    <r>
      <rPr>
        <sz val="10"/>
        <color rgb="FFC00000"/>
        <rFont val="Arial"/>
        <family val="0"/>
        <charset val="1"/>
      </rPr>
      <t xml:space="preserve">- Analysts are lukewarm - consensus is HOLD with avg target ~$630 (Goldman even at Sell) - and revenue growth is modest (~7%). A steady compounder, not a fast grower.</t>
    </r>
  </si>
  <si>
    <r>
      <rPr>
        <sz val="10"/>
        <color rgb="FF000000"/>
        <rFont val="Arial"/>
        <family val="0"/>
        <charset val="1"/>
      </rPr>
      <t xml:space="preserve">  NOC (Northrop Grumman) added to Drone &amp; Defense at the Aug 7 close $571.58. Builds the B-21 stealth bomber, Sentinel ICBM and space systems. Watchlist only.
</t>
    </r>
    <r>
      <rPr>
        <sz val="10"/>
        <color rgb="FF1E7B34"/>
        <rFont val="Arial"/>
        <family val="0"/>
        <charset val="1"/>
      </rPr>
      <t xml:space="preserve">+ Cheapest of the three primes (P/E 18) with a 27% return on equity and a $105B backlog; the 'Golden Dome' missile-defence push is a direct tailwind. 23 analysts Buy, avg ~$643 (biggest upside of the trio).
</t>
    </r>
    <r>
      <rPr>
        <sz val="10"/>
        <color rgb="FFC00000"/>
        <rFont val="Arial"/>
        <family val="0"/>
        <charset val="1"/>
      </rPr>
      <t xml:space="preserve">- Growth is steady rather than exciting, and it's ~26% below its 52-week high ($774). A quality defensive holding.</t>
    </r>
  </si>
  <si>
    <t xml:space="preserve">- ONDS position: 200 shares, cost $2,031, worth ~$1,374 (-32.3%), with no budget line; part of the one red group (Space/Defense/Robotics, -25%).
- Its displayed +252% profit margin is non-operating gains masquerading as margin - ignore it when judging the business.
- Buy limit corrected to under $7.50; warning against averaging down on an $8 speculative drone micro-cap - that is how small losers become big ones.</t>
  </si>
  <si>
    <r>
      <rPr>
        <sz val="10"/>
        <color rgb="FFC00000"/>
        <rFont val="Arial"/>
        <family val="0"/>
        <charset val="1"/>
      </rPr>
      <t xml:space="preserve">- ONDS was the only name to hit its buy limit ($7.80 vs $8) but the advice is don't chase: it's the lowest-quality name on the sheet; size any nibble like a lottery ticket.
</t>
    </r>
    <r>
      <rPr>
        <sz val="10"/>
        <color rgb="FF000000"/>
        <rFont val="Arial"/>
        <family val="0"/>
        <charset val="1"/>
      </rPr>
      <t xml:space="preserve">  MU ranked the better buy on every axis that matters - a real, profitable business versus an $8 speculative drone micro-cap.</t>
    </r>
  </si>
  <si>
    <r>
      <rPr>
        <sz val="10"/>
        <color rgb="FF000000"/>
        <rFont val="Arial"/>
        <family val="0"/>
        <charset val="1"/>
      </rPr>
      <t xml:space="preserve">  Weekly audit re-based ONDS market cap -17% to verified shares outstanding.
</t>
    </r>
    <r>
      <rPr>
        <sz val="10"/>
        <color rgb="FFC00000"/>
        <rFont val="Arial"/>
        <family val="0"/>
        <charset val="1"/>
      </rPr>
      <t xml:space="preserve">- POEMS marked ONDS at $8.37 vs a twice-verified $8.23 close; the verified figure was used - broker marks can drift on thin small-caps ($28 total impact).</t>
    </r>
  </si>
  <si>
    <r>
      <rPr>
        <sz val="10"/>
        <color rgb="FF1E7B34"/>
        <rFont val="Arial"/>
        <family val="0"/>
        <charset val="1"/>
      </rPr>
      <t xml:space="preserve">+ PLTR is among the names pulling the Software group's +56% gain, one of the book's best percentage performers.
</t>
    </r>
    <r>
      <rPr>
        <sz val="10"/>
        <color rgb="FF000000"/>
        <rFont val="Arial"/>
        <family val="0"/>
        <charset val="1"/>
      </rPr>
      <t xml:space="preserve">  PLTR grouped into the new Drone &amp; Defense band alongside AVAV, ONDS and MDB after the Space split.</t>
    </r>
  </si>
  <si>
    <t xml:space="preserve">  ZETA bounced +8.42% partly on a 7-year Palantir deal; advice on ZETA was hold, don't add - don't chase a narrative pop on a risk-off day.</t>
  </si>
  <si>
    <r>
      <rPr>
        <sz val="10"/>
        <color rgb="FF1E7B34"/>
        <rFont val="Arial"/>
        <family val="0"/>
        <charset val="1"/>
      </rPr>
      <t xml:space="preserve">+ Blowout results: commercial sales grew 149%; PLTR jumped 24.5% on the print and +29% in the week's risk-on session.
+ Business quality is elite: $1.5M revenue per employee, 150%+ net revenue retention, US commercial +133%, revenue $1.633B (+85%).
</t>
    </r>
    <r>
      <rPr>
        <sz val="10"/>
        <color rgb="FFC00000"/>
        <rFont val="Arial"/>
        <family val="0"/>
        <charset val="1"/>
      </rPr>
      <t xml:space="preserve">- Advice: don't buy the gap - paying over 100x earnings on the stock's most euphoric morning of the year; great business, dangerous price.
</t>
    </r>
    <r>
      <rPr>
        <sz val="10"/>
        <color rgb="FF000000"/>
        <rFont val="Arial"/>
        <family val="0"/>
        <charset val="1"/>
      </rPr>
      <t xml:space="preserve">  The overnight PLTR earnings refresh was merged into the dashboard cleanly - 110 stocks verified, position totals unchanged.</t>
    </r>
  </si>
  <si>
    <r>
      <rPr>
        <sz val="10"/>
        <color rgb="FF000000"/>
        <rFont val="Arial"/>
        <family val="0"/>
        <charset val="1"/>
      </rPr>
      <t xml:space="preserve">  RCAT (Red Cat) added to Drone &amp; Defense at the Aug 7 close $9.21. A military drone maker - its Black Widow won a US Army program. Watchlist only.
</t>
    </r>
    <r>
      <rPr>
        <sz val="10"/>
        <color rgb="FF1E7B34"/>
        <rFont val="Arial"/>
        <family val="0"/>
        <charset val="1"/>
      </rPr>
      <t xml:space="preserve">+ Explosive growth off a tiny base and a $326M cash cushion; 6 analysts rate it Strong Buy with targets around $20-25 (more than double today).
</t>
    </r>
    <r>
      <rPr>
        <sz val="10"/>
        <color rgb="FFC00000"/>
        <rFont val="Arial"/>
        <family val="0"/>
        <charset val="1"/>
      </rPr>
      <t xml:space="preserve">- Loss-making, and Q2 (Aug 6) MISSED on both revenue and profit. 24% of shares are shorted and a short-seller has questioned its contract claims. High-risk defence speculation.</t>
    </r>
  </si>
  <si>
    <r>
      <rPr>
        <sz val="10"/>
        <color rgb="FF000000"/>
        <rFont val="Arial"/>
        <family val="0"/>
        <charset val="1"/>
      </rPr>
      <t xml:space="preserve">  RTX (RTX Corp / Raytheon) added to Drone &amp; Defense at the Aug 7 close $223.03. Makes Patriot and AIM-9X missiles plus jet engines and aerospace parts. Watchlist only.
</t>
    </r>
    <r>
      <rPr>
        <sz val="10"/>
        <color rgb="FF1E7B34"/>
        <rFont val="Arial"/>
        <family val="0"/>
        <charset val="1"/>
      </rPr>
      <t xml:space="preserve">+ Strong momentum: revenue +12%, earnings +25%, record $289B backlog, benefiting from global missile-defence demand (incl. Golden Dome). 23 analysts rate it Buy.
</t>
    </r>
    <r>
      <rPr>
        <sz val="10"/>
        <color rgb="FFC00000"/>
        <rFont val="Arial"/>
        <family val="0"/>
        <charset val="1"/>
      </rPr>
      <t xml:space="preserve">- The priciest of the three primes (P/E 39) and it sits right at its 52-week high, so a lot of good news is already in the price. Modest 1.3% dividend.</t>
    </r>
  </si>
  <si>
    <t xml:space="preserve">  Grouping settled per the notebook: IBM was briefly slated for Quantum but ended in the SaaS/Software group with CRM and ZETA (Quantum left as IONQ solo).
  IBM sits unbudgeted (IBM/CRM/ZETA are $5.6K combined); if SaaS is zero-allocation by intent, these are implicitly exit candidates - worth confirming.</t>
  </si>
  <si>
    <r>
      <rPr>
        <sz val="10"/>
        <color rgb="FFC00000"/>
        <rFont val="Arial"/>
        <family val="0"/>
        <charset val="1"/>
      </rPr>
      <t xml:space="preserve">- AI risk flag: IBM's large services/consulting arm sells human hours, and AI compresses the hours.
- On the portfolio wheel IBM shows a red rim - a losing position, alongside META and TSLA.
</t>
    </r>
    <r>
      <rPr>
        <sz val="10"/>
        <color rgb="FF000000"/>
        <rFont val="Arial"/>
        <family val="0"/>
        <charset val="1"/>
      </rPr>
      <t xml:space="preserve">  Dad's note executed: IBM moved from SaaS to Quantum next to IONQ (a sensible fit - one of the most serious quantum efforts); dashboard now 111 tickers across 17 groups.</t>
    </r>
  </si>
  <si>
    <r>
      <rPr>
        <sz val="10"/>
        <color rgb="FFC00000"/>
        <rFont val="Arial"/>
        <family val="0"/>
        <charset val="1"/>
      </rPr>
      <t xml:space="preserve">- Space, Defense &amp; Robotics was the one red group, -25% ($24.0K cost to $17.9K); IONQ -21% within it.
- IONQ's 174.9% 'profit margin' is non-operating gains; operations burn cash at -226% FCF margin. A profit-margin Rule of 40 (~510) is nonsense; the FCF version scores 108.
</t>
    </r>
    <r>
      <rPr>
        <sz val="10"/>
        <color rgb="FF000000"/>
        <rFont val="Arial"/>
        <family val="0"/>
        <charset val="1"/>
      </rPr>
      <t xml:space="preserve">  Entire IONQ position exited - 81 shares, $3,569.26 cost - realizing a $772 loss; kept visible as a Quantum watchlist row.
</t>
    </r>
    <r>
      <rPr>
        <sz val="10"/>
        <color rgb="FFC00000"/>
        <rFont val="Arial"/>
        <family val="0"/>
        <charset val="1"/>
      </rPr>
      <t xml:space="preserve">- Exit pattern flagged: sold-out trades are 4 wins / 8 losses (33%), dragged by the ORCL trim and IONQ exit - both sold into weakness.
</t>
    </r>
    <r>
      <rPr>
        <sz val="10"/>
        <color rgb="FF000000"/>
        <rFont val="Arial"/>
        <family val="0"/>
        <charset val="1"/>
      </rPr>
      <t xml:space="preserve">  IONQ remains a chronic resident below the lowest analyst target, and was unbudgeted ($2.8K) before the exit.</t>
    </r>
  </si>
  <si>
    <t xml:space="preserve">  IBM moved from SaaS into Quantum next to IONQ (previously the group's only name); dashboard now 111 tickers across 17 groups.</t>
  </si>
  <si>
    <t xml:space="preserve">  Adobe was added to the dashboard's SaaS group along with ServiceNow, Snowflake, Datadog and MongoDB; the board now tracks 104 names.
  Data check: Adobe's stored $688.37 high is its all-time close from Nov 19, 2021 - an all-time vs 52-week mix-up, not stale data.</t>
  </si>
  <si>
    <r>
      <rPr>
        <sz val="10"/>
        <color rgb="FFC00000"/>
        <rFont val="Arial"/>
        <family val="0"/>
        <charset val="1"/>
      </rPr>
      <t xml:space="preserve">- Adobe fell 2.15% in Wednesday's after-hours on no news; advisor's guess is sympathy selling with AppLovin's AI miss - check the real price at the open.
- Adobe's discount looks deserved: new subscription revenue ~$400M vs $450-460M expected, Firefly AI under 2% of $26B revenue, and Morgan Stanley's $240 target sits below the price.
- Head-to-head at ~9x cash flow, advisor prefers Salesforce over Adobe: Adobe's flaw is real, Salesforce's is rumour, and Salesforce is buying back $25B of its own stock.
</t>
    </r>
    <r>
      <rPr>
        <sz val="10"/>
        <color rgb="FF000000"/>
        <rFont val="Arial"/>
        <family val="0"/>
        <charset val="1"/>
      </rPr>
      <t xml:space="preserve">  Housekeeping: Adobe was already in the SaaS group so a repeat request needed no action; Veeva was added, bringing SaaS to 11 names.</t>
    </r>
  </si>
  <si>
    <r>
      <rPr>
        <sz val="10"/>
        <color rgb="FF000000"/>
        <rFont val="Arial"/>
        <family val="0"/>
        <charset val="1"/>
      </rPr>
      <t xml:space="preserve">  AppLovin added to the dashboard's SaaS group at ~$420, market cap $141B; 32 analysts, average target $656. Fell 24% in H1 2026 per Motley Fool.
</t>
    </r>
    <r>
      <rPr>
        <b val="true"/>
        <sz val="10"/>
        <color rgb="FFC00000"/>
        <rFont val="Arial"/>
        <family val="0"/>
        <charset val="1"/>
      </rPr>
      <t xml:space="preserve">RED FLAG: Do not buy APP before its Aug 5 earnings: it is 44% below its $745.61 high after a 30% short-report drop, a 17% one-day fall, and a 13% mid-July slide. Conviction: High.
</t>
    </r>
    <r>
      <rPr>
        <sz val="10"/>
        <color rgb="FFC00000"/>
        <rFont val="Arial"/>
        <family val="0"/>
        <charset val="1"/>
      </rPr>
      <t xml:space="preserve">- APP's Q2 report (Aug 5) missed, specifically on AI underperformance; CRM -5.03%, NOW -3.60% and ADBE -2.15% after hours, likely sympathy selling (advisor's inference).
</t>
    </r>
    <r>
      <rPr>
        <sz val="10"/>
        <color rgb="FF000000"/>
        <rFont val="Arial"/>
        <family val="0"/>
        <charset val="1"/>
      </rPr>
      <t xml:space="preserve">  If APP's print had been clean and held, the short-seller overhang would be resolved and APP would become genuinely interesting - revisit later.</t>
    </r>
  </si>
  <si>
    <t xml:space="preserve">  CDNS was removed from the book as fully sold Jul 20 (book then $547,844 cost / $625,683 value, +14.2%).
  It then reappeared on the broker statement: 6 shares at $2,007.28 cost (avg $334.55), re-added under SaaS with metrics rebuilt.
  Advisor still needs the buy-back fill details (date, shares, price) before completing the trade log or forming a view on the 6-share position.</t>
  </si>
  <si>
    <t xml:space="preserve">  Housekeeping: fundamentals refresh is event-driven - CDNS's numbers only change when it files, roughly four times a year.</t>
  </si>
  <si>
    <t xml:space="preserve">  CDNS given a $5,000 budget (previously unbudgeted), leaving $2,992.72 of headroom at current cost basis.</t>
  </si>
  <si>
    <t xml:space="preserve">  Housekeeping: SaaS group set to IBM, CRM and ZETA on the dashboard per the allocation notes.</t>
  </si>
  <si>
    <t xml:space="preserve">  A $9.60 book-vs-broker gap traced to a digit slip on CRM's cost; the portal's $1,888.07 (11 shares) confirmed correct and records now tie to the cent.</t>
  </si>
  <si>
    <r>
      <rPr>
        <sz val="10"/>
        <color rgb="FF1E7B34"/>
        <rFont val="Arial"/>
        <family val="0"/>
        <charset val="1"/>
      </rPr>
      <t xml:space="preserve">+ Buy call, Medium-High conviction: ~9x cash flow with 52 analysts seeing +27%; sell-off is AI-replacement fear, not broken numbers - it has beaten every report; $25B buyback.
+ Bought 10 shares at $185.33 on Aug 6, after a post-earnings 5.1% drop and well below the $192.98 dashboard price; now 21 shares at $3,741.35 cost.
</t>
    </r>
    <r>
      <rPr>
        <sz val="10"/>
        <color rgb="FFC00000"/>
        <rFont val="Arial"/>
        <family val="0"/>
        <charset val="1"/>
      </rPr>
      <t xml:space="preserve">- Fell 5.03% in Wednesday extended hours with no news found - advisor's inference is sympathy selling with AppLovin's AI miss; verify the open before committing more.
</t>
    </r>
    <r>
      <rPr>
        <sz val="10"/>
        <color rgb="FF000000"/>
        <rFont val="Arial"/>
        <family val="0"/>
        <charset val="1"/>
      </rPr>
      <t xml:space="preserve">  Given a $5,000 budget with $1,258 headroom left (~6-7 shares); next earnings Aug 26, company-confirmed - no gamble on a print before then.
</t>
    </r>
    <r>
      <rPr>
        <b val="true"/>
        <sz val="10"/>
        <color rgb="FFC00000"/>
        <rFont val="Arial"/>
        <family val="0"/>
        <charset val="1"/>
      </rPr>
      <t xml:space="preserve">RED FLAG: Exit trigger: if the Aug 26 report shows current remaining performance obligations growing under 9%, the AI fear becomes fact - exit rather than average down.</t>
    </r>
  </si>
  <si>
    <t xml:space="preserve">  Datadog was added to the dashboard's SaaS group along with Adobe, ServiceNow, Snowflake and MongoDB.</t>
  </si>
  <si>
    <r>
      <rPr>
        <sz val="10"/>
        <color rgb="FF1E7B34"/>
        <rFont val="Arial"/>
        <family val="0"/>
        <charset val="1"/>
      </rPr>
      <t xml:space="preserve">+ Q2 (Aug 6) beat: revenue $1.12B vs ~$1.08B, EPS $0.65 vs ~$0.58, full-year guidance raised to $4.45-4.47B - yet the stock fell ~22% pre-market to ~$221.
</t>
    </r>
    <r>
      <rPr>
        <sz val="10"/>
        <color rgb="FFC00000"/>
        <rFont val="Arial"/>
        <family val="0"/>
        <charset val="1"/>
      </rPr>
      <t xml:space="preserve">- The fall is about speed, not health: growth is 36% year-on-year but quarter-to-quarter momentum has stalled, and an Aug 3 report says OpenAI's usage fell 10-20%.
- At $221 it still trades at ~21x sales and 88x next year's earnings (down from 27x sales) - cheaper, not cheap; a Jul 14 Bernstein downgrade carried a $226 target.
</t>
    </r>
    <r>
      <rPr>
        <sz val="10"/>
        <color rgb="FF1E7B34"/>
        <rFont val="Arial"/>
        <family val="0"/>
        <charset val="1"/>
      </rPr>
      <t xml:space="preserve">+ Advisor's pick among the week's reporters: buy Datadog, medium conviction, 6-24 month horizon; stand down if a big customer actually left or it slides through $200 on no news.
</t>
    </r>
    <r>
      <rPr>
        <sz val="10"/>
        <color rgb="FF000000"/>
        <rFont val="Arial"/>
        <family val="0"/>
        <charset val="1"/>
      </rPr>
      <t xml:space="preserve">  Dashboard fix: the stored all-time high ($277.49) was impossibly below the 52-week high; both now read the true $292.72 set Aug 5.</t>
    </r>
  </si>
  <si>
    <r>
      <rPr>
        <sz val="10"/>
        <color rgb="FF000000"/>
        <rFont val="Arial"/>
        <family val="0"/>
        <charset val="1"/>
      </rPr>
      <t xml:space="preserve">  MDB added as a watchlist name: 71% gross margin, -1% net margin, Rule of 40 ~42, average target $396 (+30% upside).
</t>
    </r>
    <r>
      <rPr>
        <sz val="10"/>
        <color rgb="FFC00000"/>
        <rFont val="Arial"/>
        <family val="0"/>
        <charset val="1"/>
      </rPr>
      <t xml:space="preserve">- Flag: MDB is MongoDB, database software with no defense connection - placed in Drone &amp; Defense per the note, but SaaS is the right home.</t>
    </r>
  </si>
  <si>
    <t xml:space="preserve">  Misfiling fixed: MDB moved from Drone &amp; Defense into SaaS alongside ADBE, NOW, SNOW and DDOG; board now 104 names.</t>
  </si>
  <si>
    <t xml:space="preserve">  Data fix: NOW's stored $234.08 is the split-adjusted all-time close of Jan 28, 2025 ($1,170.39 / 5 after the Dec 2025 5-for-1 split) - an ATH-vs-52-week mix-up, not staleness.</t>
  </si>
  <si>
    <t xml:space="preserve">- NOW fell 3.6% in thin Wednesday extended hours with CRM and ADBE on no findable news; likely sympathy selling after AppLovin's AI miss - verify prices at the open.</t>
  </si>
  <si>
    <r>
      <rPr>
        <b val="true"/>
        <sz val="10"/>
        <color rgb="FFC00000"/>
        <rFont val="Arial"/>
        <family val="0"/>
        <charset val="1"/>
      </rPr>
      <t xml:space="preserve">RED FLAG: Called the book's highest-risk line: -24% position, -63% off its high, -$23.7B TTM free cash flow from the capex binge; the +99% to the $252 avg target leans on OCI backlog faith.
</t>
    </r>
    <r>
      <rPr>
        <sz val="10"/>
        <color rgb="FFC00000"/>
        <rFont val="Arial"/>
        <family val="0"/>
        <charset val="1"/>
      </rPr>
      <t xml:space="preserve">- The only over-budget position: $15.6K cost vs a $5K allocation, -$10,630 over - the advisor's read is that the allocation itself says right-size it.
</t>
    </r>
    <r>
      <rPr>
        <sz val="10"/>
        <color rgb="FF000000"/>
        <rFont val="Arial"/>
        <family val="0"/>
        <charset val="1"/>
      </rPr>
      <t xml:space="preserve">  Widest cash-conversion gap among profitable names (61 points between FCF and net-income Rule of 40) - the borrow-to-build data-center story in one number.
  Market prices ORCL almost on top of MSFT (~66-68% GM, ~22-23x) despite wildly different FCF profiles - either the opportunity or the warning.
  July's ORCL trim realized -$1,962 (-26.8%), the single worst realized hit in the book; group assignment settled back into Hyperscalers per the notebook.</t>
    </r>
  </si>
  <si>
    <r>
      <rPr>
        <sz val="10"/>
        <color rgb="FF000000"/>
        <rFont val="Arial"/>
        <family val="0"/>
        <charset val="1"/>
      </rPr>
      <t xml:space="preserve">  $39.18 ORCL dividend received; POEMS cash reconciled to the cent.
</t>
    </r>
    <r>
      <rPr>
        <sz val="10"/>
        <color rgb="FFC00000"/>
        <rFont val="Arial"/>
        <family val="0"/>
        <charset val="1"/>
      </rPr>
      <t xml:space="preserve">- Among the book's worst wounds at -27.85% - old damage rather than that week's memory-fear selloff.
</t>
    </r>
    <r>
      <rPr>
        <sz val="10"/>
        <color rgb="FF000000"/>
        <rFont val="Arial"/>
        <family val="0"/>
        <charset val="1"/>
      </rPr>
      <t xml:space="preserve">  Historical flow attribution moved ORCL from Hyperscalers to SaaS across seven months of buys/sells; every month still reconciles exactly.</t>
    </r>
  </si>
  <si>
    <r>
      <rPr>
        <b val="true"/>
        <sz val="10"/>
        <color rgb="FFC00000"/>
        <rFont val="Arial"/>
        <family val="0"/>
        <charset val="1"/>
      </rPr>
      <t xml:space="preserve">RED FLAG: Do-not-add flag despite +74% implied upside at $144.39: credit downgraded to BBB-, debt at 3x equity, and the position already 66% over budget.
</t>
    </r>
    <r>
      <rPr>
        <sz val="10"/>
        <color rgb="FFC00000"/>
        <rFont val="Arial"/>
        <family val="0"/>
        <charset val="1"/>
      </rPr>
      <t xml:space="preserve">- Now the worst dollar performer (-$1,042, -12.5%); the budget raise from $5K to $10K only regularises the overrun - treat the $1,686 headroom as a hard ceiling.
</t>
    </r>
    <r>
      <rPr>
        <sz val="10"/>
        <color rgb="FF000000"/>
        <rFont val="Arial"/>
        <family val="0"/>
        <charset val="1"/>
      </rPr>
      <t xml:space="preserve">  At ~$144.50 it sits 58% below its yearly high - arguably the deepest bargain on the list, but adding means consciously raising the ceiling, a separate conversation.</t>
    </r>
  </si>
  <si>
    <t xml:space="preserve">  SNOW added to the SaaS group per instruction; data fix - the stored $401.89 is the Nov 16, 2021 all-time close, an ATH-vs-52-week mix-up, not staleness.</t>
  </si>
  <si>
    <t xml:space="preserve">- Avoid: at $316.84 the analyst targets sit 6% below the price at 81x - analysts already think it's too expensive.</t>
  </si>
  <si>
    <r>
      <rPr>
        <sz val="10"/>
        <color rgb="FF000000"/>
        <rFont val="Arial"/>
        <family val="0"/>
        <charset val="1"/>
      </rPr>
      <t xml:space="preserve">  TEAM (Atlassian - maker of Jira, Confluence and Trello, the software teams use to plan and track work) added to SaaS at the Aug 6 close $110.17. Watchlist only, no position.
</t>
    </r>
    <r>
      <rPr>
        <sz val="10"/>
        <color rgb="FF1E7B34"/>
        <rFont val="Arial"/>
        <family val="0"/>
        <charset val="1"/>
      </rPr>
      <t xml:space="preserve">+ Reported a strong quarter after the Aug 6 close and the stock JUMPED ~35% after hours to ~$150: revenue $1.77B (+28%), cloud +31%, earnings $1.87 vs $1.50 expected.
+ Full year: revenue $6.57B (+26%), $1.3B of real cash generated (20% margin). A healthy 'Rule of 40' score of 46. 32 analysts rate it Buy, average target ~$140.
</t>
    </r>
    <r>
      <rPr>
        <sz val="10"/>
        <color rgb="FFC00000"/>
        <rFont val="Arial"/>
        <family val="0"/>
        <charset val="1"/>
      </rPr>
      <t xml:space="preserve">- Next-year growth guided to slow sharply to ~13% (from 26%), and its older Data Center product is shrinking ~17% - the market cheered anyway, but the deceleration is real.
- On paper it still runs a tiny accounting loss (GAAP -$0.21/share), so there's no normal P/E - you value it on cash flow (~21x). 52-week range has been wild: $56 to $190.
</t>
    </r>
    <r>
      <rPr>
        <sz val="10"/>
        <color rgb="FF000000"/>
        <rFont val="Arial"/>
        <family val="0"/>
        <charset val="1"/>
      </rPr>
      <t xml:space="preserve">  The $110.17 stored is the pre-earnings close and looks stale - tonight's refresh will move it up toward the post-earnings level near $150.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</si>
  <si>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t xml:space="preserve">  VEEV (Veeva Systems) added to the SaaS group at the Aug 5 close of $213.51; SaaS now shows 11 names.
  Data caveat: sources give VEEV's return on capital as 176% or 31%; the conservative 31.44% was stored - the 176% is an artifact of Veeva's tiny capital base.</t>
  </si>
  <si>
    <r>
      <rPr>
        <sz val="10"/>
        <color rgb="FF000000"/>
        <rFont val="Arial"/>
        <family val="0"/>
        <charset val="1"/>
      </rPr>
      <t xml:space="preserve">  ZETA was briefly flagged 'To Be Sold', then resolved into the SaaS group with IBM, CRM and ORCL; only IREN and NBIS remain marked for sale.
</t>
    </r>
    <r>
      <rPr>
        <sz val="10"/>
        <color rgb="FFC00000"/>
        <rFont val="Arial"/>
        <family val="0"/>
        <charset val="1"/>
      </rPr>
      <t xml:space="preserve">- ZETA trades below the lowest Street target (a chronic resident) and was unbudgeted (~$5.6K combined with IBM/CRM) - implicitly an exit candidate to confirm.</t>
    </r>
  </si>
  <si>
    <t xml:space="preserve">- Hold, don't add: dad's $40 limit is stale (ATH only $25.95). ZETA bounced +8.42% on the CEO's 'AI infrastructure' repositioning and a 7-year Palantir deal - don't chase.</t>
  </si>
  <si>
    <r>
      <rPr>
        <sz val="10"/>
        <color rgb="FF1E7B34"/>
        <rFont val="Arial"/>
        <family val="0"/>
        <charset val="1"/>
      </rPr>
      <t xml:space="preserve">+ You already own 111 ZETA shares at $18.06 cost, now roughly +50% after an 11.6% jump on Q2 results - enjoy it, don't chase it.
</t>
    </r>
    <r>
      <rPr>
        <sz val="10"/>
        <color rgb="FF000000"/>
        <rFont val="Arial"/>
        <family val="0"/>
        <charset val="1"/>
      </rPr>
      <t xml:space="preserve">  Headlines saying 'Zeta missed on EPS' are wrong: vendors compared an adjusted estimate to the GAAP actual; Zeta never published an adjusted number. Ignore them.
  Data bug found: ZETA's stored all-time high of $25.95 sat below its $27.07 price and $28.50 52-week high - mathematically impossible, same bug as DDOG.
  ZETA granted a $5,000 budget (previously unbudgeted), leaving $2,995.67 of headroom at current cost.</t>
    </r>
  </si>
  <si>
    <r>
      <rPr>
        <sz val="10"/>
        <color rgb="FF1E7B34"/>
        <rFont val="Arial"/>
        <family val="0"/>
        <charset val="1"/>
      </rPr>
      <t xml:space="preserve">+ KO added to the Consumer/F&amp;B watchlist at $81.17, +16% YTD: a Dividend King (63 straight years of raises) yielding ~2.6%, Buy consensus to $88.30 (+9%).
+ Best-in-class quality: 62% gross margin, 27.8% net margin, 43% ROE.
</t>
    </r>
    <r>
      <rPr>
        <sz val="10"/>
        <color rgb="FFC00000"/>
        <rFont val="Arial"/>
        <family val="0"/>
        <charset val="1"/>
      </rPr>
      <t xml:space="preserve">- It fails the value screens - EV/EBITDA 24.5 and P/FCF 27.8, both well above the 10x line, with D/E of 1.25; a quality-compounder, not a value entry.</t>
    </r>
  </si>
  <si>
    <r>
      <rPr>
        <b val="true"/>
        <sz val="10"/>
        <color rgb="FFC00000"/>
        <rFont val="Arial"/>
        <family val="0"/>
        <charset val="1"/>
      </rPr>
      <t xml:space="preserve">RED FLAG: An automated refresh printed KO +8.7% in a day - a headline-level move that never happened; same failure signature as a prior bad MSFT print. Price blocked as unverified.
</t>
    </r>
    <r>
      <rPr>
        <sz val="10"/>
        <color rgb="FF000000"/>
        <rFont val="Arial"/>
        <family val="0"/>
        <charset val="1"/>
      </rPr>
      <t xml:space="preserve">  Two scheduled jobs kept overwriting each other's dashboard pushes; the board was reset to the correct 107-ticker build (KO is watchlist-only, no position affected).
</t>
    </r>
    <r>
      <rPr>
        <sz val="10"/>
        <color rgb="FFC00000"/>
        <rFont val="Arial"/>
        <family val="0"/>
        <charset val="1"/>
      </rPr>
      <t xml:space="preserve">- KO (with EOSE, TEM, V) now sits outside its own 52-week band from the suspect data; left unmerged rather than bake a bad price into the range.</t>
    </r>
  </si>
  <si>
    <t xml:space="preserve">  MCD sits on the Consumer/F&amp;B watchlist (board now 47 held + 6 watching); KO was added beside SBUX and MCD.
  MCD's blank debt/equity reflects the asset-light franchise model (negative book equity from buybacks), not distress - judge such names on ROIC and free cash flow.</t>
  </si>
  <si>
    <r>
      <rPr>
        <sz val="10"/>
        <color rgb="FF000000"/>
        <rFont val="Arial"/>
        <family val="0"/>
        <charset val="1"/>
      </rPr>
      <t xml:space="preserve">  SBUX was added to a new Consumer/F&amp;B watchlist group, removed the same week to keep the AI thesis pure, then re-added as the watchlist grew to 8 names.
</t>
    </r>
    <r>
      <rPr>
        <sz val="10"/>
        <color rgb="FFC00000"/>
        <rFont val="Arial"/>
        <family val="0"/>
        <charset val="1"/>
      </rPr>
      <t xml:space="preserve">- The numbers argue patience: $104.81, 80x trailing falling to 38x forward, ~1% revenue growth, 3.9% net margin, and a $106 target — just +1.4%, lowest conviction on the board.
</t>
    </r>
    <r>
      <rPr>
        <sz val="10"/>
        <color rgb="FF1E7B34"/>
        <rFont val="Arial"/>
        <family val="0"/>
        <charset val="1"/>
      </rPr>
      <t xml:space="preserve">+ Operator's intuition from running food service is a real edge on SBUX — but the entry test is to wait for a price where your view and the Street's diverge in your favor.</t>
    </r>
  </si>
  <si>
    <t xml:space="preserve">  Yum! Brands (KFC/Pizza Hut/Taco Bell) added as a watchlist name in Consumer/F&amp;B beside Coca-Cola; down slightly year-to-date vs its ~$155.52 January reference.
  ROE and debt/equity read n/a on purpose: book equity is negative (-$7.3B) from the buyback-heavy franchise model, not distress - judge it on its excellent 37.8% ROIC and cash flow.</t>
  </si>
  <si>
    <t xml:space="preserve">  Housekeeping: YUM's earnings-related fundamentals refresh survived a data reset, but its price was held at the Jul 30 close because the Jul 31 print could not be verified.</t>
  </si>
  <si>
    <t xml:space="preserve">  YUM's price is deliberately held at the Aug 3 close - no free source served a verifiable newer close; it is watchlist-only, so no held money is affected.</t>
  </si>
  <si>
    <r>
      <rPr>
        <sz val="10"/>
        <color rgb="FF000000"/>
        <rFont val="Arial"/>
        <family val="0"/>
        <charset val="1"/>
      </rPr>
      <t xml:space="preserve">  CRSP (CRISPR Therapeutics) added to Healthcare at the Aug 6 close $51.64. A gene-editing biotech - makes Casgevy, the first approved CRISPR medicine (sickle-cell), with partner Vertex. Watchlist only.
</t>
    </r>
    <r>
      <rPr>
        <sz val="10"/>
        <color rgb="FFC00000"/>
        <rFont val="Arial"/>
        <family val="0"/>
        <charset val="1"/>
      </rPr>
      <t xml:space="preserve">- Not yet a real business on paper: tiny revenue, a $451M annual loss, no P/E - normal for clinical biotech. You're buying the science and the pipeline, not current profits.
</t>
    </r>
    <r>
      <rPr>
        <sz val="10"/>
        <color rgb="FF1E7B34"/>
        <rFont val="Arial"/>
        <family val="0"/>
        <charset val="1"/>
      </rPr>
      <t xml:space="preserve">+ The safety net is the balance sheet: $2.36B of cash (rising), very little debt - years of runway to fund research without raising money in a panic. Q2 (Aug 3) beat and the stock popped 7%.
+ Broad early pipeline beyond Casgevy - cholesterol/blood-pressure gene edits, CAR-T cancer, type-1 diabetes; 22 analysts average ~$87 (one outlier at $291).
</t>
    </r>
    <r>
      <rPr>
        <b val="true"/>
        <sz val="10"/>
        <color rgb="FFC00000"/>
        <rFont val="Arial"/>
        <family val="0"/>
        <charset val="1"/>
      </rPr>
      <t xml:space="preserve">RED FLAG: High-risk profile: 20% of shares sold short, huge cash burn, and its price-to-sales of 373x is an artifact of near-zero revenue - ignore that ratio, it will distort the chart. Binary on trial results.
</t>
    </r>
    <r>
      <rPr>
        <sz val="10"/>
        <color rgb="FF000000"/>
        <rFont val="Arial"/>
        <family val="0"/>
        <charset val="1"/>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</si>
  <si>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r>
      <rPr>
        <sz val="10"/>
        <color rgb="FF000000"/>
        <rFont val="Arial"/>
        <family val="0"/>
        <charset val="1"/>
      </rPr>
      <t xml:space="preserve">  Ticker resolved: 'HGE' doesn't exist - the name is Hinge Health (NYSE: HNGE), digital physical therapy; Dad corrected his own note; filed under Healthcare at $79.42.
</t>
    </r>
    <r>
      <rPr>
        <sz val="10"/>
        <color rgb="FF1E7B34"/>
        <rFont val="Arial"/>
        <family val="0"/>
        <charset val="1"/>
      </rPr>
      <t xml:space="preserve">+ Aug 4 earnings beat badly: revenue up 53%, EPS $0.59 vs $0.13 expected, and full-year forecast raised.
</t>
    </r>
    <r>
      <rPr>
        <sz val="10"/>
        <color rgb="FFC00000"/>
        <rFont val="Arial"/>
        <family val="0"/>
        <charset val="1"/>
      </rPr>
      <t xml:space="preserve">- Stock rose only 2.3% on the beat then slipped 1.9% after hours - usually a sign the good news was already in the price.
</t>
    </r>
    <r>
      <rPr>
        <sz val="10"/>
        <color rgb="FF000000"/>
        <rFont val="Arial"/>
        <family val="0"/>
        <charset val="1"/>
      </rPr>
      <t xml:space="preserve">  New name still needing full fundamentals research (roughly a couple of hours to do properly); $79.42 close corroborated by a second source.</t>
    </r>
  </si>
  <si>
    <r>
      <rPr>
        <sz val="10"/>
        <color rgb="FF000000"/>
        <rFont val="Arial"/>
        <family val="0"/>
        <charset val="1"/>
      </rPr>
      <t xml:space="preserve">  JNJ was placed in Healthcare, not Consumer or Robotic: the consumer business left with the 2023 Kenvue spin-off, and its surgical robots are a minor slice competing with ISRG.
</t>
    </r>
    <r>
      <rPr>
        <sz val="10"/>
        <color rgb="FF1E7B34"/>
        <rFont val="Arial"/>
        <family val="0"/>
        <charset val="1"/>
      </rPr>
      <t xml:space="preserve">+ The read: $259, +25% YTD, a Dividend King with 64 straight years of raises, ~2% yield, 30x trailing / 21x forward — defensive ballast, +4% to the $271 average target.
</t>
    </r>
    <r>
      <rPr>
        <sz val="10"/>
        <color rgb="FF000000"/>
        <rFont val="Arial"/>
        <family val="0"/>
        <charset val="1"/>
      </rPr>
      <t xml:space="preserve">  Dad's handwritten JNJ price was read as ~$240 but the writing is ambiguous — confirmation requested since it changes the ranking math.</t>
    </r>
  </si>
  <si>
    <t xml:space="preserve">  Tempus AI added to the Healthcare watchlist beside JNJ and UNH, no position; down hard YTD from ~$66 to ~$43.</t>
  </si>
  <si>
    <r>
      <rPr>
        <sz val="10"/>
        <color rgb="FFC00000"/>
        <rFont val="Arial"/>
        <family val="0"/>
        <charset val="1"/>
      </rPr>
      <t xml:space="preserve">- Price flagged suspect: sitting outside its own 52-week band from an unmerged refresh; left un-updated rather than bake a bad price into the range.
</t>
    </r>
    <r>
      <rPr>
        <sz val="10"/>
        <color rgb="FF000000"/>
        <rFont val="Arial"/>
        <family val="0"/>
        <charset val="1"/>
      </rPr>
      <t xml:space="preserve">  Earnings-related fundamentals refresh on TEM preserved during the data cleanup.</t>
    </r>
  </si>
  <si>
    <r>
      <rPr>
        <sz val="10"/>
        <color rgb="FF000000"/>
        <rFont val="Arial"/>
        <family val="0"/>
        <charset val="1"/>
      </rPr>
      <t xml:space="preserve">  TMDX (TransMedics) added to Healthcare at the Aug 6 close $80.21. Makes an 'organ-in-a-box' that keeps donor hearts, lungs and livers alive during transport, plus its own flight network. Watchlist only.
</t>
    </r>
    <r>
      <rPr>
        <sz val="10"/>
        <color rgb="FF1E7B34"/>
        <rFont val="Arial"/>
        <family val="0"/>
        <charset val="1"/>
      </rPr>
      <t xml:space="preserve">+ Unusual for a recent add: it's genuinely PROFITABLE - $668M revenue, 23% net margin, real earnings ($4.01/sh), 36% return on equity and positive cash flow. A real business, not a story stock.
+ Q2 (Aug 4) revenue grew 21%; full-year guidance nudged up to ~22-25% growth.
</t>
    </r>
    <r>
      <rPr>
        <sz val="10"/>
        <color rgb="FFC00000"/>
        <rFont val="Arial"/>
        <family val="0"/>
        <charset val="1"/>
      </rPr>
      <t xml:space="preserve">- But profit per share fell vs a year ago on heavy growth spending, and 23% of the shares are sold short - one of the most-bet-against names we track. Debt is meaningful too.
- Analysts are split and just cut targets: one camp rates it Buy (~$99 avg), another Hold (~$124 avg); UBS, Piper and Needham all trimmed Aug 3-5. Stock has fallen from a $156 high to $80.
</t>
    </r>
    <r>
      <rPr>
        <sz val="10"/>
        <color rgb="FF000000"/>
        <rFont val="Arial"/>
        <family val="0"/>
        <charset val="1"/>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</si>
  <si>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r>
      <rPr>
        <sz val="10"/>
        <color rgb="FF000000"/>
        <rFont val="Arial"/>
        <family val="0"/>
        <charset val="1"/>
      </rPr>
      <t xml:space="preserve">  UNH added to a new Healthcare watchlist group (later joined by JNJ, ISRG and TEM); the board reached 47 held plus 6 watching.
</t>
    </r>
    <r>
      <rPr>
        <sz val="10"/>
        <color rgb="FF1E7B34"/>
        <rFont val="Arial"/>
        <family val="0"/>
        <charset val="1"/>
      </rPr>
      <t xml:space="preserve">+ At $426: P/E 27 falling to 20x forward, 0.85x sales - the cheapest revenue on the board ($450B); +29% YTD after nearly halving to $234 and recovering +82%.
</t>
    </r>
    <r>
      <rPr>
        <sz val="10"/>
        <color rgb="FF000000"/>
        <rFont val="Arial"/>
        <family val="0"/>
        <charset val="1"/>
      </rPr>
      <t xml:space="preserve">  Street average $471 (+10.7%, 27 analysts, Buy). A classic fallen-blue-chip recovery and a genuine diversifier - the easy rebound money is made; the grind back remains.</t>
    </r>
  </si>
  <si>
    <r>
      <rPr>
        <sz val="10"/>
        <color rgb="FF000000"/>
        <rFont val="Arial"/>
        <family val="0"/>
        <charset val="1"/>
      </rPr>
      <t xml:space="preserve">  Applied Digital added to the Neocloud watch group at $27.19, -42% off its high, with signed hyperscaler leases and a heavy capex build; no position.
</t>
    </r>
    <r>
      <rPr>
        <sz val="10"/>
        <color rgb="FFC00000"/>
        <rFont val="Arial"/>
        <family val="0"/>
        <charset val="1"/>
      </rPr>
      <t xml:space="preserve">- Pre-profit infrastructure bet: loss-making with blank P/E, EV/EBITDA and P/FCF, large negative FCF from datacenter capex; Rule-of-40 nulled as meaningless.
</t>
    </r>
    <r>
      <rPr>
        <sz val="10"/>
        <color rgb="FF000000"/>
        <rFont val="Arial"/>
        <family val="0"/>
        <charset val="1"/>
      </rPr>
      <t xml:space="preserve">  Balance-sheet safety ranking in the trio: HUT &gt; APLD &gt; CIFR (CIFR's 6.4x debt/equity is the highest leverage in the 92-name book).
</t>
    </r>
    <r>
      <rPr>
        <sz val="10"/>
        <color rgb="FFC00000"/>
        <rFont val="Arial"/>
        <family val="0"/>
        <charset val="1"/>
      </rPr>
      <t xml:space="preserve">- Treat like the IREN/NBIS/CRWV bets: a high-torque call option on AI power, sized to lose.</t>
    </r>
  </si>
  <si>
    <t xml:space="preserve">  No APLD-specific news; only scheduling housekeeping (earnings job moved to 03:00 UTC to clear a pile-up).</t>
  </si>
  <si>
    <t xml:space="preserve">  No APLD-specific commentary this week; notes covered dashboard housekeeping and other names.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</si>
  <si>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sz val="10"/>
        <color rgb="FF000000"/>
        <rFont val="Arial"/>
        <family val="0"/>
        <charset val="1"/>
      </rPr>
      <t xml:space="preserve">  CIFR (Cipher Mining) added to the Neocloud group at $23.15, near its high, with +38% growth shown.
</t>
    </r>
    <r>
      <rPr>
        <sz val="10"/>
        <color rgb="FFC00000"/>
        <rFont val="Arial"/>
        <family val="0"/>
        <charset val="1"/>
      </rPr>
      <t xml:space="preserve">- Warning: 6.4x debt/equity is the highest leverage in the entire 92-name book - the name most exposed if AI-hosting demand or crypto prices wobble.
- It is a pre-profit infrastructure bet: money-losing, large negative free cash flow from datacenter capex, blank P/E and EV/EBITDA, Rule-of-40 nulled as meaningless.
</t>
    </r>
    <r>
      <rPr>
        <sz val="10"/>
        <color rgb="FF000000"/>
        <rFont val="Arial"/>
        <family val="0"/>
        <charset val="1"/>
      </rPr>
      <t xml:space="preserve">  On balance-sheet safety the advisor ranks the new trio HUT &gt; APLD &gt; CIFR - start sizing from that order.</t>
    </r>
  </si>
  <si>
    <t xml:space="preserve">  CORZ was moved into Neocloud Watch beside IREN, CIFR and HUT - the bitcoin-miner-to-AI-compute group now reads consistently.</t>
  </si>
  <si>
    <r>
      <rPr>
        <sz val="10"/>
        <color rgb="FF000000"/>
        <rFont val="Arial"/>
        <family val="0"/>
        <charset val="1"/>
      </rPr>
      <t xml:space="preserve">  Context notes only: two-thirds of Microsoft's EPS beat (~33c of 50c) was a one-time $3.2B mark on its Anthropic stake; core beat nearer 17 cents.
</t>
    </r>
    <r>
      <rPr>
        <sz val="10"/>
        <color rgb="FFC00000"/>
        <rFont val="Arial"/>
        <family val="0"/>
        <charset val="1"/>
      </rPr>
      <t xml:space="preserve">- Pricing caveat: the semi-cap and infrastructure core of the book (about 40% of capital) cannot be auto-priced and depends on manual POEMS screenshots.</t>
    </r>
  </si>
  <si>
    <r>
      <rPr>
        <sz val="10"/>
        <color rgb="FF000000"/>
        <rFont val="Arial"/>
        <family val="0"/>
        <charset val="1"/>
      </rPr>
      <t xml:space="preserve">  CORZ added to the dashboard at $21.77 (+53%), watchlist only; moved from Fintech/Digital Platform to Neocloud Watch - a bitcoin miner turned AI-datacenter landlord.
</t>
    </r>
    <r>
      <rPr>
        <b val="true"/>
        <sz val="10"/>
        <color rgb="FFC00000"/>
        <rFont val="Arial"/>
        <family val="0"/>
        <charset val="1"/>
      </rPr>
      <t xml:space="preserve">RED FLAG: Red flags: negative shareholder equity of -$2.42B and a $1.16B quarterly loss; ROE, debt/equity and EV/EBITDA are blanked as mathematically meaningless.
</t>
    </r>
    <r>
      <rPr>
        <sz val="10"/>
        <color rgb="FFC00000"/>
        <rFont val="Arial"/>
        <family val="0"/>
        <charset val="1"/>
      </rPr>
      <t xml:space="preserve">- AMD holds warrants for 30M shares at $23.47 that dilute holders the moment the stock works; the planned CoreWeave merger was called off.
- Revenue growth is reported three irreconcilable ways (+26%, -42%, -14%) and was left blank rather than print a misleading number.
</t>
    </r>
    <r>
      <rPr>
        <sz val="10"/>
        <color rgb="FF000000"/>
        <rFont val="Arial"/>
        <family val="0"/>
        <charset val="1"/>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</si>
  <si>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000000"/>
        <rFont val="Arial"/>
        <family val="0"/>
        <charset val="1"/>
      </rPr>
      <t xml:space="preserve">  CoreWeave joined the board as a watchlist name (the old position is closed, zero shares) at $79.58, 57% below its $183.98 high.
</t>
    </r>
    <r>
      <rPr>
        <sz val="10"/>
        <color rgb="FFC00000"/>
        <rFont val="Arial"/>
        <family val="0"/>
        <charset val="1"/>
      </rPr>
      <t xml:space="preserve">- 36 analyst targets span $36 to $303 - the widest dispersion on the whole board; 69% gross margin but -26% net margin and free cash flow of -$10.6B on $16.6B of capex.
</t>
    </r>
    <r>
      <rPr>
        <sz val="10"/>
        <color rgb="FF000000"/>
        <rFont val="Arial"/>
        <family val="0"/>
        <charset val="1"/>
      </rPr>
      <t xml:space="preserve">  Applied Digital, Cipher Mining and Hut 8 joined it in the Neocloud group (6 names) - all the same pre-profit, cash-burning infrastructure bet.</t>
    </r>
  </si>
  <si>
    <t xml:space="preserve">  Data note: the free price feed's access list shrank between Jul 28 and 30, and CoreWeave is among the tickers whose refresh is now denied.</t>
  </si>
  <si>
    <t xml:space="preserve">  Core Scientific was moved in beside CoreWeave's neocloud peers; its planned merger with CoreWeave was called off, so it stands on its own again.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</si>
  <si>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sz val="10"/>
        <color rgb="FF000000"/>
        <rFont val="Arial"/>
        <family val="0"/>
        <charset val="1"/>
      </rPr>
      <t xml:space="preserve">  DELL added with HPE and SMCI to Memory &amp; Storage; flagged as a category stretch - they are AI-server makers, not memory/storage chip companies.
</t>
    </r>
    <r>
      <rPr>
        <sz val="10"/>
        <color rgb="FF1E7B34"/>
        <rFont val="Arial"/>
        <family val="0"/>
        <charset val="1"/>
      </rPr>
      <t xml:space="preserve">+ Of the three, DELL is the quality name - real free cash flow, scale, backlog - at a fair 0.91 PEG; the one to anchor on (SMCI the one to size smallest).
+ Its +263% YTD move (~$121 to $438) was cross-checked against two sources and ties out internally - eye-popping but real.</t>
    </r>
  </si>
  <si>
    <t xml:space="preserve">  Dad's note says DELL/HPE/SMCI are 'not in Neo clouds' but not where they should go; they stay in Memory &amp; Storage until he clarifies.
  Data caveat: the stored board price (DELL $369.64) matched the Jul 29 history row exactly - evidence the board was carrying stale prices.</t>
  </si>
  <si>
    <t xml:space="preserve">  Regrouping settled: DELL, HPE and SMCI moved into Neocloud Watch (joined by NOK); the group now holds 11 names, all priced at the Jul 31 close.</t>
  </si>
  <si>
    <r>
      <rPr>
        <sz val="10"/>
        <color rgb="FF000000"/>
        <rFont val="Arial"/>
        <family val="0"/>
        <charset val="1"/>
      </rPr>
      <t xml:space="preserve">  HPE added to the dashboard in Memory &amp; Storage with DELL and SMCI, flagged as a category stretch - they are AI-server OEMs, not memory/storage chipmakers.
</t>
    </r>
    <r>
      <rPr>
        <sz val="10"/>
        <color rgb="FF1E7B34"/>
        <rFont val="Arial"/>
        <family val="0"/>
        <charset val="1"/>
      </rPr>
      <t xml:space="preserve">+ HPE at $47.69 is the cheapest of the trio: 12.4x forward, 0.42 PEG, +23% growth, 34% gross margin - the deep-value play if the Juniper integration delivers.
</t>
    </r>
    <r>
      <rPr>
        <sz val="10"/>
        <color rgb="FF000000"/>
        <rFont val="Arial"/>
        <family val="0"/>
        <charset val="1"/>
      </rPr>
      <t xml:space="preserve">  Ranking of the trio: DELL is the quality anchor, HPE the deep-value play, SMCI the smallest-sized lottery ticket given its governance baggage.</t>
    </r>
  </si>
  <si>
    <t xml:space="preserve">  HPE left in Memory &amp; Storage per the 'not in Neo clouds' note; the Jul 31 refresh held HPE at its Jul 30 close because a fresh print could not be verified.</t>
  </si>
  <si>
    <t xml:space="preserve">  HPE moved with DELL and SMCI into Neocloud Watch per the handwritten note; all names verified at the Jul 31 close.</t>
  </si>
  <si>
    <r>
      <rPr>
        <sz val="10"/>
        <color rgb="FF000000"/>
        <rFont val="Arial"/>
        <family val="0"/>
        <charset val="1"/>
      </rPr>
      <t xml:space="preserve">  HUT (Hut 8) joined the Neocloud group with APLD and CIFR, alongside IREN, NBIS and CRWV — six names total.
</t>
    </r>
    <r>
      <rPr>
        <sz val="10"/>
        <color rgb="FFC00000"/>
        <rFont val="Arial"/>
        <family val="0"/>
        <charset val="1"/>
      </rPr>
      <t xml:space="preserve">- All three new miners lose money with large negative free cash flow from datacenter capex — pre-profit bets with no earnings floor, to be sized to lose.
</t>
    </r>
    <r>
      <rPr>
        <sz val="10"/>
        <color rgb="FF1E7B34"/>
        <rFont val="Arial"/>
        <family val="0"/>
        <charset val="1"/>
      </rPr>
      <t xml:space="preserve">+ HUT ranks safest of the trio: lowest leverage, fastest growth, and the only computable Rule of 40 (71.5); CIFR is riskiest at 6.4x debt/equity, the book's highest.</t>
    </r>
  </si>
  <si>
    <t xml:space="preserve">  CORZ (Core Scientific) was moved into Neocloud Watch beside IREN, CIFR and HUT — the same miner-to-AI-computing story; its CoreWeave merger was called off.</t>
  </si>
  <si>
    <r>
      <rPr>
        <sz val="10"/>
        <color rgb="FFC00000"/>
        <rFont val="Arial"/>
        <family val="0"/>
        <charset val="1"/>
      </rPr>
      <t xml:space="preserve">- IREN flagged 'To Be Sold' with a red SELL badge; at the time -13% unrealized (vs NBIS +24%), so the order of exits matters for tax.
</t>
    </r>
    <r>
      <rPr>
        <sz val="10"/>
        <color rgb="FF000000"/>
        <rFont val="Arial"/>
        <family val="0"/>
        <charset val="1"/>
      </rPr>
      <t xml:space="preserve">  Exit plan set: GTC sells of 45 sh at $40 and 45 sh at $44; floor at $35.50 (cancel limits and sell at market if breached); time stop Fri Jul 24.
</t>
    </r>
    <r>
      <rPr>
        <sz val="10"/>
        <color rgb="FF1E7B34"/>
        <rFont val="Arial"/>
        <family val="0"/>
        <charset val="1"/>
      </rPr>
      <t xml:space="preserve">+ The stock ripped +19.6% in one session, flipping the position from -13% to +4% unrealized - exactly the strength to sell into.
</t>
    </r>
    <r>
      <rPr>
        <sz val="10"/>
        <color rgb="FF000000"/>
        <rFont val="Arial"/>
        <family val="0"/>
        <charset val="1"/>
      </rPr>
      <t xml:space="preserve">  Tranche 1 filled at ~$40.76 for a realized +$99; 45 shares ($1,735.17 cost) remained pending tranche 2.
  Plan reversed mid-week: IREN moved to Neocloud Watch 'in case of a turnaround'; the $45 tranche-2 limit (needing +9% from the $41.28 close) was withdrawn Jul 25, shares kept.</t>
    </r>
  </si>
  <si>
    <t xml:space="preserve">- IREN fell 9.1% on Jul 28 in a broad memory/semi de-rating that hit the whole supply chain (VRT -13.8%, KLAC -7.6%, MU -4.9%).
- Data warning: IREN later showed +30.5% versus its stored price - stale-price catch-up, not a one-day move; the daily job could refresh only 23 of 107 tickers on plan limits.
- IREN is among the names that cannot be auto-priced at all - marks on ~$242,873 of the book's semi/infrastructure core depend on manual broker screenshots.</t>
  </si>
  <si>
    <r>
      <rPr>
        <sz val="10"/>
        <color rgb="FF1E7B34"/>
        <rFont val="Arial"/>
        <family val="0"/>
        <charset val="1"/>
      </rPr>
      <t xml:space="preserve">+ IREN gained 8.0% on Monday's broad up day, one of ten holdings up more than 6%.
</t>
    </r>
    <r>
      <rPr>
        <sz val="10"/>
        <color rgb="FF000000"/>
        <rFont val="Arial"/>
        <family val="0"/>
        <charset val="1"/>
      </rPr>
      <t xml:space="preserve">  Neocloud Watch consolidated to 11 names including IREN, now joined by CORZ, DELL, HPE, SMCI and NOK.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</si>
  <si>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000000"/>
        <rFont val="Arial"/>
        <family val="0"/>
        <charset val="1"/>
      </rPr>
      <t xml:space="preserve">  KEEL (Keel Infrastructure) added to Neocloud Watch at the Aug 7 close $3.88. A former crypto-miner that pivoted to running AI/data-centre computing. Watchlist only.
</t>
    </r>
    <r>
      <rPr>
        <b val="true"/>
        <sz val="10"/>
        <color rgb="FFC00000"/>
        <rFont val="Arial"/>
        <family val="0"/>
        <charset val="1"/>
      </rPr>
      <t xml:space="preserve">RED FLAG: Very high risk: deeply unprofitable (loses more than its revenue), negative gross margin, burning $400M+ cash, huge share count, beta 4.1, ~17% shorted. Next-year revenue is even expected to fall ~46% during the pivot.
</t>
    </r>
    <r>
      <rPr>
        <sz val="10"/>
        <color rgb="FF1E7B34"/>
        <rFont val="Arial"/>
        <family val="0"/>
        <charset val="1"/>
      </rPr>
      <t xml:space="preserve">+ The bull case is a re-rating if it lands a big hyperscaler lease; 11 analysts rate it Strong Buy, avg target $6.55. Next earnings Aug 10. Pure speculation on execution.</t>
    </r>
  </si>
  <si>
    <r>
      <rPr>
        <sz val="10"/>
        <color rgb="FF000000"/>
        <rFont val="Arial"/>
        <family val="0"/>
        <charset val="1"/>
      </rPr>
      <t xml:space="preserve">  NBIS flagged 'To Be Sold' at +24% unrealized; with 575% revenue growth priced at 52x sales, the froth was judged worth feeding even with the Street's avg target 37% above price.
  Exit plan: GTC sells of 13 sh at $183 and 14 sh at $198; floor at $164 (sell at market if breached); time stop Fri Jul 31.
</t>
    </r>
    <r>
      <rPr>
        <sz val="10"/>
        <color rgb="FF1E7B34"/>
        <rFont val="Arial"/>
        <family val="0"/>
        <charset val="1"/>
      </rPr>
      <t xml:space="preserve">+ Fully exited Jul 21 at ~$194.85 average for a realized +$1,405 (+51.9% gain) - sold into strength; exact split 13 sh +$640.88 and 14 sh +$763.64.
</t>
    </r>
    <r>
      <rPr>
        <sz val="10"/>
        <color rgb="FF000000"/>
        <rFont val="Arial"/>
        <family val="0"/>
        <charset val="1"/>
      </rPr>
      <t xml:space="preserve">  NBIS stays on the board as a pure watchlist row: $216.92, average target $244, still 28% off its high.</t>
    </r>
  </si>
  <si>
    <t xml:space="preserve">  Data caveat: NBIS was among names the data feed refreshed on Jul 28 but denied by Jul 30 - the free plan's coverage list shrank underneath the refresh job.</t>
  </si>
  <si>
    <t xml:space="preserve">  Weekly audit re-based market caps to verified share counts; NBIS was one of the largest fixes, revised -18%.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</si>
  <si>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b val="true"/>
        <sz val="10"/>
        <color rgb="FFC00000"/>
        <rFont val="Arial"/>
        <family val="0"/>
        <charset val="1"/>
      </rPr>
      <t xml:space="preserve">RED FLAG: 52-week range of $4.00-$17.45 verified across three sources: the stock ran to ~$17 mid-year and has roughly halved to $9.14 - understand that violence before sizing anything.
</t>
    </r>
    <r>
      <rPr>
        <sz val="10"/>
        <color rgb="FF000000"/>
        <rFont val="Arial"/>
        <family val="0"/>
        <charset val="1"/>
      </rPr>
      <t xml:space="preserve">  Added to the Neocloud Watch group; YTD column blank because the free price source only serves ~10 weeks of history.</t>
    </r>
  </si>
  <si>
    <r>
      <rPr>
        <sz val="10"/>
        <color rgb="FF000000"/>
        <rFont val="Arial"/>
        <family val="0"/>
        <charset val="1"/>
      </rPr>
      <t xml:space="preserve">  Super Micro added with Dell and HPE to Memory &amp; Storage - flagged as a category stretch, since these are AI-server builders, not memory-chip makers.
</t>
    </r>
    <r>
      <rPr>
        <sz val="10"/>
        <color rgb="FFC00000"/>
        <rFont val="Arial"/>
        <family val="0"/>
        <charset val="1"/>
      </rPr>
      <t xml:space="preserve">- It screens as the bargain of the three ($30.10, 8.9x forward, 0.30 PEG, +56% growth) but carries the 2024 accounting scandal: auditor resigned, delisting threat, DOJ/SEC scrutiny.
- Its razor-thin 8% gross margin (vs Dell's 19%, HPE's 34%) means almost no pricing power; the cheap multiple is a warning label - size it smallest of the three.</t>
    </r>
  </si>
  <si>
    <t xml:space="preserve">  The handwritten note said 'not in Neo clouds' without saying where SMCI should go, so it was left in Memory &amp; Storage pending a decision.</t>
  </si>
  <si>
    <t xml:space="preserve">  Per the note, SMCI (with Dell and HPE) was moved into the Neocloud Watch group at the Jul 31 close refresh.</t>
  </si>
  <si>
    <r>
      <rPr>
        <sz val="10"/>
        <color rgb="FF000000"/>
        <rFont val="Arial"/>
        <family val="0"/>
        <charset val="1"/>
      </rPr>
      <t xml:space="preserve">  STRL (Sterling Infrastructure) added to Neocloud Watch at the Aug 7 close $547.06. A 'picks-and-shovels' data-centre play - it does the ground/site work UNDER data centres and chip plants. Watchlist only.
</t>
    </r>
    <r>
      <rPr>
        <sz val="10"/>
        <color rgb="FF1E7B34"/>
        <rFont val="Arial"/>
        <family val="0"/>
        <charset val="1"/>
      </rPr>
      <t xml:space="preserve">+ High-quality and very profitable: revenue $3.4B, earnings $13.87/share, 40% return on equity, 42% return on capital, strong cash flow, low debt. Record Q2 (+90% revenue) and backlog up 116%.
+ Its data-centre segment is now ~78% of revenue and grew ~192% - a direct AI-buildout beneficiary. Cheap for the growth (PEG 0.69, forward P/E 25); analysts Strong Buy, avg target ~$919.
</t>
    </r>
    <r>
      <rPr>
        <sz val="10"/>
        <color rgb="FFC00000"/>
        <rFont val="Arial"/>
        <family val="0"/>
        <charset val="1"/>
      </rPr>
      <t xml:space="preserve">- Volatile and well off its peak: trades at $547 vs a 52-week high of ~$1,006 (down ~46%), with a $263-$1,006 range. Dipped after Q2 on margin-mix worries before recovering.
</t>
    </r>
    <r>
      <rPr>
        <sz val="10"/>
        <color rgb="FF000000"/>
        <rFont val="Arial"/>
        <family val="0"/>
        <charset val="1"/>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</si>
  <si>
    <r>
      <rPr>
        <sz val="10"/>
        <color rgb="FF000000"/>
        <rFont val="Arial"/>
        <family val="0"/>
        <charset val="1"/>
      </rPr>
      <t xml:space="preserve">  HOOD appears among the pre-dashboard closed trades (with TTD, MELI, APP, SOFI) captured in the new 'Closed / other' line of the group summary.
</t>
    </r>
    <r>
      <rPr>
        <sz val="10"/>
        <color rgb="FFC00000"/>
        <rFont val="Arial"/>
        <family val="0"/>
        <charset val="1"/>
      </rPr>
      <t xml:space="preserve">- Framing: HOOD sits with COIN, AFRM and SHOP as momentum-and-story names where valuation still has a long way to fall if growth blinks — not with the V/MA/PYPL quality bucket.</t>
    </r>
  </si>
  <si>
    <t xml:space="preserve">  HOOD's price was verified against a third outside source to break a tie between conflicting quotes during the data check.</t>
  </si>
  <si>
    <r>
      <rPr>
        <sz val="10"/>
        <color rgb="FF1E7B34"/>
        <rFont val="Arial"/>
        <family val="0"/>
        <charset val="1"/>
      </rPr>
      <t xml:space="preserve">+ HOOD beat on July 29: revenue $1.31B (+32%) and EPS $0.62 vs $0.43 expected (a 44% beat), with almost no debt; it bottomed at $63.52 in March and has recovered 45% since.
+ All 26 analyst targets sit above the $92.80 price (+32% implied upside); even the lowest target on the desk is $100 — you are not fighting the crowd.
</t>
    </r>
    <r>
      <rPr>
        <sz val="10"/>
        <color rgb="FF000000"/>
        <rFont val="Arial"/>
        <family val="0"/>
        <charset val="1"/>
      </rPr>
      <t xml:space="preserve">  The 40% drawdown is read as cyclical, not structural: crypto trading revenue fell 38% with Bitcoin and Ethereum off their peaks and comes back when crypto recovers.
</t>
    </r>
    <r>
      <rPr>
        <sz val="10"/>
        <color rgb="FFC00000"/>
        <rFont val="Arial"/>
        <family val="0"/>
        <charset val="1"/>
      </rPr>
      <t xml:space="preserve">- Bear case: HOOD trades at 16.5x revenue vs its 11.9x historical average — 30%+ downside if it merely reverts — and earnings depend on retail traders staying active.
</t>
    </r>
    <r>
      <rPr>
        <sz val="10"/>
        <color rgb="FF000000"/>
        <rFont val="Arial"/>
        <family val="0"/>
        <charset val="1"/>
      </rPr>
      <t xml:space="preserve">  Conviction Medium, 6-24 month horizon; the thesis breaks if monthly funded customers fall for two straight quarters.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</si>
  <si>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r>
      <rPr>
        <sz val="10"/>
        <color rgb="FF1E7B34"/>
        <rFont val="Arial"/>
        <family val="0"/>
        <charset val="1"/>
      </rPr>
      <t xml:space="preserve">+ Lemonade's report showed its loss ratio improving from 78% to 62% with fewer staff; rated 4 of 5 with +27% to target - but small, volatile and still loss-making.
</t>
    </r>
    <r>
      <rPr>
        <sz val="10"/>
        <color rgb="FF000000"/>
        <rFont val="Arial"/>
        <family val="0"/>
        <charset val="1"/>
      </rPr>
      <t xml:space="preserve">  Flagged as one of two genuinely new AI-beneficiary ideas (small, speculative); added to Fintech/Digital Platform at $54.11 after two independent sources confirmed the price.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</si>
  <si>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t xml:space="preserve">+ Mastercard is filed with the elite compounders: 27x earnings, +17% growth, 100% gross margin and a 232% return on equity.</t>
  </si>
  <si>
    <t xml:space="preserve">+ Tagged the deep-value pick of the fintech group: cheapest quality name at 10x, off 28% - fits the V/MA toll-road, quality-plus-value wheelhouse.</t>
  </si>
  <si>
    <r>
      <rPr>
        <b val="true"/>
        <sz val="10"/>
        <color rgb="FFC00000"/>
        <rFont val="Arial"/>
        <family val="0"/>
        <charset val="1"/>
      </rPr>
      <t xml:space="preserve">RED FLAG: A scheduled job printed PYPL +3.9% (with V +3.0%, KO +8.7%) above verified prices, all one direction - same failure signature as the earlier MSFT $381 incident; reverted.
</t>
    </r>
    <r>
      <rPr>
        <sz val="10"/>
        <color rgb="FF000000"/>
        <rFont val="Arial"/>
        <family val="0"/>
        <charset val="1"/>
      </rPr>
      <t xml:space="preserve">  Watchlist name only - no held position was affected by the bad refresh.</t>
    </r>
  </si>
  <si>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</si>
  <si>
    <t xml:space="preserve">  SOFI appears among the pre-dashboard closed exits (with TTD, MELI, APP, HOOD) in the group P&amp;L view.
  Its blank EV/EBITDA and -$6.3B free cash flow are correct, not broken: SoFi is a lender, negative FCF is loan-book growth; judge it on ROE/ROIC and net margin, both strong.</t>
  </si>
  <si>
    <t xml:space="preserve">  SOFI is one of 12 watchlist-only names consuming the free price-feed entitlement while $242K of actually-held stock goes unpriced.</t>
  </si>
  <si>
    <r>
      <rPr>
        <sz val="10"/>
        <color rgb="FFC00000"/>
        <rFont val="Arial"/>
        <family val="0"/>
        <charset val="1"/>
      </rPr>
      <t xml:space="preserve">- Verdict: avoid. Rated Hold at $18.25 with only +9% upside - six firms CUT their targets after a beat, a sign the beat did not matter.
</t>
    </r>
    <r>
      <rPr>
        <sz val="10"/>
        <color rgb="FF000000"/>
        <rFont val="Arial"/>
        <family val="0"/>
        <charset val="1"/>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</si>
  <si>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t xml:space="preserve">  Data fix: research agents returned Visa's ~$670B enterprise value instead of its EV/EBITDA multiple; they were sent back for correct multiples before anything was written.</t>
  </si>
  <si>
    <r>
      <rPr>
        <sz val="10"/>
        <color rgb="FFC00000"/>
        <rFont val="Arial"/>
        <family val="0"/>
        <charset val="1"/>
      </rPr>
      <t xml:space="preserve">- The July 4-for-1 CRWD split was never applied to the manual record: the sheet showed CrowdStrike as the second-worst loser at -51% when it is actually up about +95%.
</t>
    </r>
    <r>
      <rPr>
        <sz val="10"/>
        <color rgb="FF000000"/>
        <rFont val="Arial"/>
        <family val="0"/>
        <charset val="1"/>
      </rPr>
      <t xml:space="preserve">  Fix is one row: 40 shares at $97.98 average cost, which ties the sheet to the broker to the dollar; the dashboard had already split-adjusted CRWD.
</t>
    </r>
    <r>
      <rPr>
        <sz val="10"/>
        <color rgb="FF1E7B34"/>
        <rFont val="Arial"/>
        <family val="0"/>
        <charset val="1"/>
      </rPr>
      <t xml:space="preserve">+ CRWD is up +108%, helping make Software (+56%) one of the best-performing groups.
</t>
    </r>
    <r>
      <rPr>
        <sz val="10"/>
        <color rgb="FF000000"/>
        <rFont val="Arial"/>
        <family val="0"/>
        <charset val="1"/>
      </rPr>
      <t xml:space="preserve">  A new Cybersecurity group was created: CRWD moved there with PANW, ZS, NET and FTNT — CRWD and ZS read as scaled but barely profitable platform players.
  Minor drift: trimming $5.00 of commission from the CRWD cost row is part of a $254 fix to make the sheet match the broker to the cent.</t>
    </r>
  </si>
  <si>
    <t xml:space="preserve">+ On the new portfolio chart CRWD shows a fat gold profit rim — the position has roughly doubled.</t>
  </si>
  <si>
    <r>
      <rPr>
        <sz val="10"/>
        <color rgb="FF000000"/>
        <rFont val="Arial"/>
        <family val="0"/>
        <charset val="1"/>
      </rPr>
      <t xml:space="preserve">  FTNT added to the board with ZS and NET, then moved into a new 16-name-era Cybersecurity group alongside CRWD, PANW, ZS and NET.
</t>
    </r>
    <r>
      <rPr>
        <sz val="10"/>
        <color rgb="FF1E7B34"/>
        <rFont val="Arial"/>
        <family val="0"/>
        <charset val="1"/>
      </rPr>
      <t xml:space="preserve">+ It is the group's quality anchor - the only profitable one: 27% net margin, 132% ROE, 80% gross margin, $2.4B of real free cash flow; at 49x forward not cheap, but a cash machine.</t>
    </r>
  </si>
  <si>
    <t xml:space="preserve">  Data caveat: FTNT's quote-page close exceeded the history table's own daily high - proof the history table serves partial-day snapshots; the quote page has the real close.</t>
  </si>
  <si>
    <r>
      <rPr>
        <sz val="10"/>
        <color rgb="FFC00000"/>
        <rFont val="Arial"/>
        <family val="0"/>
        <charset val="1"/>
      </rPr>
      <t xml:space="preserve">- Verdict: skip. After doubling this year (+104%), the average analyst target of $131.78 sits 19% BELOW the $161.95 price, and it trades at 49x forward earnings.
</t>
    </r>
    <r>
      <rPr>
        <sz val="10"/>
        <color rgb="FF1E7B34"/>
        <rFont val="Arial"/>
        <family val="0"/>
        <charset val="1"/>
      </rPr>
      <t xml:space="preserve">+ The business is strong: Jul 29 quarter had revenue $2.05B up 26%, billings up 33%, earnings up 41%, and raised full-year guidance - hence the stock near its high at $168.
</t>
    </r>
    <r>
      <rPr>
        <sz val="10"/>
        <color rgb="FF000000"/>
        <rFont val="Arial"/>
        <family val="0"/>
        <charset val="1"/>
      </rPr>
      <t xml:space="preserve">  Dad's limits are far away: his $130 limit is near the Street's fair value but 25% below market; his sub-$100 limit is 40.6% below - anchored to an old price; nothing triggered.</t>
    </r>
  </si>
  <si>
    <r>
      <rPr>
        <sz val="10"/>
        <color rgb="FFC00000"/>
        <rFont val="Arial"/>
        <family val="0"/>
        <charset val="1"/>
      </rPr>
      <t xml:space="preserve">- Cloudflare flagged as the single most expensive name in the ~100-stock book: 202x forward P/E, ~860x EV/EBITDA, ~40x sales - priced for flawless execution.
</t>
    </r>
    <r>
      <rPr>
        <sz val="10"/>
        <color rgb="FF1E7B34"/>
        <rFont val="Arial"/>
        <family val="0"/>
        <charset val="1"/>
      </rPr>
      <t xml:space="preserve">+ Fastest grower in the cyber group at +34%, expanding into AI-inference at the edge - but a momentum bet, not a value one.
</t>
    </r>
    <r>
      <rPr>
        <sz val="10"/>
        <color rgb="FF000000"/>
        <rFont val="Arial"/>
        <family val="0"/>
        <charset val="1"/>
      </rPr>
      <t xml:space="preserve">  Moved with CRWD, PANW, ZS and FTNT into a new dedicated Cybersecurity group, making the valuation spread across the five obvious.</t>
    </r>
  </si>
  <si>
    <t xml:space="preserve">  Moved from Cybersecurity into SaaS (each stock sits in one group only), leaving Cybersecurity with four names; reversible on request.</t>
  </si>
  <si>
    <r>
      <rPr>
        <sz val="10"/>
        <color rgb="FF000000"/>
        <rFont val="Arial"/>
        <family val="0"/>
        <charset val="1"/>
      </rPr>
      <t xml:space="preserve">  PANW, first filed under Chips Manufacturing per the handwritten note, moved into a new Cybersecurity group with CRWD, ZS, NET and FTNT.
</t>
    </r>
    <r>
      <rPr>
        <sz val="10"/>
        <color rgb="FF1E7B34"/>
        <rFont val="Arial"/>
        <family val="0"/>
        <charset val="1"/>
      </rPr>
      <t xml:space="preserve">+ Within the cyber group, FTNT and PANW stand out as the profitable, cash-generating incumbents versus 32x-200x forward growth peers with similar ~25-34% growth.</t>
    </r>
  </si>
  <si>
    <r>
      <rPr>
        <sz val="10"/>
        <color rgb="FF000000"/>
        <rFont val="Arial"/>
        <family val="0"/>
        <charset val="1"/>
      </rPr>
      <t xml:space="preserve">  RBRK (Rubrik) added to the Cybersecurity group at $80.99 - watchlist only, no money in it.
</t>
    </r>
    <r>
      <rPr>
        <sz val="10"/>
        <color rgb="FF1E7B34"/>
        <rFont val="Arial"/>
        <family val="0"/>
        <charset val="1"/>
      </rPr>
      <t xml:space="preserve">+ Jumped 8.4% on Aug 4 when Loop Capital initiated coverage with a Buy and a $100 target.
</t>
    </r>
    <r>
      <rPr>
        <sz val="10"/>
        <color rgb="FFC00000"/>
        <rFont val="Arial"/>
        <family val="0"/>
        <charset val="1"/>
      </rPr>
      <t xml:space="preserve">- Still loses money and has negative shareholder equity, so its ROE and debt ratios are shown blank.
</t>
    </r>
    <r>
      <rPr>
        <sz val="10"/>
        <color rgb="FF000000"/>
        <rFont val="Arial"/>
        <family val="0"/>
        <charset val="1"/>
      </rPr>
      <t xml:space="preserve">  Price sources conflicted ($80.99 vs $79.64); $80.99 was used since Google Finance agrees and it matches the reported +8.36% move exactly.</t>
    </r>
  </si>
  <si>
    <r>
      <rPr>
        <sz val="10"/>
        <color rgb="FF000000"/>
        <rFont val="Arial"/>
        <family val="0"/>
        <charset val="1"/>
      </rPr>
      <t xml:space="preserve">  ZS added to the board (tipping it to 100 tickers), then moved into the new Cybersecurity group with CRWD, PANW, NET and FTNT.
</t>
    </r>
    <r>
      <rPr>
        <sz val="10"/>
        <color rgb="FF1E7B34"/>
        <rFont val="Arial"/>
        <family val="0"/>
        <charset val="1"/>
      </rPr>
      <t xml:space="preserve">+ ZS is the more reasonable entry of the unprofitable cyber names: best Rule of 40 (56), $960M FCF-positive at breakeven, and already down 58% from its high.
</t>
    </r>
    <r>
      <rPr>
        <sz val="10"/>
        <color rgb="FF000000"/>
        <rFont val="Arial"/>
        <family val="0"/>
        <charset val="1"/>
      </rPr>
      <t xml:space="preserve">  The group makes the valuation spread obvious: ~32x forward for Zscaler vs ~200x for Cloudflare at similar 25-34% growth.</t>
    </r>
  </si>
  <si>
    <t xml:space="preserve">  BWXT's Aug 3 after-market earnings were picked up by the overnight refresh and merged cleanly - all dashboard checks passed (110 stocks, 47 held, totals unchanged).
  BWXT is crossed out on Dad's note, so it was treated as cancelled and excluded from the buy recommendation.
  Data caveat: CNN quoted BWXT at $205 vs the correct $173.79; the bad source was discarded and prices cross-checked via stockanalysis.com and Google Finance.</t>
  </si>
  <si>
    <r>
      <rPr>
        <sz val="10"/>
        <color rgb="FF1E7B34"/>
        <rFont val="Arial"/>
        <family val="0"/>
        <charset val="1"/>
      </rPr>
      <t xml:space="preserve">+ Called the cleanest way to play the nuclear buildout without SMR execution risk: actual uranium, actual profit, +113% EPS growth, ~50% analyst upside (avg target $131).
</t>
    </r>
    <r>
      <rPr>
        <sz val="10"/>
        <color rgb="FFC00000"/>
        <rFont val="Arial"/>
        <family val="0"/>
        <charset val="1"/>
      </rPr>
      <t xml:space="preserve">- Not cheap at 60x forward earnings.
</t>
    </r>
    <r>
      <rPr>
        <sz val="10"/>
        <color rgb="FF1E7B34"/>
        <rFont val="Arial"/>
        <family val="0"/>
        <charset val="1"/>
      </rPr>
      <t xml:space="preserve">+ Named alongside NEE as the conviction picks for real capital in the energy group; SMR/storage names only as small, sized-to-lose speculation.</t>
    </r>
  </si>
  <si>
    <t xml:space="preserve">  Earnings-related fundamentals refresh on CCJ preserved during a data cleanup; only prices were overridden.</t>
  </si>
  <si>
    <r>
      <rPr>
        <sz val="10"/>
        <color rgb="FF000000"/>
        <rFont val="Arial"/>
        <family val="0"/>
        <charset val="1"/>
      </rPr>
      <t xml:space="preserve">  CEG reports earnings Aug 6 (VST, also held, reports Aug 7); advice is to wait for both prints before adding anything on the power/energy side.
</t>
    </r>
    <r>
      <rPr>
        <sz val="10"/>
        <color rgb="FF1E7B34"/>
        <rFont val="Arial"/>
        <family val="0"/>
        <charset val="1"/>
      </rPr>
      <t xml:space="preserve">+ CEG declared a dividend of $0.4265 per share on the morning of Aug 5.
</t>
    </r>
    <r>
      <rPr>
        <sz val="10"/>
        <color rgb="FF000000"/>
        <rFont val="Arial"/>
        <family val="0"/>
        <charset val="1"/>
      </rPr>
      <t xml:space="preserve">  Keep about $5,150 in reserve so a post-earnings selloff in CEG or VST can be bought.</t>
    </r>
  </si>
  <si>
    <r>
      <rPr>
        <sz val="10"/>
        <color rgb="FF000000"/>
        <rFont val="Arial"/>
        <family val="0"/>
        <charset val="1"/>
      </rPr>
      <t xml:space="preserve">  LEU (Centrus Energy) added to Nuclear Energy at the Aug 7 close $191.37. The only US-owned uranium ENRICHER - makes HALEU fuel for next-gen/small reactors. Watchlist only.
</t>
    </r>
    <r>
      <rPr>
        <sz val="10"/>
        <color rgb="FF1E7B34"/>
        <rFont val="Arial"/>
        <family val="0"/>
        <charset val="1"/>
      </rPr>
      <t xml:space="preserve">+ Profitable and strategically vital: revenue $474M, 10% net margin, a $4.5B order backlog through 2040, a $900M US government HALEU award, and $1.87B cash.
</t>
    </r>
    <r>
      <rPr>
        <sz val="10"/>
        <color rgb="FFC00000"/>
        <rFont val="Arial"/>
        <family val="0"/>
        <charset val="1"/>
      </rPr>
      <t xml:space="preserve">- Expensive and volatile: 88x earnings, negative free cash flow (heavy plant spending), 26% of shares sold short, and it swings hugely - 52-week range $142 to $464. Dropped 5% on earnings then bounced 7% next day.</t>
    </r>
  </si>
  <si>
    <t xml:space="preserve">- NNE is one of five of eight nuclear names with essentially no profits or revenue - valuation columns blank; treat as a thematic call option and size it like a venture bet.</t>
  </si>
  <si>
    <t xml:space="preserve">- NNE has no reliable 52-week low - it prints fresh lows almost daily, with six conflicting candidates (14.71 to 18.04); the card shows 'range n/a'.</t>
  </si>
  <si>
    <r>
      <rPr>
        <sz val="10"/>
        <color rgb="FF000000"/>
        <rFont val="Arial"/>
        <family val="0"/>
        <charset val="1"/>
      </rPr>
      <t xml:space="preserve">  OKLO added to the Energy group as a watchlist name among eight energy additions (SMRs, uranium, solar/storage, a utility), with ~$40K reserved for Energy buys.
</t>
    </r>
    <r>
      <rPr>
        <sz val="10"/>
        <color rgb="FFC00000"/>
        <rFont val="Arial"/>
        <family val="0"/>
        <charset val="1"/>
      </rPr>
      <t xml:space="preserve">- Warning: OKLO is one of five names with essentially no profits and little revenue - valuation columns are blank; treat as a thematic call option and size it like a venture bet.
- Do not read OKLO at -75% off its high as cheap - down a lot is not cheap with no earnings floor; only small, sized-to-lose speculation (CCJ or NEE for conviction instead).</t>
    </r>
  </si>
  <si>
    <t xml:space="preserve">  Data caveat: OKLO was refreshed by the Jul 28 data job but access was denied by Jul 30 - the feed's entitlement list shrank, leaving its stored data stale.</t>
  </si>
  <si>
    <r>
      <rPr>
        <sz val="10"/>
        <color rgb="FFC00000"/>
        <rFont val="Arial"/>
        <family val="0"/>
        <charset val="1"/>
      </rPr>
      <t xml:space="preserve">- SMR is one of five energy names (with OKLO, NNE, TE, EOSE) with essentially no profits — valuation columns blank; thematic call options to be sized like venture bets.
- Warning: do not read OKLO/SMR at -75%/-83% off highs as cheap — down a lot is not the same as cheap when there is no earnings floor underneath.
</t>
    </r>
    <r>
      <rPr>
        <sz val="10"/>
        <color rgb="FF000000"/>
        <rFont val="Arial"/>
        <family val="0"/>
        <charset val="1"/>
      </rPr>
      <t xml:space="preserve">  For real capital in the group, CCJ or NEE were preferred; the SMR-type names only as small, sized-to-lose speculative positions.</t>
    </r>
  </si>
  <si>
    <r>
      <rPr>
        <sz val="10"/>
        <color rgb="FF000000"/>
        <rFont val="Arial"/>
        <family val="0"/>
        <charset val="1"/>
      </rPr>
      <t xml:space="preserve">  UUUU (Energy Fuels) added to Nuclear Energy at the Aug 6 close $12.90 (rebounded ~10% Aug 7). A US uranium miner that also processes rare-earth elements at its Utah mill. Watchlist only.
</t>
    </r>
    <r>
      <rPr>
        <sz val="10"/>
        <color rgb="FF1E7B34"/>
        <rFont val="Arial"/>
        <family val="0"/>
        <charset val="1"/>
      </rPr>
      <t xml:space="preserve">+ Strong balance sheet: ~$996M working capital (cash + marketable securities), producing real uranium (865k lbs last quarter, sold at $80/lb) and building a rare-earths plant.
</t>
    </r>
    <r>
      <rPr>
        <sz val="10"/>
        <color rgb="FFC00000"/>
        <rFont val="Arial"/>
        <family val="0"/>
        <charset val="1"/>
      </rPr>
      <t xml:space="preserve">- Loses money today: -77% net margin, EPS -$0.34, burning ~$120M cash a year. No P/E - you're buying the uranium/rare-earth theme, not profits. 20% of shares are sold short.</t>
    </r>
  </si>
  <si>
    <t xml:space="preserve">+ VST at $160 flagged as a quality name in the ~4% zone worth a good-til-cancelled limit; a normal down day in an earnings-heavy week could fill it.</t>
  </si>
  <si>
    <r>
      <rPr>
        <sz val="10"/>
        <color rgb="FFC00000"/>
        <rFont val="Arial"/>
        <family val="0"/>
        <charset val="1"/>
      </rPr>
      <t xml:space="preserve">- VST fell 8.15% to $143.23 - the worst day among the holdings; the drop was confirmed by POEMS and Google Finance against one source claiming $145.46.
</t>
    </r>
    <r>
      <rPr>
        <sz val="10"/>
        <color rgb="FF000000"/>
        <rFont val="Arial"/>
        <family val="0"/>
        <charset val="1"/>
      </rPr>
      <t xml:space="preserve">  VST reports Friday Aug 7 (CEG Aug 6); advice: keep ~$5,150 in reserve and wait for both prints before adding on the power/energy side.
  VST moved from Energy to Nuclear Energy group (we own 42 sh, cost $6,078, budget $10,000) - its P&amp;L now reports under Nuclear Energy.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</si>
  <si>
    <t xml:space="preserve">  XE (X-Energy) deliberately left at Monday's Aug 3 close - no trustworthy fresh close was available; the staleness is disclosed on the dashboard; watchlist only, no position.
  Moved from Energy to Nuclear Energy (X-energy is a nuclear/small-reactor developer, so it belongs there). Group label only.</t>
  </si>
  <si>
    <t xml:space="preserve">  Housekeeping: ETN's small intraday price drift was refreshed on the dashboard.</t>
  </si>
  <si>
    <r>
      <rPr>
        <sz val="10"/>
        <color rgb="FFC00000"/>
        <rFont val="Arial"/>
        <family val="0"/>
        <charset val="1"/>
      </rPr>
      <t xml:space="preserve">- The $300 buy limit sits below Eaton's 52-week low of $311.92 - it waits for ground untouched in a year; analyst average is $455.79, 52% above the desired entry.
</t>
    </r>
    <r>
      <rPr>
        <sz val="10"/>
        <color rgb="FF000000"/>
        <rFont val="Arial"/>
        <family val="0"/>
        <charset val="1"/>
      </rPr>
      <t xml:space="preserve">  Checksum caught a transcription error: ETN was keyed 386.20 vs actual 386.26; fixed, and earnings-related fundamentals refresh on ETN preserved.</t>
    </r>
  </si>
  <si>
    <t xml:space="preserve">  ETN (19 shares, $7,879.55 cost) moved from Energy into the new 'Power and Electrification' group; totals unchanged to the cent.</t>
  </si>
  <si>
    <t xml:space="preserve">  Order-list query: item 8 read as COIN, but a $300 limit vs a $164 price makes no sense; GEV (closed $981.98) noted as one possible intended ticker.</t>
  </si>
  <si>
    <r>
      <rPr>
        <sz val="10"/>
        <color rgb="FF000000"/>
        <rFont val="Arial"/>
        <family val="0"/>
        <charset val="1"/>
      </rPr>
      <t xml:space="preserve">  GEV (2 shares, $2,147.30 cost) moved with ETN into a new Power and Electrification group; totals unchanged to the cent, nothing bought or sold.
</t>
    </r>
    <r>
      <rPr>
        <sz val="10"/>
        <color rgb="FFC00000"/>
        <rFont val="Arial"/>
        <family val="0"/>
        <charset val="1"/>
      </rPr>
      <t xml:space="preserve">- GE Vernova JV partner AirJoule: genuinely operating (unit installed Jul 28, Kubota deal Jul 21) but no revenue, 16 employees and a $46M funding hole - a ticket, not a position.</t>
    </r>
  </si>
  <si>
    <r>
      <rPr>
        <sz val="10"/>
        <color rgb="FF000000"/>
        <rFont val="Arial"/>
        <family val="0"/>
        <charset val="1"/>
      </rPr>
      <t xml:space="preserve">  Hubbell was pulled fresh onto the dashboard and joined the new Power &amp; Electrification group as a watchlist name at $502.24.
</t>
    </r>
    <r>
      <rPr>
        <sz val="10"/>
        <color rgb="FF1E7B34"/>
        <rFont val="Arial"/>
        <family val="0"/>
        <charset val="1"/>
      </rPr>
      <t xml:space="preserve">+ It beat and raised on grid modernization and data centres - the steadiest, lowest-volatility of the four new power names.
</t>
    </r>
    <r>
      <rPr>
        <sz val="10"/>
        <color rgb="FF000000"/>
        <rFont val="Arial"/>
        <family val="0"/>
        <charset val="1"/>
      </rPr>
      <t xml:space="preserve">  None of Dad's nine buy limits are triggered; Hubbell is the closest, still 14.4% above his $430 line, with about +20% to the analyst target.</t>
    </r>
  </si>
  <si>
    <r>
      <rPr>
        <sz val="10"/>
        <color rgb="FF000000"/>
        <rFont val="Arial"/>
        <family val="0"/>
        <charset val="1"/>
      </rPr>
      <t xml:space="preserve">  HYLN (Hyliion) added to Power &amp; Electrification at the Aug 7 close $3.87. Makes the KARNO generator - a fuel-flexible power module. Watchlist only.
</t>
    </r>
    <r>
      <rPr>
        <b val="true"/>
        <sz val="10"/>
        <color rgb="FFC00000"/>
        <rFont val="Arial"/>
        <family val="0"/>
        <charset val="1"/>
      </rPr>
      <t xml:space="preserve">RED FLAG: Pre-revenue in practice: only $5.8M sales, so its price-to-sales (121x) is meaningless and it burns ~$64M/yr. Very volatile (beta 3.6). A bet on a technology, not a business yet.
</t>
    </r>
    <r>
      <rPr>
        <sz val="10"/>
        <color rgb="FF1E7B34"/>
        <rFont val="Arial"/>
        <family val="0"/>
        <charset val="1"/>
      </rPr>
      <t xml:space="preserve">+ Momentum from defence: won a $41.7M US Navy award to scale its power modules and demonstrated them running as one plant. $72M cash. 3 analysts Buy, avg $7. Q2 call Aug 12.</t>
    </r>
  </si>
  <si>
    <t xml:space="preserve">  Housekeeping: moved to the Energy group per the handwritten note ($5K budget) and small intraday price drifts refreshed.</t>
  </si>
  <si>
    <r>
      <rPr>
        <b val="true"/>
        <sz val="10"/>
        <color rgb="FFC00000"/>
        <rFont val="Arial"/>
        <family val="0"/>
        <charset val="1"/>
      </rPr>
      <t xml:space="preserve">RED FLAG: Advisor admitted MPWR's 'live' price was filled in from memory, not retrieved; on a proper re-pull, four of five such prices were wrong.
</t>
    </r>
    <r>
      <rPr>
        <sz val="10"/>
        <color rgb="FFC00000"/>
        <rFont val="Arial"/>
        <family val="0"/>
        <charset val="1"/>
      </rPr>
      <t xml:space="preserve">- Jumped 10.6% overnight, blowing straight through the standing buy limit - the entry moved further away.
</t>
    </r>
    <r>
      <rPr>
        <sz val="10"/>
        <color rgb="FF000000"/>
        <rFont val="Arial"/>
        <family val="0"/>
        <charset val="1"/>
      </rPr>
      <t xml:space="preserve">  Earnings-related fundamentals refresh on MPWR preserved during a data cleanup.</t>
    </r>
  </si>
  <si>
    <t xml:space="preserve">  Energy group cleaned up: MPWR now sits in a tighter 12-name electrification-and-power bucket with ETN, VRT, GEV, VST, NEE.
  MPWR moved from Energy to Power &amp; Electrification group (we own 1 sh, cost $1,538.56, budget $5,000) - its P&amp;L now reports under Power &amp; Electrification. It makes power-management chips for AI/data-centre boards.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</si>
  <si>
    <r>
      <rPr>
        <sz val="10"/>
        <color rgb="FF000000"/>
        <rFont val="Arial"/>
        <family val="0"/>
        <charset val="1"/>
      </rPr>
      <t xml:space="preserve">  NVT (nVent Electric) added at $162.24 as watchlist-only in the new six-name Power and Electrification group (which also absorbed held positions ETN and GEV).
</t>
    </r>
    <r>
      <rPr>
        <sz val="10"/>
        <color rgb="FF1E7B34"/>
        <rFont val="Arial"/>
        <family val="0"/>
        <charset val="1"/>
      </rPr>
      <t xml:space="preserve">+ nVent has raised full-year guidance twice on AI liquid-cooling demand and is buying back its own shares.
</t>
    </r>
    <r>
      <rPr>
        <sz val="10"/>
        <color rgb="FF000000"/>
        <rFont val="Arial"/>
        <family val="0"/>
        <charset val="1"/>
      </rPr>
      <t xml:space="preserve">  Data caveat: sources disagreed on the close ($162.24 vs $163.68); $162.24 was stored on a two-sources-to-one basis.</t>
    </r>
  </si>
  <si>
    <r>
      <rPr>
        <sz val="10"/>
        <color rgb="FF000000"/>
        <rFont val="Arial"/>
        <family val="0"/>
        <charset val="1"/>
      </rPr>
      <t xml:space="preserve">  POWI (Power Integrations) added to Power &amp; Electrification at the Aug 7 close $64.59. Makes energy-efficient power-conversion chips for industry, renewables and AI. Watchlist only.
</t>
    </r>
    <r>
      <rPr>
        <sz val="10"/>
        <color rgb="FF1E7B34"/>
        <rFont val="Arial"/>
        <family val="0"/>
        <charset val="1"/>
      </rPr>
      <t xml:space="preserve">+ Rock-solid balance sheet (no debt, pays a dividend), 54% gross margins, and Q2 beat and jumped ~9%. A quality niche chipmaker levered to grid/renewables demand.
</t>
    </r>
    <r>
      <rPr>
        <sz val="10"/>
        <color rgb="FFC00000"/>
        <rFont val="Arial"/>
        <family val="0"/>
        <charset val="1"/>
      </rPr>
      <t xml:space="preserve">- Barely profitable right now, so the P/E (147) and EV/EBITDA (80) look extreme; you're paying up for a recovery. Only 5 analysts, avg target $77. Stock $65 vs a $91 high.</t>
    </r>
  </si>
  <si>
    <r>
      <rPr>
        <sz val="10"/>
        <color rgb="FFC00000"/>
        <rFont val="Arial"/>
        <family val="0"/>
        <charset val="1"/>
      </rPr>
      <t xml:space="preserve">- Powell Industries missed on both revenue and profit Aug 3, gapping down almost 13% before closing -3.8%; with only four analysts covering it, the price moves violently.
</t>
    </r>
    <r>
      <rPr>
        <sz val="10"/>
        <color rgb="FF1E7B34"/>
        <rFont val="Arial"/>
        <family val="0"/>
        <charset val="1"/>
      </rPr>
      <t xml:space="preserve">+ The order book tells the opposite story: new orders +158%, backlog +69%, and a 3.0x book-to-bill - three dollars booked for every dollar shipped.
</t>
    </r>
    <r>
      <rPr>
        <sz val="10"/>
        <color rgb="FF000000"/>
        <rFont val="Arial"/>
        <family val="0"/>
        <charset val="1"/>
      </rPr>
      <t xml:space="preserve">  Watchlist-only in the new Power &amp; Electrification group at $211.38; an implausible 122.6% return-on-capital figure was rejected for the conservative 38.4%.</t>
    </r>
  </si>
  <si>
    <r>
      <rPr>
        <sz val="10"/>
        <color rgb="FF000000"/>
        <rFont val="Arial"/>
        <family val="0"/>
        <charset val="1"/>
      </rPr>
      <t xml:space="preserve">  PWR added watchlist-only to the new 'Power and Electrification' group alongside POWL, NVT and HUBB.
</t>
    </r>
    <r>
      <rPr>
        <sz val="10"/>
        <color rgb="FF1E7B34"/>
        <rFont val="Arial"/>
        <family val="0"/>
        <charset val="1"/>
      </rPr>
      <t xml:space="preserve">+ Quanta Services ($693) beat big on Jul 30 and raised full-year guidance - revenue +41%, backlog $53.4B; the stock jumped 13.65% that day.</t>
    </r>
  </si>
  <si>
    <r>
      <rPr>
        <sz val="10"/>
        <color rgb="FFC00000"/>
        <rFont val="Arial"/>
        <family val="0"/>
        <charset val="1"/>
      </rPr>
      <t xml:space="preserve">- AIRJ is filed under Energy but is really an industrial equipment maker (atmospheric water capture); a lottery ticket, and its news is about drinking water, not energy.
</t>
    </r>
    <r>
      <rPr>
        <sz val="10"/>
        <color rgb="FF1E7B34"/>
        <rFont val="Arial"/>
        <family val="0"/>
        <charset val="1"/>
      </rPr>
      <t xml:space="preserve">+ Real traction: 50/50 JV with GE Vernova is operating (unit installed at GE's NY campus Jul 28); Kubota signed as exclusive US residential partner Jul 21, stock +15% that day.
+ Balance sheet is clean: $35M cash, no debt, funded into 2028; all five covering analysts have targets above the price (lowest $6.00 vs $5.95).
</t>
    </r>
    <r>
      <rPr>
        <sz val="10"/>
        <color rgb="FFC00000"/>
        <rFont val="Arial"/>
        <family val="0"/>
        <charset val="1"/>
      </rPr>
      <t xml:space="preserve">- But there is no revenue at all - advisor's verdict: interesting, not a buy today.
</t>
    </r>
    <r>
      <rPr>
        <sz val="10"/>
        <color rgb="FF000000"/>
        <rFont val="Arial"/>
        <family val="0"/>
        <charset val="1"/>
      </rPr>
      <t xml:space="preserve">  Data caveat: the $5.84 Aug 4 close comes from a single source; no second source had that day's data.
  Housekeeping: AIRJ was already in Energy, so the regrouping request needed no action.
  Moved from Energy into the new Renewal Energy group. (Group label only - no change to any figures.)</t>
    </r>
  </si>
  <si>
    <t xml:space="preserve">  Moved from Energy into the new Renewal Energy group. (Group label only - no change to any figures.)</t>
  </si>
  <si>
    <r>
      <rPr>
        <b val="true"/>
        <sz val="10"/>
        <color rgb="FFC00000"/>
        <rFont val="Arial"/>
        <family val="0"/>
        <charset val="1"/>
      </rPr>
      <t xml:space="preserve">RED FLAG: FLNC missed Q3 badly on Aug 5: revenue $649.8M vs $806.2M expected (-19.4%), EPS -$0.24 vs +$0.02, full-year guidance cut to $2.9-3.1B from $3.2-3.6B; shares fell to ~$10.89.
</t>
    </r>
    <r>
      <rPr>
        <sz val="10"/>
        <color rgb="FFC00000"/>
        <rFont val="Arial"/>
        <family val="0"/>
        <charset val="1"/>
      </rPr>
      <t xml:space="preserve">- Verdict: a falling knife — do not buy; analysts will cut forecasts and the stock likely has further to fall.
- The $14.23 stored on the dashboard is the pre-release close and is stale; sources also disagree on FLNC's market cap ($1.43B-$2.62B), EPS, ROE and net margin.
</t>
    </r>
    <r>
      <rPr>
        <sz val="10"/>
        <color rgb="FF000000"/>
        <rFont val="Arial"/>
        <family val="0"/>
        <charset val="1"/>
      </rPr>
      <t xml:space="preserve">  FLNC had just been added to the Energy group at the Aug 5 close of $14.23 before the report; the next refresh will capture the gap down.
  Moved from Energy into the new Renewal Energy group. (Group label only - no change to any figures.)</t>
    </r>
  </si>
  <si>
    <r>
      <rPr>
        <sz val="10"/>
        <color rgb="FF000000"/>
        <rFont val="Arial"/>
        <family val="0"/>
        <charset val="1"/>
      </rPr>
      <t xml:space="preserve">  MYRG (MYR Group - you wrote 'MYR') added to the new Renewal Energy group at the Aug 7 close $337.42. An electrical-infrastructure builder: power lines, substations and data-centre/grid electrical work. Watchlist only.
</t>
    </r>
    <r>
      <rPr>
        <sz val="10"/>
        <color rgb="FF1E7B34"/>
        <rFont val="Arial"/>
        <family val="0"/>
        <charset val="1"/>
      </rPr>
      <t xml:space="preserve">+ High quality and profitable: revenue $4B (+16%), earnings more than doubled to $10.54/share, 25% return on capital, positive cash flow, almost no debt. Record Q2 and record $3.16B backlog.
+ Direct beneficiary of the grid buildout and data-centre electrification wave. Analysts see meaningful upside (avg ~$423 vs ~$337). Trades at a reasonable ~26x forward earnings for the growth.
</t>
    </r>
    <r>
      <rPr>
        <sz val="10"/>
        <color rgb="FFC00000"/>
        <rFont val="Arial"/>
        <family val="0"/>
        <charset val="1"/>
      </rPr>
      <t xml:space="preserve">- A contractor, so margins are thin (~4% net) and results can be lumpy project to project; the stock has pulled back from a $503 high.</t>
    </r>
  </si>
  <si>
    <t xml:space="preserve">+ NEE is the only dividend-quality name in the group: a $187B regulated utility plus the largest US renewables developer, 32% margins, near the ~$99 analyst fair value.
+ For real capital in the nuclear/energy group: CCJ or NEE for conviction; the SMR and storage names only as small, sized-to-lose speculative bets.</t>
  </si>
  <si>
    <t xml:space="preserve">  NEE now sits in the cleaner electrification-and-power-equipment bucket (with ETN, VRT, GEV, VST, MPWR) after the Energy group was trimmed from 18 names to 12.
  Moved from Energy into the new Renewal Energy group. (Group label only - no change to any figures.)</t>
  </si>
  <si>
    <r>
      <rPr>
        <sz val="10"/>
        <color rgb="FF000000"/>
        <rFont val="Arial"/>
        <family val="0"/>
        <charset val="1"/>
      </rPr>
      <t xml:space="preserve">  NRG (NRG Energy) added to Energy at the Aug 6 close $119.05. A big Texas power company - it generates electricity, sells it to homes, and is now a major play on data-centre/AI power demand. Watchlist only.
</t>
    </r>
    <r>
      <rPr>
        <sz val="10"/>
        <color rgb="FF1E7B34"/>
        <rFont val="Arial"/>
        <family val="0"/>
        <charset val="1"/>
      </rPr>
      <t xml:space="preserve">+ Real, profitable business paying a ~1.6% dividend: $33B revenue, earnings up 76% to $3.87/share, 24% return on equity. Cheap on next year's earnings (~12x) with a bargain PEG of 0.5.
+ Growth catalyst: on its Aug 4 call it announced a landmark 1.2-gigawatt deal (expandable to 2.4GW) to power a hyperscaler's data centre in Texas - ~$500M/yr of profit once running, ~2029.
</t>
    </r>
    <r>
      <rPr>
        <sz val="10"/>
        <color rgb="FFC00000"/>
        <rFont val="Arial"/>
        <family val="0"/>
        <charset val="1"/>
      </rPr>
      <t xml:space="preserve">- Heavily indebted (debt is ~5x equity - normal for a utility but real), and free cash flow is thin, so it looks expensive on a cash-flow basis (72x). Management sees this year's profit below the mid-point on soft Texas power prices.
- Analysts still like it (~$194 avg target vs $119 now) but two firms trimmed targets on Aug 5; the stock touched a 52-week low ($112.50) recently. The $119.05 stored is the Aug 6 close - tonight's refresh confirms it.
</t>
    </r>
    <r>
      <rPr>
        <sz val="10"/>
        <color rgb="FF000000"/>
        <rFont val="Arial"/>
        <family val="0"/>
        <charset val="1"/>
      </rPr>
      <t xml:space="preserve">  Moved from Energy into the new Renewal Energy group. (Group label only - no change to any figures.)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</si>
  <si>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C00000"/>
        <rFont val="Arial"/>
        <family val="0"/>
        <charset val="1"/>
      </rPr>
      <t xml:space="preserve">- VRT reports earnings within a week - buying now means holding a binary event within days, which is why the week's buy pick went elsewhere.
</t>
    </r>
    <r>
      <rPr>
        <sz val="10"/>
        <color rgb="FF000000"/>
        <rFont val="Arial"/>
        <family val="0"/>
        <charset val="1"/>
      </rPr>
      <t xml:space="preserve">  Per-firm analyst rating actions for mid-caps like VRT need the FMP Starter plan (~$22-29/month); the upgrade was recommended as worthwhile.</t>
    </r>
  </si>
  <si>
    <t xml:space="preserve">  VRT cited as part of the AI-rack exposure (with NVDA, AVGO, ANET, CRDO) that all rely on Amphenol connectors - context for the APH pick-and-shovel case.</t>
  </si>
  <si>
    <t xml:space="preserve">  VRT now sits in the cleaner electrification-and-power-equipment bucket after the Energy group regrouping (18 names down to 12).
  Moved from Energy into the new Renewal Energy group. (Group label only - no change to any figures.)</t>
  </si>
  <si>
    <r>
      <rPr>
        <sz val="10"/>
        <color rgb="FF000000"/>
        <rFont val="Arial"/>
        <family val="0"/>
        <charset val="1"/>
      </rPr>
      <t xml:space="preserve">  Affirm screens at 19x forward earnings with +32% growth and a 10% margin; it has only just turned profitable and carries buy-now-pay-later credit risk.
</t>
    </r>
    <r>
      <rPr>
        <sz val="10"/>
        <color rgb="FFC00000"/>
        <rFont val="Arial"/>
        <family val="0"/>
        <charset val="1"/>
      </rPr>
      <t xml:space="preserve">- Advisor files Affirm with the momentum-and-story names (Coinbase, Robinhood, Shopify), not the quality bucket - valuation has a long way to fall if growth blinks.</t>
    </r>
  </si>
  <si>
    <t xml:space="preserve">  Moved into the new Digital Applications group (from Fintech/Digital Platform). Group label only - no change to any figures or position.</t>
  </si>
  <si>
    <r>
      <rPr>
        <sz val="10"/>
        <color rgb="FF000000"/>
        <rFont val="Arial"/>
        <family val="0"/>
        <charset val="1"/>
      </rPr>
      <t xml:space="preserve">  BKNG (Booking Holdings) added to Digital Applications at the Aug 7 close $214.42 (split-adjusted). The world's largest online travel agency (Booking.com, Priceline, Agoda). Watchlist only.
</t>
    </r>
    <r>
      <rPr>
        <sz val="10"/>
        <color rgb="FF1E7B34"/>
        <rFont val="Arial"/>
        <family val="0"/>
        <charset val="1"/>
      </rPr>
      <t xml:space="preserve">+ Exceptional economics: 87% gross margin, 92% return on invested capital, $9.5B cash flow; Q2 beat with profit up 131% and a record $3.7B buyback. 38 analysts Buy, avg ~$238.
</t>
    </r>
    <r>
      <rPr>
        <sz val="10"/>
        <color rgb="FFC00000"/>
        <rFont val="Arial"/>
        <family val="0"/>
        <charset val="1"/>
      </rPr>
      <t xml:space="preserve">- Carries negative book equity from years of buybacks (so some ratios don't compute - normal for BKNG), and growth is moderating to high-single-digits.</t>
    </r>
  </si>
  <si>
    <t xml:space="preserve">  MELI appears among the pre-dashboard closed exits (with TTD, APP, SOFI, HOOD) captured in the new group P&amp;L view.</t>
  </si>
  <si>
    <r>
      <rPr>
        <sz val="10"/>
        <color rgb="FF000000"/>
        <rFont val="Arial"/>
        <family val="0"/>
        <charset val="1"/>
      </rPr>
      <t xml:space="preserve">  Verdict: parked, not rejected - it reported the night before, fell 4.5% with margins down 550bps; same timing trap as APP, revisit in a week once the dust settles.
</t>
    </r>
    <r>
      <rPr>
        <sz val="10"/>
        <color rgb="FF1E7B34"/>
        <rFont val="Arial"/>
        <family val="0"/>
        <charset val="1"/>
      </rPr>
      <t xml:space="preserve">+ Still the most attractive fundamentals of the candidate list: the cheapest cash flow of the lot at $1,922.57 with +15% upside shown and revenue growing 50%.
</t>
    </r>
    <r>
      <rPr>
        <sz val="10"/>
        <color rgb="FFC00000"/>
        <rFont val="Arial"/>
        <family val="0"/>
        <charset val="1"/>
      </rPr>
      <t xml:space="preserve">- Risk: MELI fell because its numbers got worse - when analysts update they will cut forecasts, so the stock likely has further to adjust downward.
</t>
    </r>
    <r>
      <rPr>
        <sz val="10"/>
        <color rgb="FF000000"/>
        <rFont val="Arial"/>
        <family val="0"/>
        <charset val="1"/>
      </rPr>
      <t xml:space="preserve">  Moved into the new Digital Applications group (from Fintech/Digital Platform). Group label only - no change to any figures or position.</t>
    </r>
  </si>
  <si>
    <r>
      <rPr>
        <sz val="10"/>
        <color rgb="FF000000"/>
        <rFont val="Arial"/>
        <family val="0"/>
        <charset val="1"/>
      </rPr>
      <t xml:space="preserve">  NFLX (Netflix) added to Digital Applications at the Aug 7 close $74.14 (price is low because of a 10-for-1 stock split in Nov 2025 - not comparable to old ~$700 levels). Watchlist only.
</t>
    </r>
    <r>
      <rPr>
        <sz val="10"/>
        <color rgb="FF1E7B34"/>
        <rFont val="Arial"/>
        <family val="0"/>
        <charset val="1"/>
      </rPr>
      <t xml:space="preserve">+ Elite business: 28% net margin, 49% return on equity, $11B free cash flow, trades at a reasonable 23x earnings. 51 analysts rate it Buy, avg target ~$94.
</t>
    </r>
    <r>
      <rPr>
        <sz val="10"/>
        <color rgb="FFC00000"/>
        <rFont val="Arial"/>
        <family val="0"/>
        <charset val="1"/>
      </rPr>
      <t xml:space="preserve">- Down ~37% over the past year; Q2 earnings beat but weak next-quarter guidance knocked it ~9%. Growth is steady (low-teens), not explosive.</t>
    </r>
  </si>
  <si>
    <t xml:space="preserve">  Moved into the Digital Applications group (from Fintech/Digital Platform). Group label only.</t>
  </si>
  <si>
    <t xml:space="preserve">- Great business but priced for perfection at 84x EV/EBITDA with +32% growth; bucketed with the momentum-and-story names where valuation has far to fall if growth blinks.</t>
  </si>
  <si>
    <r>
      <rPr>
        <sz val="10"/>
        <color rgb="FF000000"/>
        <rFont val="Arial"/>
        <family val="0"/>
        <charset val="1"/>
      </rPr>
      <t xml:space="preserve">  SOUN (SoundHound AI) added to the Digital Platform group at the Aug 6 close $7.08. A small voice-AI company - drive-thru ordering, in-car assistants, AI call-centre agents. Watchlist only.
</t>
    </r>
    <r>
      <rPr>
        <sz val="10"/>
        <color rgb="FF1E7B34"/>
        <rFont val="Arial"/>
        <family val="0"/>
        <charset val="1"/>
      </rPr>
      <t xml:space="preserve">+ Record Q2 (Aug 5): revenue $61.9M +45%, margins improving, full-year outlook RAISED to $230-260M. It has $203M cash and almost no debt, so plenty of runway. Stock jumped 10% on the news.
</t>
    </r>
    <r>
      <rPr>
        <sz val="10"/>
        <color rgb="FFC00000"/>
        <rFont val="Arial"/>
        <family val="0"/>
        <charset val="1"/>
      </rPr>
      <t xml:space="preserve">- Still loses a lot of money: -67% net margin, burning ~$142M cash a year, no P/E. You're buying a growth story, not profits - and it's priced at 15x sales while unprofitable.
</t>
    </r>
    <r>
      <rPr>
        <b val="true"/>
        <sz val="10"/>
        <color rgb="FFC00000"/>
        <rFont val="Arial"/>
        <family val="0"/>
        <charset val="1"/>
      </rPr>
      <t xml:space="preserve">RED FLAG: Extreme-risk profile: 43% of its shares are sold short (one of the most-shorted stocks anywhere), beta 2.8, and it trades at $7 vs a 52-week range of $5.65-$22. Very volatile - a speculative bet, not a core holding.
</t>
    </r>
    <r>
      <rPr>
        <sz val="10"/>
        <color rgb="FF000000"/>
        <rFont val="Arial"/>
        <family val="0"/>
        <charset val="1"/>
      </rPr>
      <t xml:space="preserve">  Moved into the Digital Applications group (from Fintech/Digital Platform). Group label only - no change to figures.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</si>
  <si>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t xml:space="preserve">  Uber is one of 12 watchlist-only names occupying the free data feed's whitelist while $242K of actual holdings goes unpriced - an entitlement quirk, not a stock view.</t>
  </si>
  <si>
    <r>
      <rPr>
        <sz val="10"/>
        <color rgb="FFC00000"/>
        <rFont val="Arial"/>
        <family val="0"/>
        <charset val="1"/>
      </rPr>
      <t xml:space="preserve">- Uber deployed AI aggressively and, by its own admission, cannot yet prove it paid for itself - the discipline point that 'this company uses AI' is not a thesis.
- If two or three more large firms follow Uber in admitting they cannot trace AI spending to output, the whole 'AI as margin lever' thesis needs rethinking.
</t>
    </r>
    <r>
      <rPr>
        <sz val="10"/>
        <color rgb="FF000000"/>
        <rFont val="Arial"/>
        <family val="0"/>
        <charset val="1"/>
      </rPr>
      <t xml:space="preserve">  Moved into the new Digital Applications group (from Fintech/Digital Platform). Group label only - no change to any figures or position.</t>
    </r>
  </si>
  <si>
    <r>
      <rPr>
        <sz val="10"/>
        <color rgb="FF000000"/>
        <rFont val="Arial"/>
        <family val="0"/>
        <charset val="1"/>
      </rPr>
      <t xml:space="preserve">  WDAY (Workday) added to Digital Applications at the Aug 7 close $179.64. Cloud software for HR and finance departments. Watchlist only.
</t>
    </r>
    <r>
      <rPr>
        <sz val="10"/>
        <color rgb="FF1E7B34"/>
        <rFont val="Arial"/>
        <family val="0"/>
        <charset val="1"/>
      </rPr>
      <t xml:space="preserve">+ Cash-rich, not earnings-poor: the headline P/E (56) looks high on accounting profit, but on cash terms it's cheap (forward P/E 16, PEG 0.76, $3B free cash flow). Steady ~13% growth.
</t>
    </r>
    <r>
      <rPr>
        <sz val="10"/>
        <color rgb="FFC00000"/>
        <rFont val="Arial"/>
        <family val="0"/>
        <charset val="1"/>
      </rPr>
      <t xml:space="preserve">- 11% of shares are shorted, the founder returned as CEO with layoffs in Feb, and analysts' avg target ($169) sits below today's price. Reports Aug 27.</t>
    </r>
  </si>
  <si>
    <r>
      <rPr>
        <sz val="10"/>
        <color rgb="FF000000"/>
        <rFont val="Arial"/>
        <family val="0"/>
        <charset val="1"/>
      </rPr>
      <t xml:space="preserve">  CAT (Caterpillar) added to the new Industrial STX group at the Aug 7 close $842.19. The world's biggest construction and mining equipment maker; also a data-centre-power beneficiary. Watchlist only.
</t>
    </r>
    <r>
      <rPr>
        <sz val="10"/>
        <color rgb="FF1E7B34"/>
        <rFont val="Arial"/>
        <family val="0"/>
        <charset val="1"/>
      </rPr>
      <t xml:space="preserve">+ Firing on all cylinders: revenue +18%, 57% return on equity, record backlog; Q2 beat and jumped ~9%. Pays a small dividend. 28 analysts Buy, avg ~$973.
</t>
    </r>
    <r>
      <rPr>
        <sz val="10"/>
        <color rgb="FFC00000"/>
        <rFont val="Arial"/>
        <family val="0"/>
        <charset val="1"/>
      </rPr>
      <t xml:space="preserve">- Cyclical and richly valued (P/E 36); already pulled back ~21% from its June peak of ~$1,073, so it can be volatile.</t>
    </r>
  </si>
  <si>
    <r>
      <rPr>
        <sz val="10"/>
        <color rgb="FF000000"/>
        <rFont val="Arial"/>
        <family val="0"/>
        <charset val="1"/>
      </rPr>
      <t xml:space="preserve">  DE (Deere) added to Industrial STX at the Aug 7 close $620.83. The world's largest maker of farm machinery, plus construction equipment. Watchlist only.
</t>
    </r>
    <r>
      <rPr>
        <sz val="10"/>
        <color rgb="FFC00000"/>
        <rFont val="Arial"/>
        <family val="0"/>
        <charset val="1"/>
      </rPr>
      <t xml:space="preserve">- In a farming downturn right now: earnings down ~15% and low returns on capital this year, though management expects agriculture to bottom in 2026.
</t>
    </r>
    <r>
      <rPr>
        <sz val="10"/>
        <color rgb="FF1E7B34"/>
        <rFont val="Arial"/>
        <family val="0"/>
        <charset val="1"/>
      </rPr>
      <t xml:space="preserve">+ Still a dominant franchise with pricing power; 24 analysts rate it Buy, avg ~$648. Reports Aug 20. A recovery play if the ag cycle turns.</t>
    </r>
  </si>
  <si>
    <r>
      <rPr>
        <sz val="10"/>
        <color rgb="FF000000"/>
        <rFont val="Arial"/>
        <family val="0"/>
        <charset val="1"/>
      </rPr>
      <t xml:space="preserve">  GE (GE Aerospace) added to Industrial STX at the Aug 7 close $370.08. This is the jet-engine company left after GE split into three in 2024 - NOT the old conglomerate. Watchlist only.
</t>
    </r>
    <r>
      <rPr>
        <sz val="10"/>
        <color rgb="FF1E7B34"/>
        <rFont val="Arial"/>
        <family val="0"/>
        <charset val="1"/>
      </rPr>
      <t xml:space="preserve">+ Best-in-class: revenue +22%, 31% return on capital, strong cash flow; Q2 beat and raised full-year guidance. 22 analysts rate it STRONG BUY (avg ~$405) - the highest conviction of these four industrials.
</t>
    </r>
    <r>
      <rPr>
        <sz val="10"/>
        <color rgb="FFC00000"/>
        <rFont val="Arial"/>
        <family val="0"/>
        <charset val="1"/>
      </rPr>
      <t xml:space="preserve">- Priced for perfection at 44x earnings and sits near its all-time high, so limited margin for error.</t>
    </r>
  </si>
  <si>
    <r>
      <rPr>
        <sz val="10"/>
        <color rgb="FF000000"/>
        <rFont val="Arial"/>
        <family val="0"/>
        <charset val="1"/>
      </rPr>
      <t xml:space="preserve">  MMM (3M) added to Industrial STX at the Aug 7 close $182.90. A diversified industrial (tapes, abrasives, safety, electronics) recovering after big legal settlements. Watchlist only.
</t>
    </r>
    <r>
      <rPr>
        <sz val="10"/>
        <color rgb="FF1E7B34"/>
        <rFont val="Arial"/>
        <family val="0"/>
        <charset val="1"/>
      </rPr>
      <t xml:space="preserve">+ Turnaround underway: Q2 beat, best organic growth in 5 years, raised full-year guidance; pays a 1.7% dividend. 37% return on capital.
</t>
    </r>
    <r>
      <rPr>
        <sz val="10"/>
        <color rgb="FFC00000"/>
        <rFont val="Arial"/>
        <family val="0"/>
        <charset val="1"/>
      </rPr>
      <t xml:space="preserve">- Near its 52-week high with the average analyst target (~$182) essentially at today's price - limited upside priced in - and heavy debt from PFAS/earplug settlements. Views are split (3 Sells).</t>
    </r>
  </si>
  <si>
    <t xml:space="preserve">Date</t>
  </si>
  <si>
    <t xml:space="preserve">Source</t>
  </si>
  <si>
    <t xml:space="preserve">Comment</t>
  </si>
  <si>
    <t xml:space="preserve">Claude - chat</t>
  </si>
  <si>
    <t xml:space="preserve">Everything is reconciled and re-deployed — dashboard, workbook, dad's link, sidebar artifact, and your P4 folder all now tie to the POEMS statement to the cent: cost $536,988.31, MV $635,013.32, +18.25%. AAOI is also in (details below).</t>
  </si>
  <si>
    <t xml:space="preserve">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</si>
  <si>
    <t xml:space="preserve">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</si>
  <si>
    <t xml:space="preserve">⚠ The whole gap is one row: CRWD — the July 2026 4-for-1 stock split was never applied to your manual record.</t>
  </si>
  <si>
    <t xml:space="preserve">On your naming request — I applied my recommendations and here's the reasoning, all easy to revert if any miss:</t>
  </si>
  <si>
    <t xml:space="preserve">One flag for your own records: I applied the standard $8.56 POEMS commission on this fill (same rate we standardized in the reconciliation). If your trade confirmation shows a different fee, tell me and I'll true up the cost basis to the cent.</t>
  </si>
  <si>
    <t xml:space="preserve">Three AI-datacenter / crypto-miner neocloud names — APLD (Applied Digital), CIFR (Cipher Mining), HUT (Hut 8) — into the Neocloud group (g=13, alongside IREN/NBIS/CRWV). Pulling their fundamentals.</t>
  </si>
  <si>
    <t xml:space="preserve">| APLD | Applied Digital | $27.19 | −42% | +112% | −59% | 1.10 | Signed hyperscaler leases; heavy capex build |</t>
  </si>
  <si>
    <t xml:space="preserve">Stagger applied — earnings job now 03:00 UTC, clear of the 01:00 pile-up. Now the staleness marker.</t>
  </si>
  <si>
    <t xml:space="preserve">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</si>
  <si>
    <t xml:space="preserve">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</si>
  <si>
    <t xml:space="preserve">Dashboard note effe9e9</t>
  </si>
  <si>
    <t xml:space="preserve">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</si>
  <si>
    <t xml:space="preserve">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</si>
  <si>
    <t xml:space="preserve">⚠️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</si>
  <si>
    <t xml:space="preserve">- AAPL is alone in the worst quadrant — thinnest margin of the seven (47.9%) at the highest multiple (40.5x). Smallest position, thankfully.</t>
  </si>
  <si>
    <t xml:space="preserve">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</si>
  <si>
    <t xml:space="preserve">- Rating actions (7 days), with names: AAPL — HSBC upgrade Hold→Buy (Jul 17) vs KeyBanc downgrade Sector Weight→Underweight (Jul 14). A genuine bull-bear split on your at-ATH position; the other 10 covered names had zero non-maintain actions this week.</t>
  </si>
  <si>
    <t xml:space="preserve">| Analyst data (price targets, upgrades/downgrades, estimates) | ⚠️ only ~11 mega-caps (NVDA, MSFT, AAPL, TSM...) | The Street-signals section — this is the gated part |</t>
  </si>
  <si>
    <t xml:space="preserve">⚠️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</si>
  <si>
    <t xml:space="preserve">At the other end, AAPL prints 96% of range — it's sitting at the top of its band while the HI lane shows only −2%. That's a name where the ladder is telling you there's nothing left to buy.</t>
  </si>
  <si>
    <t xml:space="preserve">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</si>
  <si>
    <t xml:space="preserve">Dashboard note 97dee22</t>
  </si>
  <si>
    <t xml:space="preserve">Jul 30, 2026 · close — 47 held names marked to the POEMS positions screen; watchlist at Jul 29–30 close — fundamentals refreshed Jul 31 (post-earnings: AAPL · AMZN · COIN · MA · KLAC catch-up)</t>
  </si>
  <si>
    <t xml:space="preserve">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</si>
  <si>
    <t xml:space="preserve">ADBE was already in SaaS. It has been in there since you asked me to add it a couple of days ago, so nothing needed doing. I only added VEEV (Veeva Systems) — SaaS now shows 11 names.</t>
  </si>
  <si>
    <t xml:space="preserve">1. AIRJ — nothing to do. It was already sitting in Energy. Same situation as ADBE last time. I'm telling you rather than quietly skipping it, so you know the request wasn't dropped.</t>
  </si>
  <si>
    <t xml:space="preserve">The real contest was Adobe vs. Salesforce. Both trade at roughly nine times the cash they throw off, which for software of this quality is genuinely unusual — the market is pricing both as if AI will eat them.</t>
  </si>
  <si>
    <t xml:space="preserve">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</si>
  <si>
    <t xml:space="preserve">Dashboard note 7e7d133</t>
  </si>
  <si>
    <t xml:space="preserve">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</si>
  <si>
    <t xml:space="preserve">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</si>
  <si>
    <t xml:space="preserve">LUNR (Intuitive Machines) → Space (g=7), AEHR (Aehr Test Systems, semi test equipment) → Computing Chips (g=1). Pulling fundamentals.</t>
  </si>
  <si>
    <t xml:space="preserve">Both added — LUNR in Space, AEHR in Computing Chips (97 tickers total) across the dashboard, workbook, and dad's link.</t>
  </si>
  <si>
    <t xml:space="preserve">| AEHR | Computing Chips | $76.32 | −40% | −15% | −14% | avg $115 (+51%) | Semi burn-in test; revenue *shrinking* |</t>
  </si>
  <si>
    <t xml:space="preserve">⚠️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</si>
  <si>
    <t xml:space="preserve">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</si>
  <si>
    <t xml:space="preserve">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</si>
  <si>
    <t xml:space="preserve">AEHR → Chips Manufacturing and AMPX → Energy are clean, and CRDO is already sitting in Photonic &amp; Optic Fiber so that one's done. Two snags:</t>
  </si>
  <si>
    <t xml:space="preserve">Your FMP access shrank between Jul 28 and Jul 30. The Jul 28 cron refreshed 58 tickers including ARM, AEHR, SKHY, CRWV, NBIS, OKLO, SMCI. Today ARM is denied outright. Same job, same endpoint, same code — the entitlement moved underneath it.</t>
  </si>
  <si>
    <t xml:space="preserve">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</si>
  <si>
    <t xml:space="preserve">Dashboard note 266571f</t>
  </si>
  <si>
    <t xml:space="preserve">Jul 31, 2026 · close — all names verified at the Jul 31 close; AEHR → Chips Manufacturing; DELL/HPE/SMCI → Neocloud Watch; added POET (Photonic), AMPX (Energy), NOK (Neocloud Watch)</t>
  </si>
  <si>
    <t xml:space="preserve">Done — AEHR is back in Chips Manufacturing (now 6 names), Photonic &amp; Optic Fiber back to 12. Pushed as `ed9555c`.</t>
  </si>
  <si>
    <t xml:space="preserve">For the record, I think your instinct was right. AEHR's revenue is still mostly silicon carbide test for EVs — the photonics piece is the story, not yet the business. Grouping by story rather than by revenue is how you end up misreading a chart six months from now.</t>
  </si>
  <si>
    <t xml:space="preserve">Dashboard note 1228826</t>
  </si>
  <si>
    <t xml:space="preserve">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</si>
  <si>
    <t xml:space="preserve">Dashboard note ed9555c</t>
  </si>
  <si>
    <t xml:space="preserve">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</si>
  <si>
    <t xml:space="preserve">| | AFRM | Affirm | 19 fwd | +32% | 10% | Just turned profit; BNPL credit risk |</t>
  </si>
  <si>
    <t xml:space="preserve">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</si>
  <si>
    <t xml:space="preserve">| AIRJ | No revenue at all | GE Vernova JV live, Kubota deal | ⏸️ Interesting, not today |</t>
  </si>
  <si>
    <t xml:space="preserve">Dashboard note 3eac88f</t>
  </si>
  <si>
    <t xml:space="preserve">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</si>
  <si>
    <t xml:space="preserve">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</si>
  <si>
    <t xml:space="preserve">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</si>
  <si>
    <t xml:space="preserve">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</si>
  <si>
    <t xml:space="preserve">- Semi Equipment (+50%) and Software (+56%) are your best percentage performers — LRCX, AMAT, CRWD (+108%), PLTR all pulling hard.</t>
  </si>
  <si>
    <t xml:space="preserve">💡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</si>
  <si>
    <t xml:space="preserve">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</si>
  <si>
    <t xml:space="preserve">So here's the problem you actually have. For 36 of your 47 holdings — including AVGO, MU, ASML and AMAT, which together are about $98,000 — the wall board is showing today's live price, but the stored file still has the price from July 28th. The page *looks* current. The math underneath isn't.</t>
  </si>
  <si>
    <t xml:space="preserve">-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</si>
  <si>
    <t xml:space="preserve">4. Where the dry powder concentrates: Computing Chips ($68K) and Chips Manufacturing ($57K) — your two best-performing groups (+19%, +64%). The plan wants you adding to winners; NVDA alone has $8.5K of room, TSM $14K, MU $14.6K, AMD $11.2K.</t>
  </si>
  <si>
    <t xml:space="preserve">The only red cell in the whole row is ORCL (3x over its 5K allocation) — everything else has room. Biggest green: NVDA +$8.5K, TSM +$14K, MU +$14.6K, AMD +$11.2K, Chips MFG names collectively +$57K.</t>
  </si>
  <si>
    <t xml:space="preserve">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</si>
  <si>
    <t xml:space="preserve">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</si>
  <si>
    <t xml:space="preserve">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</si>
  <si>
    <t xml:space="preserve">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</si>
  <si>
    <t xml:space="preserve">🎯 Conviction: Medium-High on TSM · Horizon: Long (&gt;24 months) · What would change my mind: a TSMC guidance cut, a US export-control action on advanced chips to China, or a hyperscaler publicly slowing 2027 capex. Any of those and I'd stop adding.</t>
  </si>
  <si>
    <t xml:space="preserve">| CORZ | $21.77 | +53% | ❌ Negative equity, $1.16B quarterly loss, AMD holds warrants for 30M shares at $23.47 that dilute you the moment it works |</t>
  </si>
  <si>
    <t xml:space="preserve">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</si>
  <si>
    <t xml:space="preserve">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</si>
  <si>
    <t xml:space="preserve">Dashboard note 2e5ac49</t>
  </si>
  <si>
    <t xml:space="preserve">Jul 31, 2026 · close — weekly audit Aug 3: all 110 prices re-verified at the Jul 31 close vs stockanalysis.com; 57 market caps re-based to verified shares outstanding (largest fixes: SNDK +42%, AMKR +37%, WDC +27%, TSLA +18%, NBIS -18%, ONDS -17%)</t>
  </si>
  <si>
    <t xml:space="preserve">POET and AMPX aren't on the board at all, and with FMP down I have no way to pull their price, market cap, 52-week range or fundamentals to create the entries. I can add them as empty shells now and backfill when the data feed returns, or wait — your call.</t>
  </si>
  <si>
    <t xml:space="preserve">The year-to-date column is blank for POET, AMPX and NOK. The free price source only serves about ten weeks of history and won't go back to January no matter how I ask it. Everything else on their cards is real.</t>
  </si>
  <si>
    <t xml:space="preserve">The honest trade-off: the FCF version punishes companies mid-investment even when that investment is rational — AMZN's 13.9 looks worse than the business is. It's deliberately harsh.</t>
  </si>
  <si>
    <t xml:space="preserve">| Next earnings | ~early Aug | ~Jul 29 | ~Jul 29 | ~early Sept | Jul 30 (MarketBeat (https://www.marketbeat.com/stocks/NASDAQ/AMZN/earnings/)) |</t>
  </si>
  <si>
    <t xml:space="preserve">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</si>
  <si>
    <t xml:space="preserve">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</si>
  <si>
    <t xml:space="preserve">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</si>
  <si>
    <t xml:space="preserve">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</si>
  <si>
    <t xml:space="preserve">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</si>
  <si>
    <t xml:space="preserve">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</si>
  <si>
    <t xml:space="preserve">What would change my mind: an earnings-week selloff (META/AMZN report Jul 30) dragging GOOGL or META down to their limits — those are far higher-quality triggers than RKLB, and I'd rather you spend into a $300 GOOGL or $600 META than a $70 RKLB. Watch those two into month-end.</t>
  </si>
  <si>
    <t xml:space="preserve">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</si>
  <si>
    <t xml:space="preserve">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</si>
  <si>
    <t xml:space="preserve">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</si>
  <si>
    <t xml:space="preserve">| Skip for now | AMZN, GOOGL, MSFT | 23–33% above Dad's limits, smallest upside of the group | Medium |</t>
  </si>
  <si>
    <t xml:space="preserve">| 4 | AMZN | Margin 11.4% → 13.7%; robot $3k vs human $34k | ★★★★★ Reported | $285.83 | 29.3× | +13% | Medium (price) |</t>
  </si>
  <si>
    <t xml:space="preserve">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</si>
  <si>
    <t xml:space="preserve">&gt;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</si>
  <si>
    <t xml:space="preserve">- Amazon's operating margin stalls below 14% next quarter despite the robot rollout — the savings would be one-off, not structural.</t>
  </si>
  <si>
    <t xml:space="preserve">Portfolio: $655,382 market value on $552,392 cost — up $102,990, or 18.6%. Cash $13,997.90, though the AMZN contract hasn't settled yet, so roughly $11,992 is genuinely free.</t>
  </si>
  <si>
    <t xml:space="preserve">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</si>
  <si>
    <t xml:space="preserve">The only residual is that $254 commission drift — on POEMS basis my net capital is $566,821 vs your sheet's $567,075. Trim those six cost rows (TER/ANET/MU/NVDA/CRWD/TSM) and they'll tie to the dollar. Want me to note that as a fix in your reconciliation reminder so it doesn't get forgotten?</t>
  </si>
  <si>
    <t xml:space="preserve">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</si>
  <si>
    <t xml:space="preserve">| Budget | Takes APH from $2,004 to ~$3,935 of a $10,000 budget — still only 39% deployed |</t>
  </si>
  <si>
    <t xml:space="preserve">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</si>
  <si>
    <t xml:space="preserve">⚠️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</si>
  <si>
    <t xml:space="preserve">&gt; Summary in one line: Buy APH at a $148.50 limit for ~$1,930. Sit on your hands for META until tomorrow morning. Everything else on both notes is either overpriced, mispriced, or broken.</t>
  </si>
  <si>
    <t xml:space="preserve">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</si>
  <si>
    <t xml:space="preserve">APLD, CIFR, and HUT are live in the Neocloud group (now 6 names alongside IREN, NBIS, CRWV) across the dashboard, workbook, and dad's link — 92 tickers total.</t>
  </si>
  <si>
    <t xml:space="preserve">&gt;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</si>
  <si>
    <t xml:space="preserve">These belong in the same mental bucket as your existing "To Be Sold" neocloud names — high-torque call options on AI power, sized to lose. Want me to pull the actual signed-contract backlog on APLD and HUT to see which one's buildout is de-risked by real customer commitments?</t>
  </si>
  <si>
    <t xml:space="preserve">Dashboard note 043fb31</t>
  </si>
  <si>
    <t xml:space="preserve">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</si>
  <si>
    <t xml:space="preserve">- Why AppLovin Stock Fell 24% in the First Half of 2026 — Motley Fool (https://www.fool.com/investing/2026/07/22/why-applovin-stock-fell-24-in-the-first-half-of-20/)</t>
  </si>
  <si>
    <t xml:space="preserve">- AppLovin Q2 2026 results set for Aug. 5 (https://www.stocktitan.net/news/APP/app-lovin-to-announce-second-quarter-2026-g1xc29828pv2.html)</t>
  </si>
  <si>
    <t xml:space="preserve">1. Add "APP" to the SaaS group — that is AppLovin, currently $419.98, up 3.4% today, market cap $141B, 32 analysts with an average target of $656. It would slot into SaaS cleanly.</t>
  </si>
  <si>
    <t xml:space="preserve">Both are straightforward. The IBM move is a five-minute change; adding AppLovin needs a full research pass to fill in all 31 data fields the dashboard tracks. Say the word and I will do both and push them.</t>
  </si>
  <si>
    <t xml:space="preserve">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</si>
  <si>
    <t xml:space="preserve">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</si>
  <si>
    <t xml:space="preserve">&gt;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</si>
  <si>
    <t xml:space="preserve">AppLovin reported Q2 after the close on Aug 5, about five hours ago. This matters because it was on your list.</t>
  </si>
  <si>
    <t xml:space="preserve">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</si>
  <si>
    <t xml:space="preserve">Quick one — I already have ARM's full data from the parked watchlist sweep, so no research needed. Adding it to Computing Chips as a watchlist column (no budget, no position):</t>
  </si>
  <si>
    <t xml:space="preserve">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</si>
  <si>
    <t xml:space="preserve">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</si>
  <si>
    <t xml:space="preserve">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</si>
  <si>
    <t xml:space="preserve">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</si>
  <si>
    <t xml:space="preserve">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</si>
  <si>
    <t xml:space="preserve">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</si>
  <si>
    <t xml:space="preserve">You have live orders working for tonight — IREN, NBIS, MU. That's enough action for one session, Salee. The best trade on ARM today is patience. 🎯</t>
  </si>
  <si>
    <t xml:space="preserve">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</si>
  <si>
    <t xml:space="preserve">💡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</si>
  <si>
    <t xml:space="preserve">Done — SBUX and the Consumer/F&amp;B group are gone from every surface. The board is back to its clean state: 47 held positions, 3 watchlist (ARM, ASTS, SpaceX), 11 groups, Pillar 4 staying pure to its AI thesis. Probably the right call — the +1.4% consensus upside was doing the arguing for you.</t>
  </si>
  <si>
    <t xml:space="preserve">✅ UNH is on the board — new teal Healthcare group, watchlist column, blank budget/position. Deployed to dad's link and delivered above. The board now: 47 held + 6 watching (ARM, ASTS, SpaceX, SBUX, MCD, UNH) across 13 groups.</t>
  </si>
  <si>
    <t xml:space="preserve">ARM was refreshed Jul 28 but is denied today — the entitlement shrank. That reframes the verdict. Now building the staleness marker.</t>
  </si>
  <si>
    <t xml:space="preserve">Dashboard note 45067db</t>
  </si>
  <si>
    <t xml:space="preserve">Jul 31, 2026 · close — 47 held names marked to the POEMS positions screen; watchlist refreshed to Jul 31 closes (&gt;6% movers verified vs 2nd source) — ARM · GLW · HPE · TE · YUM held at Jul 30 close (Jul 31 print unverified), EOSE at Jul 29, FN held at Jul 28 (no verified fresh close)</t>
  </si>
  <si>
    <t xml:space="preserve">&gt;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</si>
  <si>
    <t xml:space="preserve">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</si>
  <si>
    <t xml:space="preserve">All 45 reconciled. One flag: ASML shows as held in my data but isn't in the POEMS statement — likely exited. Let me check it and verify the totals tie to POEMS.</t>
  </si>
  <si>
    <t xml:space="preserve">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</si>
  <si>
    <t xml:space="preserve">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</si>
  <si>
    <t xml:space="preserve">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</si>
  <si>
    <t xml:space="preserve">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</si>
  <si>
    <t xml:space="preserve">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</si>
  <si>
    <t xml:space="preserve">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</si>
  <si>
    <t xml:space="preserve">⚠️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</si>
  <si>
    <t xml:space="preserve">Second — ASML at $1,250 only (~$5,000). Skip the $1,380 rung. With cash this tight, spend it at the better price. Dad is already up 22.7% here; there is no cost-basis repair to do, only opportunistic adding.</t>
  </si>
  <si>
    <t xml:space="preserve">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</si>
  <si>
    <t xml:space="preserve">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</si>
  <si>
    <t xml:space="preserve">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</si>
  <si>
    <t xml:space="preserve">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</si>
  <si>
    <t xml:space="preserve">Conviction: High that nothing cheaper is reachable. Medium-Low that FactSet actually works. Horizon: immediate. What changes my mind: FactSet returning a live price for a non-whitelisted name like ASML or MU — that single call decides whether you spend $588 this year or $0.</t>
  </si>
  <si>
    <t xml:space="preserve">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</si>
  <si>
    <t xml:space="preserve">ASML, MU, AVGO, LRCX, AMAT, KLAC, ORCL, VRT, GEV, ANET, IREN, SKHY, LITE, ALAB — the entire semi-cap and infrastructure core of your book — cannot be auto-priced at all. Every mark on 40% of your capital depends on you screenshotting POEMS by hand.</t>
  </si>
  <si>
    <t xml:space="preserve">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</si>
  <si>
    <t xml:space="preserve">| `batch-market-cap` with 10 non-listed names only (AVGO, ORCL, MA, CRM, MU, ASML, AMAT, LRCX, KLAC, QCOM) | ACCESS DENIED — the whole call |</t>
  </si>
  <si>
    <t xml:space="preserve">The dark 36 include four positions above $15K — AVGO $32.6K, MU $27.5K, ASML $21.5K, AMAT $17.1K — plus ANET, ISRG, CRDO, MRVL, CRWD, ETN, PANW, LRCX, ORCL, VST, LITE, ALAB, CEG, CGNX, TER, KLAC, VRT, AMKR, AVAV, APH, ZETA, SKHY, CDNS, CRM, GEV, IREN, QCOM, BWXT, ONDS, RKLB, IBM, MPWR.</t>
  </si>
  <si>
    <t xml:space="preserve">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</si>
  <si>
    <t xml:space="preserve">| Space | RKLB (Rocket Lab), ASTS (AST SpaceMobile), SPACEX — all pure orbital/launch/satellite |</t>
  </si>
  <si>
    <t xml:space="preserve">Conviction: High. What would change my mind: if stockanalysis.com's quote page ever starts serving stale snapshots at scale the way it did on ASTS, rather than on one name in sixty.</t>
  </si>
  <si>
    <t xml:space="preserve">- ⚠️ Space, Defense &amp; Robotics is the one red group: −25% ($24.0K cost → $17.9K). ISRG −24%, AVAV −32%, IONQ −21%, ONDS −36% — small individually, but as a basket it's bleeding. Worth a dedicated conversation when you have time.</t>
  </si>
  <si>
    <t xml:space="preserve">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</si>
  <si>
    <t xml:space="preserve">| Drone &amp; Defense | PLTR (Palantir), AVAV (AeroVironment), ONDS (Ondas), MDB (per your defense placement) |</t>
  </si>
  <si>
    <t xml:space="preserve">4. The rotation trade. "One company's capex is another's revenue." The money Google is spending flows to NVDA, AVGO, the memory makers, and power names — so the market sells the payer and buys the beneficiaries.</t>
  </si>
  <si>
    <t xml:space="preserve">So for the narrow question *"can I see AVGO's current price without paying FMP?"* — you already can, today, free. It's in the tape.</t>
  </si>
  <si>
    <t xml:space="preserve">Dashboard note 1b482a9</t>
  </si>
  <si>
    <t xml:space="preserve">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</si>
  <si>
    <t xml:space="preserve">Dashboard note 4fd57a6</t>
  </si>
  <si>
    <t xml:space="preserve">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</si>
  <si>
    <t xml:space="preserve">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</si>
  <si>
    <t xml:space="preserve">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</si>
  <si>
    <t xml:space="preserve">3. BWXT is crossed out on Dad's note — I have treated it as cancelled and did not include it in the recommendation.</t>
  </si>
  <si>
    <t xml:space="preserve">I did preserve everything useful the jobs did — the earnings-related fundamentals refresh on ETN, CCJ, MPWR, TEM and YUM is intact. Only the prices were overridden.</t>
  </si>
  <si>
    <t xml:space="preserve">CDNS is gone (totals now $547,844 cost / $625,683 MV, +14.2%). IREN and NBIS sit in a maroon ⚠ To Be Sold band with red SELL badges on their cards — impossible to forget they're on death row. When you execute the sales, just tell me and I'll remove them like CDNS.</t>
  </si>
  <si>
    <t xml:space="preserve">The two loose threads, whenever you're ready: budget numbers for row 10, and the FMP Starter decision (~฿1,000/mo for full-book Street signals). And when IREN or NBIS actually sell — one word and they leave the book like CDNS did.</t>
  </si>
  <si>
    <t xml:space="preserve">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</si>
  <si>
    <t xml:space="preserve">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</si>
  <si>
    <t xml:space="preserve">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</si>
  <si>
    <t xml:space="preserve">| 1 | ⚠ CDNS is back | 6 sh, cost $2,007.28 (avg $334.55) | Removed — you told me it was fully sold Jul 20 | Re-added under SaaS, metrics rebuilt |</t>
  </si>
  <si>
    <t xml:space="preserve">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</si>
  <si>
    <t xml:space="preserve">Cost basis: $544,094 − $536,988 = +$7,106 — same story: ORCL +$7,316, IONQ +$3,569, ISRG −$1,764, CDNS −$2,007, MU fee −$8.56 → +$7,106 ✓. Both legs reconcile with zero unexplained residual, which is what tells me the current book is right, not just close.</t>
  </si>
  <si>
    <t xml:space="preserve">All tied up then — book matches POEMS to the cent, and dad's link will pull the same build on his next refresh. Whenever you have the fills for the CDNS buy-back, ISRG add, ORCL trim, and IONQ exit, send them over and I'll complete the trading-activity log with exact realized P&amp;L.</t>
  </si>
  <si>
    <t xml:space="preserve">Dashboard note a09a721</t>
  </si>
  <si>
    <t xml:space="preserve">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</si>
  <si>
    <t xml:space="preserve">Keep that ~$5,150 in reserve, because two of your own holdings report this week: CEG tomorrow (Aug 6) and VST Friday (Aug 7). If either sells off on the print, that's your money to use.</t>
  </si>
  <si>
    <t xml:space="preserve">| CIFR | Cipher Mining | $23.15 | near high | +38% | −428% | 6.42 | Most leveraged, thinnest margins ⚠️ |</t>
  </si>
  <si>
    <t xml:space="preserve">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</si>
  <si>
    <t xml:space="preserve">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</si>
  <si>
    <t xml:space="preserve">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</si>
  <si>
    <t xml:space="preserve">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</si>
  <si>
    <t xml:space="preserve">Growing a third faster with fewer people, while the core risk metric improves 16 points. That's a machine learning to underwrite.</t>
  </si>
  <si>
    <t xml:space="preserve">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</si>
  <si>
    <t xml:space="preserve">-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</si>
  <si>
    <t xml:space="preserve">CORZ stays in Neocloud Watch as you asked. Nothing else touched: 126 stocks, held cost $566,141.82, cash $13,200.76, zero errors on the page.</t>
  </si>
  <si>
    <t xml:space="preserve">&gt; 🎯 My pick: CRDO — add to your existing position. Conviction: Medium-High, horizon Medium (6–24m).</t>
  </si>
  <si>
    <t xml:space="preserve">Ah — that explains "these 2." ZETA joins IBM + CRM in "SaaS"; To Be Sold = IREN and NBIS only:</t>
  </si>
  <si>
    <t xml:space="preserve">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</si>
  <si>
    <t xml:space="preserve">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</si>
  <si>
    <t xml:space="preserve">Tell me whether to wait for the Jul 29 close before writing prices, or push this intraday mark now with the ASOF label changed to reflect it — and I'll re-check the CRM cost figure against the screenshot either way.</t>
  </si>
  <si>
    <t xml:space="preserve">- CRM: portal shows 11 × 171.64273 = 1,888.07, which is exactly what the board carries. My earlier 1,878.07 was a digit slip.</t>
  </si>
  <si>
    <t xml:space="preserve">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</si>
  <si>
    <t xml:space="preserve">| CRM (Salesforce) | Priced per seat. Stock has lagged the software sector through 2025–26 and trades well below its historic multiples — the market is already pricing this fear. Agentforce is the defence (8,000+ paid deals). |</t>
  </si>
  <si>
    <t xml:space="preserve">| CRM ✅ | $192.98 | +27% | 9.1× | ✅ Equally cheap, and analysts have *not* given up |</t>
  </si>
  <si>
    <t xml:space="preserve">&gt;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</si>
  <si>
    <t xml:space="preserve">If you DID buy TSM (~$5,153 left): do one name only, and make it CRM — 25 shares ≈ $4,833.06, leaving about $320.</t>
  </si>
  <si>
    <t xml:space="preserve">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</si>
  <si>
    <t xml:space="preserve">CRM is the tightest of the three new ones at $1,258 left, which is about 6–7 more shares. You just added 10 shares an hour ago, so that's probably the right amount of restraint anyway.</t>
  </si>
  <si>
    <t xml:space="preserve">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</si>
  <si>
    <t xml:space="preserve">Dashboard note 9c0eff7</t>
  </si>
  <si>
    <t xml:space="preserve">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</si>
  <si>
    <t xml:space="preserve">Dashboard note b5fdfc1</t>
  </si>
  <si>
    <t xml:space="preserve">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</si>
  <si>
    <t xml:space="preserve">- All 48 positions — every name from your broker statement, cost basis tied to the penny ($549,851.07). CRWV and APP excluded (zero shares — closed). CRWD reflects its July 4-for-1 split.</t>
  </si>
  <si>
    <t xml:space="preserve">| ZETA | Chips Manufacturing | Parked next to CRWD/PANW, your other software names — weakest fit of the seven |</t>
  </si>
  <si>
    <t xml:space="preserve">Tell me any you want moved. Also flagging: your note puts CRWD and PANW under Chips-MFG — cybersecurity in a fab group. I followed the note, but wanted you to see it consciously. And ORCL carries your "?" — left in Hyperscalers pending your verdict.</t>
  </si>
  <si>
    <t xml:space="preserve">The fix in your sheet (one row): CRWD → Remaining QTY 40, Total QTY Bought 40, Average Cost $97.98 (your $3,919 ÷ 40), everything else recalculates. Your total will land on $635,013 and tie POEMS exactly. The dashboard already handles this correctly — I split-adjusted CRWD when we built it.</t>
  </si>
  <si>
    <t xml:space="preserve">$7,646 −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</si>
  <si>
    <t xml:space="preserve">ZS (Zscaler), NET (Cloudflare), FTNT (Fortinet) into Chips Manufacturing (g=2) — where CRWD and PANW already sit, so the cyber names have company there. Pulling fundamentals.</t>
  </si>
  <si>
    <t xml:space="preserve">ZS, NET, and FTNT are live in Chips Manufacturing (alongside the CRWD/PANW cyber names already there) — and that tips the board to a round 100 tickers across 15 groups.</t>
  </si>
  <si>
    <t xml:space="preserve">Creating the Cybersecurity group (16th group) and moving all five cyber names — CRWD, PANW, ZS, NET, FTNT — out of Chips Manufacturing into it. No re-research needed; just group scaffolding + reassignment.</t>
  </si>
  <si>
    <t xml:space="preserve">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</si>
  <si>
    <t xml:space="preserve">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</si>
  <si>
    <t xml:space="preserve">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</si>
  <si>
    <t xml:space="preserve">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</si>
  <si>
    <t xml:space="preserve">| DDOG | Yes, $4.46B guided | Beat and raised — and fell 22% | ✅ The pick |</t>
  </si>
  <si>
    <t xml:space="preserve">Two days ago I told you not to buy MELI while it was gapping down in the morning. DDOG is also gapping down. I owe you the distinction rather than pretending there isn't one.</t>
  </si>
  <si>
    <t xml:space="preserve">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</si>
  <si>
    <t xml:space="preserve">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</si>
  <si>
    <t xml:space="preserve">&gt;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</si>
  <si>
    <t xml:space="preserve">ZETA's stored all-time high reads $25.95 — which is *below* its own stored price of $27.07 and *below* its verified 52-week high of $28.50. That's mathematically impossible. It's the exact same bug I found and fixed on DDOG yesterday.</t>
  </si>
  <si>
    <t xml:space="preserve">Datadog is software that watches over companies' computer systems and tells them when something breaks. Think of it as the smoke detectors and security cameras for a company's technology — once you've installed them everywhere, you don't rip them out.</t>
  </si>
  <si>
    <t xml:space="preserve">Plus ~$125K reserved for names you don't hold yet: Memory 40K (SKHY·SNDK·WDC·DELL), Photonic 20K (COHR·FN·AOI), Energy 40K (LEU·OKLO·EOSE…), Space 25K (ASTS·SpaceX), ARM unbudgeted.</t>
  </si>
  <si>
    <t xml:space="preserve">All three in — DELL, HPE, SMCI wiring into Memory &amp; Storage (g=3). One flag before I do: these are AI-*server* makers, not memory/storage chips, so they're a category stretch in that group — I'll place them where you asked and note it.</t>
  </si>
  <si>
    <t xml:space="preserve">DELL, HPE, and SMCI are live in the Memory &amp; Storage group (95 tickers total) across the dashboard, workbook, and dad's link.</t>
  </si>
  <si>
    <t xml:space="preserve">&gt;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</si>
  <si>
    <t xml:space="preserve">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</si>
  <si>
    <t xml:space="preserve">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</si>
  <si>
    <t xml:space="preserve">One data note: Dell's +263% YTD move (from ~$121 to $438) is eye-popping — I cross-checked it against two sources ($437.50 and $440) and the market cap / P/E all tie out internally, so it's real, but if it looks off to you versus your broker, tell me and I'll re-verify.</t>
  </si>
  <si>
    <t xml:space="preserve">One small cleanup for whenever you have 30 seconds: that stray "RSN" Enterprise trial you created — leave it alone and it expires harmlessly in 31 days, or delete it at github.com/enterprises/rsn → Settings if you want a tidy account.</t>
  </si>
  <si>
    <t xml:space="preserve">⚠️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</si>
  <si>
    <t xml:space="preserve">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</si>
  <si>
    <t xml:space="preserve">NBIS at 0 and IREN at 45 sh / $1,735.17 confirmed clean against Monday's bookings, and I refreshed the small intraday price drifts (ETN, LITE, MPWR, ZETA).</t>
  </si>
  <si>
    <t xml:space="preserve">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</si>
  <si>
    <t xml:space="preserve">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</si>
  <si>
    <t xml:space="preserve">Energy drops from 18 names to 12 and is now much cleaner — it's the electrification-and-power-equipment bucket (ETN, VRT, GEV, VST, NEE, MPWR) plus the small alternative-energy watchlist, rather than a catch-all.</t>
  </si>
  <si>
    <t xml:space="preserve">You asked me to add FLNC and then asked me to consider it as today's buy. Between those two things, the company reported earnings. The timing matters enormously.</t>
  </si>
  <si>
    <t xml:space="preserve">| FLNC | Yes, $2.6B revenue | Missed by 19%, cut guidance, down ~23% | ❌ Falling knife |</t>
  </si>
  <si>
    <t xml:space="preserve">They beat both numbers and raised their forecast for the whole year. That is the opposite of what APP and FLNC just did.</t>
  </si>
  <si>
    <t xml:space="preserve">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</si>
  <si>
    <t xml:space="preserve">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</si>
  <si>
    <t xml:space="preserve">Dashboard note 0edbb4a</t>
  </si>
  <si>
    <t xml:space="preserve">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</si>
  <si>
    <t xml:space="preserve">FTNT (Fortinet) is the quality anchor — the only *profitable* one, 27% net margin, 132% ROE, 80% gross margins, throwing off $2.4B of real free cash flow. At 49× forward it's not cheap, but you're buying an actual cash machine, not a promise.</t>
  </si>
  <si>
    <t xml:space="preserve">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</si>
  <si>
    <t xml:space="preserve">| Skip | FTNT | Analyst target is 19% *below* the price; 49× forward | High |</t>
  </si>
  <si>
    <t xml:space="preserve">And to close out Dad's note: none of his nine limits are triggered. The closest is HUBB, still 14.4% above his $430; the furthest is FTNT, 40.6% above his $100. He's set patient prices — nothing to do on that list today.</t>
  </si>
  <si>
    <t xml:space="preserve">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</si>
  <si>
    <t xml:space="preserve">💡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</si>
  <si>
    <t xml:space="preserve">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</si>
  <si>
    <t xml:space="preserve">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</si>
  <si>
    <t xml:space="preserve">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</si>
  <si>
    <t xml:space="preserve">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</si>
  <si>
    <t xml:space="preserve">Reported Jul 22 after close. The headline was a beat; the stock fell ~5–6% anyway. GOOGL now sits in the low $340s on our book — down from ~$375 pre-print, still ~12% above dad's $300 limit.</t>
  </si>
  <si>
    <t xml:space="preserve">2. The cash machine broke — temporarily. Negative FCF removes the thing that justified GOOGL's premium. You re-rate a stock hard when its defining feature disappears, even for a quarter.</t>
  </si>
  <si>
    <t xml:space="preserve">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</si>
  <si>
    <t xml:space="preserve">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</si>
  <si>
    <t xml:space="preserve">New POEMS statement — GOOGL got a +7-share add on the post-earnings dip, and prices moved. Let me reconcile.</t>
  </si>
  <si>
    <t xml:space="preserve">The one position change: GOOGL +7 shares at ~$319.38 ($2,235.64), booked to the Jul 24 trade log. You now hold 205 shares, avg cost still a very low $269.88 (+17.7% unrealized). Cash moved $25,394 → $23,158.59.</t>
  </si>
  <si>
    <t xml:space="preserve">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</si>
  <si>
    <t xml:space="preserve">Reconciled — spreadsheet and dashboard are aligned. All share counts match to the position (including GOOGL at 205 sh in both), 258 buys / 13 sells, and the latest GOOGL +7 add on Jul 23 is captured in both. Let me confirm the cost/total ties, then set up the daily discipline.</t>
  </si>
  <si>
    <t xml:space="preserve">| 2 | GOOGL | 8× engineering speed; falling AI serving cost | ★★★★☆ CEO stated | $356.13 (Jul 31) | 28.0× | +20% | High |</t>
  </si>
  <si>
    <t xml:space="preserve">Two years of engineering work, done in three months. If that spreads across Alphabet's engineering organisation, it doesn't reduce headcount — it means the same engineers ship eight times more product.</t>
  </si>
  <si>
    <t xml:space="preserve">Two exact matches. Verifying one NYSE name plus GOOGL (its quote page is serving a cached Jul 31 snapshot).</t>
  </si>
  <si>
    <t xml:space="preserve">All four verified exactly (MSFT 487.65, META 590.24, TSM 406.11, GOOGL 373.51) — the POEMS "Current Price" column is the official Aug 3 close, not an intraday mark. I can use all 47.</t>
  </si>
  <si>
    <t xml:space="preserve">Items 1 and 2 are quick. LMND and HINGE are new names needing full fundamentals research — roughly a couple of hours' work each to do properly rather than sloppily. Say the word and I'll start; I'd suggest doing APP right away since it's live on Dad's buy list.</t>
  </si>
  <si>
    <t xml:space="preserve">"HGE"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</si>
  <si>
    <t xml:space="preserve">LMND and HNGE were already there from yesterday — Lemonade sits in Fintech / Digital Platform at $54.11, Hinge Health in Healthcare at $79.42. Nothing needed doing.</t>
  </si>
  <si>
    <t xml:space="preserve">Dad also corrected himself on the note — he crossed out "HGE" and wrote HNGE. That's the right ticker.</t>
  </si>
  <si>
    <t xml:space="preserve">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</si>
  <si>
    <t xml:space="preserve">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</si>
  <si>
    <t xml:space="preserve">| HOOD ✅ | $92.80 | +32% | ✅ All 26 analyst targets sit above today's price |</t>
  </si>
  <si>
    <t xml:space="preserve">&gt; HOOD — Conviction: Medium · Horizon: Medium (6–24 months)
&gt; What would prove me wrong: two consecutive quarters of falling monthly funded customers. Robinhood's whole story is customer growth; if that stalls, the premium valuation has nothing holding it up.</t>
  </si>
  <si>
    <t xml:space="preserve">That last point is the same structural signal I used on TSM. The *lowest* target any of the 26 analysts has on Robinhood is $100 — above the $92.80 price. When the biggest bear on the desk still sees upside, you're not fighting the crowd.</t>
  </si>
  <si>
    <t xml:space="preserve">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</si>
  <si>
    <t xml:space="preserve">Dashboard note 1940032</t>
  </si>
  <si>
    <t xml:space="preserve">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</si>
  <si>
    <t xml:space="preserve">Dashboard note 881af96</t>
  </si>
  <si>
    <t xml:space="preserve">Aug 8: renamed group 'Fintech / Digital Platform' -&gt; 'Digital Fintech' (group index 14 unchanged, so all 7 members - V, MA, PYPL, HOOD, SOFI, NU, LMND - carry over automatically with their data, positions and group P&amp;L intact; label change only).</t>
  </si>
  <si>
    <t xml:space="preserve">| HPE | HP Enterprise | $47.69 | 12.4 | 0.42 | +23% | 4% | Cheapest; Juniper deal integrating |</t>
  </si>
  <si>
    <t xml:space="preserve">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</si>
  <si>
    <t xml:space="preserve">| Watch | HUBB | Only +9.9% over limit, +20% to target — but modest vs the others | Low |</t>
  </si>
  <si>
    <t xml:space="preserve">| HUBB $502.24 | Hubbell | Beat and raised on grid modernization and data centres. The steadiest of the four — lowest volatility. |</t>
  </si>
  <si>
    <t xml:space="preserve">| IBM | Large services/consulting arm sells human hours. AI compresses the hours. |</t>
  </si>
  <si>
    <t xml:space="preserve">2. Move "IBM" from SaaS to Quantum — this makes real sense. Quantum currently holds just one name (IONQ), and IBM is one of the two or three most serious quantum-computing efforts in the world. It is arguably mis-filed where it is.</t>
  </si>
  <si>
    <t xml:space="preserve">Both checked with fresh data — and one of them changes the tactical picture, so read the INTC part before you place anything.</t>
  </si>
  <si>
    <t xml:space="preserve">✅ INTC condition check — both conditions still unmet, but ⚠ earnings are TOMORROW</t>
  </si>
  <si>
    <t xml:space="preserve">&gt; Of everything you hold, Intel is the position where the price has run furthest beyond what the business is doing.</t>
  </si>
  <si>
    <t xml:space="preserve">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</si>
  <si>
    <t xml:space="preserve">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</si>
  <si>
    <t xml:space="preserve">Clear orders — executing: ORCL stays in Hyperscalers (question mark resolved), CDNS removed entirely (sold), IREN·NBIS·ZETA into a flagged "⚠ To Be Sold" bucket, BWXT confirmed in Energy, and a new Software group for CRM + IBM (Quantum becomes IONQ solo).</t>
  </si>
  <si>
    <t xml:space="preserve">⚠️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</si>
  <si>
    <t xml:space="preserve">2. Unbudgeted holdings: ONDS ($1.4K), IONQ ($2.8K), IBM, CRM, ZETA ($5.6K combined) — plus IREN/NBIS (To Be Sold, correctly zero). If Quantum and SaaS are zero-allocation by intent, these five are implicitly exit candidates too — worth confirming.</t>
  </si>
  <si>
    <t xml:space="preserve">| 4 | ⚠ IONQ gone | Not on statement | 81 sh, $3,569.26 | Position zeroed — kept visible as a Quantum watchlist row |</t>
  </si>
  <si>
    <t xml:space="preserve">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</si>
  <si>
    <t xml:space="preserve">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</si>
  <si>
    <t xml:space="preserve">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</si>
  <si>
    <t xml:space="preserve">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</si>
  <si>
    <t xml:space="preserve">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</si>
  <si>
    <t xml:space="preserve">The machine is now: live tape → daily API closes → weekly API fundamentals + revision flags → auto-deployed to your artifact, your workbook, and dad's LINE-able link. Still open whenever you're ready: budget numbers for row 10, and the word "sold" on IREN/NBIS.</t>
  </si>
  <si>
    <t xml:space="preserve">💡 One actionable observation: IREN — sitting in your ⚠ To Be Sold bucket — just ripped +19.6% in a single session and flipped your position from −13% to +4% unrealized. If the exit decision stands, strength like this is what you sell into; you're being handed your cost basis back.</t>
  </si>
  <si>
    <t xml:space="preserve">Now — the IREN/NBIS exit. Here's my plan, thinking like someone who's had to unwind positions without donating the gains back to the market:</t>
  </si>
  <si>
    <t xml:space="preserve">- Time stop: Friday Jul 31 — NBIS gets two weeks because the uptrend is intact and the Street's $244 average target gives the second tranche a genuine tailwind; IREN gets one because its rally is squeeze-flavored, not estimate-driven.</t>
  </si>
  <si>
    <t xml:space="preserve">- IREN and NBIS: current price, opening gap, distance to your next limit and to the floor</t>
  </si>
  <si>
    <t xml:space="preserve">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</si>
  <si>
    <t xml:space="preserve">When fills happen, just tell me — "sold 45 IREN at 40" or "both done" — and I'll log the realized P&amp;L, update the book everywhere, retire the ⚠ To Be Sold band, and delete this watch. Good hunting, Salee. 🫡</t>
  </si>
  <si>
    <t xml:space="preserve">| Sell 45 IREN, limit $40.00, GTC | "Sell half my IREN as soon as anyone pays $40+" (price is ~there now → fills almost instantly, locking the squeeze gain) |</t>
  </si>
  <si>
    <t xml:space="preserve">| Sell 45 IREN, limit $44.00, GTC | "Sell the other half only if the rally stretches another 10%" |</t>
  </si>
  <si>
    <t xml:space="preserve">- The floor (IREN below $35.50 / NBIS below $164): if price drops through it, the rally is over — you cancel the remaining limit orders and sell at market (= "sell now at whatever the current price is"). This is the fire exit. Without it, "to be sold" quietly becomes "riding it down 40%."</t>
  </si>
  <si>
    <t xml:space="preserve">-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</si>
  <si>
    <t xml:space="preserve">- Quiet night: "IREN $39.80, no levels touched, 2 days to time stop. NBIS $185, tranche-1 level exceeded — check your fill." → glance, done, 10 seconds.</t>
  </si>
  <si>
    <t xml:space="preserve">- ⚠ Floor breach: "IREN below $35.50 — plan says cancel remaining limits and sell at market." → you open the broker app and act.</t>
  </si>
  <si>
    <t xml:space="preserve">- ⚠ Time-stop day: "Today is Jul 24 — anything IREN unsold sells at market before the 03:00 close." → same.</t>
  </si>
  <si>
    <t xml:space="preserve">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</si>
  <si>
    <t xml:space="preserve">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</si>
  <si>
    <t xml:space="preserve">Already running: the 20:45 evening watch covers MU alongside the IREN/NBIS exits starting tonight — fills, invalidation, reserve signal, earnings date.</t>
  </si>
  <si>
    <t xml:space="preserve">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</si>
  <si>
    <t xml:space="preserve">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</si>
  <si>
    <t xml:space="preserve">Tonight's complete ticket stands at six orders: four sells (IREN/NBIS), two buys (MU). Watch fires at 20:45. Report fills as they land, Salee — and good hunting. 🎯</t>
  </si>
  <si>
    <t xml:space="preserve">Everything stands ready for tonight: six orders on your ticket (IREN ×2, NBIS ×2, MU ×2), trade watch firing at 20:45, and the full refresh machinery humming on schedule.</t>
  </si>
  <si>
    <t xml:space="preserve">Movers (Fri→Mon close): ▲ IREN +19.6% (+$592) · ONDS +5.2% · CRDO +4.6% (+$507) · LITE +4.5% · TER +3.5% — ▼ ORCL −4.0% (−$474) · TSLA −3.0% · PANW −2.8% · RKLB −2.8% · KLAC −2.4%</t>
  </si>
  <si>
    <t xml:space="preserve">*The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</si>
  <si>
    <t xml:space="preserve">The workbook carries the new positions too (NBIS zeroed, IREN 45 sh, MU 29.45 sh), recalc clean. And nice discipline on the NBIS exit — that's a +51.9% realized gain on a name we'd flagged To Be Sold, sold into strength rather than hope. 🎯</t>
  </si>
  <si>
    <t xml:space="preserve">First, the plan you already have: finish IREN today. 45 sh left, ~$1,858, sitting +7% above cost, time stop is Friday Jul 24 anyway. A 0.3%-of-book residual in the To Be Sold bucket earns nothing but attention. Execute tranche 2, close the bucket.</t>
  </si>
  <si>
    <t xml:space="preserve">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</si>
  <si>
    <t xml:space="preserve">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</si>
  <si>
    <t xml:space="preserve">⚠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</si>
  <si>
    <t xml:space="preserve">💡 Your night's fills also locked in the real Jul 21 numbers (replacing my at-close estimates in the trade log): NBIS exit went at ~$194.85 avg → realized +$1,405 (not my +$2,000 est — the fills were below Monday's close), and IREN tranche 1 at ~$40.76 → +$99. The log now shows actuals, no more asterisks.</t>
  </si>
  <si>
    <t xml:space="preserve">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</si>
  <si>
    <t xml:space="preserve">Two events in those screenshots: NVDA BUY 9 sh @ $211.0599 (executed Jul 25, order done) and the IREN SELL @ $45 was Withdrawn (cancelled — no fill, IREN position unchanged). Let me look at how the current NVDA cost basis, cash, and trade log are structured so I update consistently.</t>
  </si>
  <si>
    <t xml:space="preserve">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</si>
  <si>
    <t xml:space="preserve">| IREN SELL | $45 limit Withdrawn — no fill, position unchanged (45 sh, still flagged To-Be-Sold) |</t>
  </si>
  <si>
    <t xml:space="preserve">📊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</si>
  <si>
    <t xml:space="preserve">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</si>
  <si>
    <t xml:space="preserve">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</si>
  <si>
    <t xml:space="preserve">Monday was a big up day. Ten of your holdings moved more than 6%: ONDS +9.9%, LITE +9.2%, ORCL +9.2%, VRT +8.9%, RKLB +8.4%, IREN +8.0%, AVAV +6.6%, ISRG +6.3%, CRWD +6.1%, META +6.0%. AMZN and ETN both closed at new 52-week highs.</t>
  </si>
  <si>
    <t xml:space="preserve">Deep research done. Here's the full picture on ISRG — and it's a genuinely important one, because it's your biggest percentage loser (33 sh, cost $438.94, now $332 = −24.4%, −$3,528 unrealized).</t>
  </si>
  <si>
    <t xml:space="preserve">The setup: ISRG reported Q2 CY2026 on Jul 16 after close, the stock fell ~11–12% the next day, and it's now down ~30% YTD — it broke below its 200-week moving average for the first time in years. Your entry at $439 was near the highs; the whole move down happened after.</t>
  </si>
  <si>
    <t xml:space="preserve">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</si>
  <si>
    <t xml:space="preserve">6. Sector contagion + technical break. HCA Healthcare cut its outlook Jul 14, dragging *all* medtech down two days before ISRG reported. The stock then sliced through its 200-week trendline — a decisive technical breakdown that pulled in momentum sellers.</t>
  </si>
  <si>
    <t xml:space="preserve">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</si>
  <si>
    <t xml:space="preserve">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</si>
  <si>
    <t xml:space="preserve">Let me get ISRG's exact forward PE math so the alert triggers on the right price, then set up the watch.</t>
  </si>
  <si>
    <t xml:space="preserve">Important nuance before I set this up — the two conditions don't bind the way they might seem. I verified ISRG's current forward PE is ~29.5× (at $332, on ~$11.2 consensus forward EPS), already *below* dad's 40× gate. So:</t>
  </si>
  <si>
    <t xml:space="preserve">- The 40× forward condition is already satisfied today — ISRG isn't expensive on forward earnings anymore; that's exactly what the 30% de-rating did.</t>
  </si>
  <si>
    <t xml:space="preserve">Net: the alert = flag when ISRG hits $300 or below. Let me set up a daily watch.</t>
  </si>
  <si>
    <t xml:space="preserve">Let me confirm the ISRG trigger got created, then handle the trade-order fix and the earnings-update request.</t>
  </si>
  <si>
    <t xml:space="preserve">ISRG watch is live (fires Tue–Sat mornings Bangkok; pushes only when it hits $300). Now the trade-order fix and the earnings automation.</t>
  </si>
  <si>
    <t xml:space="preserve">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</si>
  <si>
    <t xml:space="preserve">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</si>
  <si>
    <t xml:space="preserve">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</si>
  <si>
    <t xml:space="preserve">Sounds good, Salee. Everything's saved and current — dashboard, workbook, and dad's link all reconciled to POEMS Jul 24, and your four scheduled tasks (ISRG $300 watch, earnings-day refresh, daily reconciliation reminder, Monday full refresh) are running in the background.</t>
  </si>
  <si>
    <t xml:space="preserve">The one I would *not* chase is ISRG — it popped +1.7% today to $337, it's the furthest of the "quality" names from dad's $310 line, and dad's real add-thesis is the $300 / 40× forward-PE level we flagged. $337 is nowhere near it. That scheduled alert will ping you when it's actually there.</t>
  </si>
  <si>
    <t xml:space="preserve">- ACA subsidy uncertainty — if premium subsidies lapse, patients defer elective/"deferrable" procedures, which is exactly Intuitive's volume base.</t>
  </si>
  <si>
    <t xml:space="preserve">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</si>
  <si>
    <t xml:space="preserve">The two worth watching are ISRG and META. ISRG needs a 6.5% pullback and META 7.2% — both are one bad session away, not one bad quarter away. Everything else needs a 10–40% drawdown, which is a different kind of event entirely.</t>
  </si>
  <si>
    <t xml:space="preserve">Answer to your original question stands: nothing is triggered. ISRG at −5.6% is still the only one within reach.</t>
  </si>
  <si>
    <t xml:space="preserve">Dashboard note 140a88d</t>
  </si>
  <si>
    <t xml:space="preserve">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</si>
  <si>
    <t xml:space="preserve">JNJ is on the dashboard — but I put it in Healthcare, not Consumer or Robotic, and I'd push back on both of your instincts. Here's the honest reasoning:</t>
  </si>
  <si>
    <t xml:space="preserve">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</si>
  <si>
    <t xml:space="preserve">D/E now sits in Fundamentals (after Profit margin, before Rule of 40), and KO/JNJ metrics are filled. Recalcing the workbook and deploying.</t>
  </si>
  <si>
    <t xml:space="preserve">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</si>
  <si>
    <t xml:space="preserve">TEM = Tempus AI (healthcare genomics/AI diagnostics) — fits the Healthcare group next to JNJ/UNH. Let me pull its fundamentals.</t>
  </si>
  <si>
    <t xml:space="preserve">TEM (Tempus AI) is now on all three surfaces, sitting in Healthcare alongside JNJ and UNH — as a watchlist entry, no position held.</t>
  </si>
  <si>
    <t xml:space="preserve">KO's in Consumer/F&amp;B — let me fix its metrics entry (the append missed) and move D/E to Fundamentals as you asked.</t>
  </si>
  <si>
    <t xml:space="preserve">YUM = Yum! Brands (KFC / Pizza Hut / Taco Bell) — fits the Consumer/F&amp;B group where KO sits, and it's squarely in your operator wheelhouse. Let me pull its fundamentals, then wire it into all three surfaces (dashboard, workbook, dad's link).</t>
  </si>
  <si>
    <t xml:space="preserve">Group 11 (Consumer/F&amp;B) confirmed — YUM slots in next to KO as a watchlist entry. Now let me pull YUM's fundamentals.</t>
  </si>
  <si>
    <t xml:space="preserve">YUM (Yum! Brands) is now on all three surfaces — dad's live link, the dashboard, and the workbook — sitting in Consumer / F&amp;B right next to KO, as a watchlist entry (no position held).</t>
  </si>
  <si>
    <t xml:space="preserve">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</si>
  <si>
    <t xml:space="preserve">I recovered their V/KO/PYPL data before resetting, and it makes me more concerned, not less: their prices came in V +3.0%, KO +8.7%, PYPL +3.9% above mine — all one direction, on a same-day refresh. That's the same failure signature as the job that once wrote MSFT $381 against a verified ~$421.</t>
  </si>
  <si>
    <t xml:space="preserve">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</si>
  <si>
    <t xml:space="preserve">Separate from the clobber — that job has now printed two suspicious price sets. MSFT at $381 against a verified ~$421, and this week V +3.0% / KO +8.7% / PYPL +3.9% above mine, all in the same direction on a same-day refresh. KO moving 8.7% in a day would be a headline event; it wasn't one.</t>
  </si>
  <si>
    <t xml:space="preserve">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</si>
  <si>
    <t xml:space="preserve">LITE — no. 114.7x trailing, 37.8x forward, down 21% in three sessions, and it reports August 11. Insiders sold $38.9M with literally zero buying. Three reasons to wait, one date to wait for.</t>
  </si>
  <si>
    <t xml:space="preserve">&gt;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</si>
  <si>
    <t xml:space="preserve">Third — LITE at $530 or below, ~$3,700, after August 11. Last in the queue because it's the lowest-quality balance sheet of the three and it's the only one with a hard event gate.</t>
  </si>
  <si>
    <t xml:space="preserve">⚠️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</si>
  <si>
    <t xml:space="preserve">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</si>
  <si>
    <t xml:space="preserve">| 5 | LMND | Loss ratio 78% → 62%, fewer staff | ★★★★☆ Reported | $48.31 | n/a (loss) | +27% | Medium (small, volatile) |</t>
  </si>
  <si>
    <t xml:space="preserve">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</si>
  <si>
    <t xml:space="preserve">NET is currently in Cybersecurity — I'll move it to SaaS. LMND is a genuinely new ticker, so it needs a full fundamentals record. Gathering that now.</t>
  </si>
  <si>
    <t xml:space="preserve">Two more to add. Let me resolve the LMND price conflict and research both new tickers in parallel.</t>
  </si>
  <si>
    <t xml:space="preserve">- Equity research snapshot — the flagship for you: consensus estimates vs actuals, forward estimates by quarter, fundamentals, and price performance from the same feed the sell-side uses. Sharper than free aggregators on estimate detail (EPS/revenue by period, revision momentum).</t>
  </si>
  <si>
    <t xml:space="preserve">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</si>
  <si>
    <t xml:space="preserve">The full research note is delivered — in the chat above and saved to your ClaudeCoWork/P4 folder. Four pages, six sections; read section 5 first since that's the one that answers your actual question.</t>
  </si>
  <si>
    <t xml:space="preserve">On it — Google research and the three new dashboard metrics (Price/FCF, EV/EBITDA, D/E — the ones from dad's note) in parallel. Let me grab the ticker list and kick off both.</t>
  </si>
  <si>
    <t xml:space="preserve">My stored forward PE (30.8) conflicts with the ~46× the research cited — I need the current number before setting a price trigger. Let me verify.</t>
  </si>
  <si>
    <t xml:space="preserve">Eight energy names — nuclear SMRs (OKLO, SMR, NNE), uranium (CCJ), solar/storage (TE, EOSE, ENPH) and a utility (NEE) — all into the Energy group (g=5). That's a lot of fundamentals to pull accurately, so I'll fan out the research across two agents, then wire the results in myself.</t>
  </si>
  <si>
    <t xml:space="preserve">You picked all three baskets — that's 13 fintech/platform names. Let me fan out the fundamentals research across three agents, then wire them all into the new group at once.</t>
  </si>
  <si>
    <t xml:space="preserve">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</si>
  <si>
    <t xml:space="preserve">APP's print landed — and it's decisive. Launching the remaining research in parallel.</t>
  </si>
  <si>
    <t xml:space="preserve">Research is complete. Now checking field conventions before writing the two new records.</t>
  </si>
  <si>
    <t xml:space="preserve">| LUNR | Space | $12.92 | −72% | +54% | −33% | avg $41 (+216%) | Lunar-lander pure-play, pre-profit |</t>
  </si>
  <si>
    <t xml:space="preserve">| LWLG | No — $243K revenue | Reports in 5 days, no coverage | ❌ Lottery ticket |</t>
  </si>
  <si>
    <t xml:space="preserve">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</si>
  <si>
    <t xml:space="preserve">Dashboard note c3da38d</t>
  </si>
  <si>
    <t xml:space="preserve">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</si>
  <si>
    <t xml:space="preserve">On it — three changes: THB columns on Group Summary, prominent win-rate %, and three new watchlist names. Let me pull data for MDB, OUST, ROK first.</t>
  </si>
  <si>
    <t xml:space="preserve">⚠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</si>
  <si>
    <t xml:space="preserve">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</si>
  <si>
    <t xml:space="preserve">| MELI | $1,922.57 | +15% | ⏸️ Cheapest cash flow of the lot, but reported last night, fell 4.5%, margins down 550bps. Same timing trap as APP |</t>
  </si>
  <si>
    <t xml:space="preserve">- META is the anomaly — fattest margin in your book (81.9% GM) at one of the cheapest multiples (23.5x). That's the "cheap · fat margin ✓" corner, and it's only your 5th-largest position.</t>
  </si>
  <si>
    <t xml:space="preserve">-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</si>
  <si>
    <t xml:space="preserve">I have partial numbers from memory (NVDA ~$43K, MSFT ~$34K, GOOGL ~$33K, AMZN ~$25K, META ~$24K position values), but those are stale and I don't have your actual cost basis, share counts, or anything for AAPL/ORCL — I won't guess on numbers that drive your P&amp;L.</t>
  </si>
  <si>
    <t xml:space="preserve">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</si>
  <si>
    <t xml:space="preserve">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</si>
  <si>
    <t xml:space="preserve">- VST $160 and META $600 — the quality names in the ~4% zone. These I'd happily set as GTC limits; a normal down day in an earnings-heavy week (META reports Jul 30) could fill either.</t>
  </si>
  <si>
    <t xml:space="preserve">If you want *one* order working today, make it META at $600 — best business of the three, and its Jul 30 print is the kind of event that can hand you the 4% dip. Set it GTC, size it to your Hyperscaler budget room, and let it sit.</t>
  </si>
  <si>
    <t xml:space="preserve">Found it — META (fell to $606.10 post its own capex read) was in the statement but I missed it in my price map. Fixing.</t>
  </si>
  <si>
    <t xml:space="preserve">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</si>
  <si>
    <t xml:space="preserve">Conviction: High (on "wait") · Horizon: Immediate · What changes my mind: META prints &lt; $600, NVDA &lt; $200, or you correct one of the three ambiguous limits above and it turns out something's already through.</t>
  </si>
  <si>
    <t xml:space="preserve">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</si>
  <si>
    <t xml:space="preserve">⚠️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</si>
  <si>
    <t xml:space="preserve">The winners carrying the +11.61%: AMD (+97%), AMAT (+115%), INTC (+103%), PANW (+86%), CRWD (+84%), LRCX (+56%). The drags: MSFT (−13.5%, −$6,850 — your single biggest dollar loss), META (−10.6%, −$3,933), ORCL (−27.9%), ISRG (−18.7%), TSLA (−28%). MU is now +49% and sitting at $900 after dad's $869 add — nice timing confirmed.</t>
  </si>
  <si>
    <t xml:space="preserve">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</si>
  <si>
    <t xml:space="preserve">First — META $560 and $535 (~$8,760). Highest conviction, cheapest on cash flow, and the catalyst is tonight, so it's the first band that can realistically fill. This gets funded before anything else.</t>
  </si>
  <si>
    <t xml:space="preserve">⚠️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</si>
  <si>
    <t xml:space="preserve">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</si>
  <si>
    <t xml:space="preserve">&gt; Recommendation: no, don't buy MSFT at market today. Work a limit at $402 for 22 shares (~$8,844), which closes the $60,000 MSFT budget almost exactly. And META goes first.</t>
  </si>
  <si>
    <t xml:space="preserve">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</si>
  <si>
    <t xml:space="preserve">Conviction: META first, High. MSFT at market for the remaining budget, Medium-High. What would change my mind: META guiding 2027 capex above ~$135B without a Reels/AI revenue line to match — that's the number that turns the discount into a value trap.</t>
  </si>
  <si>
    <t xml:space="preserve">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</si>
  <si>
    <t xml:space="preserve">The covered 11 are your biggest by value — NVDA $78.4K, GOOGL $68.4K, MSFT $51.0K, AMZN $47.6K, TSM $41.5K, META $30.2K, AMD $26.7K, AAPL $15.3K, PLTR $4.9K, INTC $4.1K, TSLA $3.1K. That's why the dashboard looked fine for a while: the fat end of the book kept updating.</t>
  </si>
  <si>
    <t xml:space="preserve">That's what happened. TradingView ships the page with the price left blank, to be filled in live once the page is running. What I read was leftover junk sitting in the box. $646.01 was never Meta's price — it was a number that happened to be lying in the file.</t>
  </si>
  <si>
    <t xml:space="preserve">Dashboard note 680b95b</t>
  </si>
  <si>
    <t xml:space="preserve">Jul 30, 2026 · close (23 tickers refreshed via FMP; remainder Jul 29 close — data source limited) — fundamentals refreshed Jul 30 (post-earnings: MSFT · META-week reporters)</t>
  </si>
  <si>
    <t xml:space="preserve">Meta Ads needs you to authorize it in your Claude connector settings before I can touch it. Unrelated to this task, just noting it.</t>
  </si>
  <si>
    <t xml:space="preserve">4. Your own brokerage statement. Eight mega-caps — AAPL, AMZN, NVDA, MSFT, GOOGL, META, TSM, AVGO — matched the POEMS screen exactly, to the penny, on all three sources. That's the calibration that says the method works.</t>
  </si>
  <si>
    <t xml:space="preserve">*(MU, APP, META, TSM are live Aug 3 quotes; the rest are Friday Jul 31 closes.)*</t>
  </si>
  <si>
    <t xml:space="preserve">META is arguably the *better business case* on this list — and today is the wrong day to pay for it.</t>
  </si>
  <si>
    <t xml:space="preserve">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</si>
  <si>
    <t xml:space="preserve">| Limit order | META @ ~$556–565 | Cheapest mega-cap multiple; don't chase today's +6% gap | High / Medium on entry |</t>
  </si>
  <si>
    <t xml:space="preserve">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</si>
  <si>
    <t xml:space="preserve">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</si>
  <si>
    <t xml:space="preserve">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</si>
  <si>
    <t xml:space="preserve">| Wait 2 days | APP | Earnings Aug 5 decides the Google/Meta threat question | High |</t>
  </si>
  <si>
    <t xml:space="preserve">One housekeeping note: the Meta Ads connector needs you to authorize it in your claude.ai connector settings before I can use it — I can't run that sign-in from here.</t>
  </si>
  <si>
    <t xml:space="preserve">Meta just gave me the cleanest data point in the entire market. Digging into the next tier.</t>
  </si>
  <si>
    <t xml:space="preserve">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</si>
  <si>
    <t xml:space="preserve">- Meta's headcount starts rising again while capex keeps climbing — that means the AI isn't substituting for people, it's an additional cost on top.</t>
  </si>
  <si>
    <t xml:space="preserve">&gt; If you buy one name today, buy META. It is the only stock on Dad's list that is *cheaper* this morning than it was last night. Every other name on the list is asking you to pay a premium for news that broke after Dad wrote the note.</t>
  </si>
  <si>
    <t xml:space="preserve">A "moat" just means: if a competitor wanted to take this business away, could they? For META the answer is still no, and the Q2 numbers actually made the case *stronger*, not weaker.</t>
  </si>
  <si>
    <t xml:space="preserve">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</si>
  <si>
    <t xml:space="preserve">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</si>
  <si>
    <t xml:space="preserve">META is at $581.74 right now (Aug 4, 2026, 11:04 AM EDT, −1.44% today), against a 52-week high of $796.25. That's a 27% fall from the top.</t>
  </si>
  <si>
    <t xml:space="preserve">That's META. The $130–145 billion is being spent on data centres and chips for AI. Zuckerberg believes whoever has the most computing power wins the next decade, and he is spending like he means it.</t>
  </si>
  <si>
    <t xml:space="preserve">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</si>
  <si>
    <t xml:space="preserve">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</si>
  <si>
    <t xml:space="preserve">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</si>
  <si>
    <t xml:space="preserve">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</si>
  <si>
    <t xml:space="preserve">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</si>
  <si>
    <t xml:space="preserve">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</si>
  <si>
    <t xml:space="preserve">The dashboard's fair-value band says it is too cheap. Twenty-three analysts put Meta's reasonable range at $700 to $880. Today's price is below even the *bottom* of that band. Not one of the other nine names is below the low end of its own band.</t>
  </si>
  <si>
    <t xml:space="preserve">|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</si>
  <si>
    <t xml:space="preserve">| Daily users | 3.6 billion | Roughly 4 in every 10 people alive open a Meta app every day |</t>
  </si>
  <si>
    <t xml:space="preserve">Changes I made from your note: MPWR moved to Energy (your note lists it there — 5K) and group 4 renamed "Memory &amp; Storage."</t>
  </si>
  <si>
    <t xml:space="preserve">Dashboard note 217d94c</t>
  </si>
  <si>
    <t xml:space="preserve">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</si>
  <si>
    <t xml:space="preserve">- MSFT and ORCL sit almost on top of each other (~66-68% GM, ~22-23x) — the market is pricing Oracle like Microsoft on these two axes, despite wildly different FCF profiles. That's either your ORCL opportunity or the market telling you something.</t>
  </si>
  <si>
    <t xml:space="preserve">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</si>
  <si>
    <t xml:space="preserve">- Option volatility analysis — vol surfaces and Greeks; useful if you ever sell covered calls against NVDA/MSFT.</t>
  </si>
  <si>
    <t xml:space="preserve">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</si>
  <si>
    <t xml:space="preserve">⚠️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</si>
  <si>
    <t xml:space="preserve">One thing I noticed and did not chase: the board carries MSFT at $393.35, but my note from the earlier incident says the verified price then was ~$421. One of those is wrong and it's a held position. Want me to reconcile it?</t>
  </si>
  <si>
    <t xml:space="preserve">On MSFT — question closed. POEMS shows $394.59 against the board's $393.35, 0.3% apart. The board was right; the "~$421" figure in my incident notes was the bad number, not the price on the page. No correction needed.</t>
  </si>
  <si>
    <t xml:space="preserve">Microsoft reported Q4 FY2026 after the close on Jul 29. The ladder's $390.54 is that day's close — pre-earnings. The stock gapped +8.9% to roughly $418–425 overnight. So "current price" isn't $390 and MSFT isn't sitting at 20% of its 52-week range any more; at $425 it's at about 37%.</t>
  </si>
  <si>
    <t xml:space="preserve">Your MSFT position: 113 sh, avg cost $449.72. At $425 you're down $2,770 (−5.5%) — the gap already repaired most of a $6,687 hole.</t>
  </si>
  <si>
    <t xml:space="preserve">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</si>
  <si>
    <t xml:space="preserve">My words last turn: *"if MSFT closes above $440 on heavy volume with the 45% Azure guide intact, the gap isn't filling and I'm being clever for $500 on 22 shares — take it at market and move on."*</t>
  </si>
  <si>
    <t xml:space="preserve">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</si>
  <si>
    <t xml:space="preserve">| 3 | MSFT | $500m saved; 30% of code AI-written | ★★★★☆ Executive stated | $481.90 | 23.6× | +17% | Medium-High |</t>
  </si>
  <si>
    <t xml:space="preserve">Judson Althoff, Chief Commercial Officer, on record: Microsoft saved approximately $500 million in its call centres alone using AI. Nadella: 30% of Microsoft's code is already written by AI.</t>
  </si>
  <si>
    <t xml:space="preserve">Q4 operating margin 45.1%. Azure +43%. Microsoft 365 Copilot passed 30 million paid seats — which makes Microsoft both an applier *and* a seller.</t>
  </si>
  <si>
    <t xml:space="preserve">MSFT Aug 3 close = $487.65 — exactly the POEMS figure. Confirming with two more.</t>
  </si>
  <si>
    <t xml:space="preserve">- MU is the single best trade on the sheet: +187.7% YTD, +51% on your position, and the Street's $1,486 avg target still implies +75% — though at these levels I'd treat that target with healthy skepticism; memory cycles cut both ways.</t>
  </si>
  <si>
    <t xml:space="preserve">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</si>
  <si>
    <t xml:space="preserve">Good — then let's mirror the selling machine on the buy side. Same philosophy: you decide the *what*, we engineer the *how*, and automation removes emotion from the *when*. Using MU as the live example, here's the full support stack:</t>
  </si>
  <si>
    <t xml:space="preserve">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</si>
  <si>
    <t xml:space="preserve">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</si>
  <si>
    <t xml:space="preserve">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</si>
  <si>
    <t xml:space="preserve">Want me to build the real MU buy plan now — exact earnings date, fresh revision check, tuned levels — or park the template until you're ready to deploy?</t>
  </si>
  <si>
    <t xml:space="preserve">On it — pulling fresh MU data first (the market's open right now, so these are live numbers):</t>
  </si>
  <si>
    <t xml:space="preserve">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</si>
  <si>
    <t xml:space="preserve">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</si>
  <si>
    <t xml:space="preserve">Your two orders tonight: BUY 6 MU @ limit $860 GTC · BUY 6 MU @ limit $780 GTC — that's it. The third tranche (~6 sh at ~$700) deliberately has *no* order; it waits for my ⚠ signal confirming the thesis is intact if price ever gets there.</t>
  </si>
  <si>
    <t xml:space="preserve">Standing rules: cancel unfilled nets if MU closes below $650 or estimates turn down · no new buying within 5 days of fiscal Q4 earnings (~late Sept, exact date being confirmed by the watch) · everything fits inside your $14.6K budget room.</t>
  </si>
  <si>
    <t xml:space="preserve">2. The comp table cuts both ways: SK Hynix and Samsung trade at 5-6x forward vs MU's ~12x. MU's premium buys you the only NASDAQ-listed pure play and the only US-domiciled supplier — defensible, but it means MU has the most multiple to lose if Samsung's yields fix and supply floods.</t>
  </si>
  <si>
    <t xml:space="preserve">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</si>
  <si>
    <t xml:space="preserve">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</si>
  <si>
    <t xml:space="preserve">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</si>
  <si>
    <t xml:space="preserve">| BUY MU 2 sh @ $921.01 | Avg cost now $585.20 on 29.45 sh — MU closed $970.82 (+12.2% day), unrealized +65.9% | — |</t>
  </si>
  <si>
    <t xml:space="preserve">| 5 | MU cost | $17,242.60 | $17,234.04 | +$8.56 — commission/fees on the +2 sh fill; avg cost is $585.49, not $585.20 |</t>
  </si>
  <si>
    <t xml:space="preserve">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</si>
  <si>
    <t xml:space="preserve">&gt;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</si>
  <si>
    <t xml:space="preserve">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</si>
  <si>
    <t xml:space="preserve">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</si>
  <si>
    <t xml:space="preserve">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</si>
  <si>
    <t xml:space="preserve">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</si>
  <si>
    <t xml:space="preserve">&gt; `Transaction In` row 61 — the MU lot (5 sh @ $365) has Commission (L61) = $58.56, while every other MU lot is $8.56. That extra $50 is MU's *entire* $50.00 drift. It looks like a fat-finger (an extra "5" in the commission).</t>
  </si>
  <si>
    <t xml:space="preserve">Fix: set L61 = 8.56 (or reduce J61 by $50). MU then ties to POEMS exactly. This is the one I'd correct with confidence.</t>
  </si>
  <si>
    <t xml:space="preserve">Bottom line: all fixes happen in `Transaction In`, columns G / L (price / commission). MU row 61 is the guaranteed win; the rest are small commission trims. Once done, your MAIN_2 "Total Investment" drops by $254 and ties to POEMS — and to my dashboard — to the cent.</t>
  </si>
  <si>
    <t xml:space="preserve">The only open item waiting on you is the `Transaction In` cleanup — MU row 61 is the guaranteed $50 fix, plus the small commission trims on the other five. Whenever you're back, just send the day's POEMS screenshot and I'll pick it up from there. 📊</t>
  </si>
  <si>
    <t xml:space="preserve">2026-07-27</t>
  </si>
  <si>
    <t xml:space="preserve">Dad's list (buy-below limits) with a note: "Prefer ③ or ⑥" (TSM or MU) and "Check Claude 1–6." Let me pull live prices for all six against his limits.</t>
  </si>
  <si>
    <t xml:space="preserve">Live prices are in, and one number needs resolving before I answer — MU came back conflicting ($920.95 vs $874), and MU is dad's preferred #6, so whether it's under his $900 limit is the whole question. Let me nail it.</t>
  </si>
  <si>
    <t xml:space="preserve">Only one name is actually at its limit today: ONDS. Both of dad's preferred picks (TSM ③, MU ⑥) are still above their lines — though MU is close after a rough day.</t>
  </si>
  <si>
    <t xml:space="preserve">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</si>
  <si>
    <t xml:space="preserve">⚠️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</si>
  <si>
    <t xml:space="preserve">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</si>
  <si>
    <t xml:space="preserve">That settles it. MU at $869 is through dad's $900 line — buy MU (his preferred ⑥). 🎯</t>
  </si>
  <si>
    <t xml:space="preserve">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</si>
  <si>
    <t xml:space="preserve">&gt; Recommendation: Buy MU today. Dad's ⑥, at $869 vs his &lt;$900 limit — confirmed trigger. Conviction: High.</t>
  </si>
  <si>
    <t xml:space="preserve">Ranking-wise it beats the only other trigger (ONDS at $7.80) on every axis that matters — MU is a real, profitable business riding the HBM/AI-memory cycle; ONDS is an $8 speculative drone micro-cap. If you only make one buy today, it's MU.</t>
  </si>
  <si>
    <t xml:space="preserve">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</si>
  <si>
    <t xml:space="preserve">Dad's MU buy filled — 2 sh @ $869.16 — and the cash screenshot ties out beautifully to my prior reconciliation. Let me confirm the MU cost basis before I update.</t>
  </si>
  <si>
    <t xml:space="preserve">Reconciled to the cent — POEMS live cash = my prior $21,250.49 + the $39.18 ORCL dividend. Now booking the MU fill (trade-date, same as NVDA).</t>
  </si>
  <si>
    <t xml:space="preserve">MU fill booked and everything reconciled — dashboard, workbook, and dad's link all updated.</t>
  </si>
  <si>
    <t xml:space="preserve">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</si>
  <si>
    <t xml:space="preserve">Good discipline on this one, Salee — dad wanted #6, the price came to his limit, and you executed at $869.16, a full ~12% below where MU was trading last week. That's the buy-list working exactly as designed: patience got you a better entry than chasing.</t>
  </si>
  <si>
    <t xml:space="preserve">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</si>
  <si>
    <t xml:space="preserve">⚠️ Salee — before anything else: this is a memory crash day. KOSPI closed −10.84% with a circuit breaker, SK Hynix −14.65% in Seoul, MU −9.75% right now. Let me finish the board update and then give you the answer.</t>
  </si>
  <si>
    <t xml:space="preserve">&gt;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</si>
  <si>
    <t xml:space="preserve">4. Salee มี memory exposure อยู่แล้วผ่าน MU ($18,989 cost) — ซื้อ SKHY วันนี้คือเพิ่ม bet ก้อนเดิมตอนที่มันกำลังแตก</t>
  </si>
  <si>
    <t xml:space="preserve">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</si>
  <si>
    <t xml:space="preserve">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</si>
  <si>
    <t xml:space="preserve">&gt; Don't buy SKHY. If you want more memory-cycle exposure, add to MU or open STX — same thesis, no 20% toll.</t>
  </si>
  <si>
    <t xml:space="preserve">You already hold MU (31.45 sh, cost $18,989, now $820.53) giving you ~$25.8K of memory beta in that exact group. Cash is $19,542.79 and pre-settlement — the NVDA buy clears Jul 30. Spending it on the most expensive wrapper for a thesis you already own is the wrong trade twice over.</t>
  </si>
  <si>
    <t xml:space="preserve">The MU buy is logged. 2 shares at $828.6263 = $1,665.81, contract 396719/400/01, settling Aug 3. That takes you to 33.45 shares at an average cost of $617.4975, and MU is now sitting on roughly +$6,875 unrealized. Budget left on the MU line: $9,344.71.</t>
  </si>
  <si>
    <t xml:space="preserve">MU is the closest name to Dad's limit (+8.8%) — and that's precisely what makes it dangerous. Micron trades at 5.7× forward earnings. That looks absurdly cheap next to everything else on the list.</t>
  </si>
  <si>
    <t xml:space="preserve">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</si>
  <si>
    <t xml:space="preserve">| Hold, don't add | MU | 5.7× forward is a cycle-peak signal, not a bargain | Medium-High |</t>
  </si>
  <si>
    <t xml:space="preserve">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</si>
  <si>
    <t xml:space="preserve">AI sellers make money when *other people* buy AI. Nvidia, TSMC, Micron. When AI spending slows, their revenue slows. You already own a lot of this.</t>
  </si>
  <si>
    <t xml:space="preserve">MU (+5.8%) and SNDK (+8.6%) — riding the same memory-chip rally. Micron is your third-best performer already (+34%). Both fine businesses, both up strongly this morning. Nothing wrong with them; just not today.</t>
  </si>
  <si>
    <t xml:space="preserve">| Sell 13 NBIS, limit $183.00, GTC | "Sell half my NBIS near today's price" (locks in ~+28%) |</t>
  </si>
  <si>
    <t xml:space="preserve">| Sell 14 NBIS, limit $198.00, GTC | "Sell the rest only if it runs toward $200" |</t>
  </si>
  <si>
    <t xml:space="preserve">What the exact numbers changed versus my earlier rounded estimates: I now have the two-lot NBIS exit split correctly (13 sh +$640.88, 14 sh +$763.64 = +$1,404.52), and every other line matched within a dollar. Here's how lifetime realized P&amp;L distributes across your groups:</t>
  </si>
  <si>
    <t xml:space="preserve">&gt;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</si>
  <si>
    <t xml:space="preserve">| NET | Cloudflare | $262.15 | 202 | 4.69 | +34% | −4% | 47 | Fastest growth, wildest valuation ⚠️ |</t>
  </si>
  <si>
    <t xml:space="preserve">⚠️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</si>
  <si>
    <t xml:space="preserve">- NVDA's 74% margin at 31x looks expensive until you remember the PEG of 0.46 — growth is doing the work the multiple can't show on this map.</t>
  </si>
  <si>
    <t xml:space="preserve">The gap and the fix: between Mondays, a big move — say NVDA drops 8% on a Wednesday — would show in the tape but *not* in your G/L or conviction numbers. That's a real blind spot for a $625K book.</t>
  </si>
  <si>
    <t xml:space="preserve">What you'd actually gain over the current stack once connected, concretely for NVDA:</t>
  </si>
  <si>
    <t xml:space="preserve">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</si>
  <si>
    <t xml:space="preserve">🎯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</si>
  <si>
    <t xml:space="preserve">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</si>
  <si>
    <t xml:space="preserve">- Dashboard matrix: new row 3b "Budget remaining ($)" right under cost — green `+$8,518` (NVDA: room to add), red `−$10,630 over` (ORCL)</t>
  </si>
  <si>
    <t xml:space="preserve">NVDA is showing conflicting quotes ($197 vs $235) — that's the borderline name against dad's limit, so let me nail it down.</t>
  </si>
  <si>
    <t xml:space="preserve">The composite below weights growth (30%), quality/returns (25%), margins (15%), and valuation-adjusted-for-growth (30%). NVDA scores +1.64; the next name is +0.52.</t>
  </si>
  <si>
    <t xml:space="preserve">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</si>
  <si>
    <t xml:space="preserve">Runner-up worth naming: TSM. It's the cleanest value on the board — cheapest forward P/E (18.8), lowest EV/EBITDA (18.5), 50% net margin, ROIC 55% — and it's the foundry NVDA physically depends on, so you get most of the same AI tailwind with less single-company risk.</t>
  </si>
  <si>
    <t xml:space="preserve">⚠️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</si>
  <si>
    <t xml:space="preserve">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</si>
  <si>
    <t xml:space="preserve">Want me to pull the actual latest earnings-print details on NVDA and TSM to confirm these snapshots are current before you act?</t>
  </si>
  <si>
    <t xml:space="preserve">You've deployed 89.4% of the NVDA line. At the current ~$208, the remaining $8,518 buys roughly 40 more shares before you hit the $80K cap.</t>
  </si>
  <si>
    <t xml:space="preserve">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</si>
  <si>
    <t xml:space="preserve">2. It's still your single most concentrated name. This is the same flag from the fundamentals question: NVDA is the best business on dad's list *and* already the biggest position. Filling the last $8.5K is defensible on conviction, but it's adding to the one bet that's already largest.</t>
  </si>
  <si>
    <t xml:space="preserve">| NVDA BUY | +9 sh @ $211.06 (limit $211.50, filled) → 392 sh total, avg cost now $187.22 incl. fees |</t>
  </si>
  <si>
    <t xml:space="preserve">⚠️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</si>
  <si>
    <t xml:space="preserve">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</si>
  <si>
    <t xml:space="preserve">💡 คำตอบ: ตั้ง limit order NVDA ที่ $190.00 — ไม่ซื้อ market วันนี้ และห้ามแตะ SKHY</t>
  </si>
  <si>
    <t xml:space="preserve">Order นี้สวยตรงที่มัน ใช้ budget NVDA ที่เหลือให้หมดพอดี — ถ้าไม่ fill วันนี้ก็ไม่เสียอะไร</t>
  </si>
  <si>
    <t xml:space="preserve">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</si>
  <si>
    <t xml:space="preserve">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</si>
  <si>
    <t xml:space="preserve">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</si>
  <si>
    <t xml:space="preserve">เงินสด คงที่ที่ $19,542.79 ตามที่ statement แสดง — ยังเป็นยอดก่อน settlement (T+2) ค่าซื้อ NVDA จะหักออกจริงวันที่ 30 ก.ค.</t>
  </si>
  <si>
    <t xml:space="preserve">Budget NVDA เหลือ headroom $4,642.65 ($80,000 − $75,357.35) — ยิงได้อีกราว 23 หุ้นที่ราคาปัจจุบัน</t>
  </si>
  <si>
    <t xml:space="preserve">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</si>
  <si>
    <t xml:space="preserve">NVDA moved 392 → 402 shares, cost 73,389.84 → 75,357.35. The delta of 1,967.51 equals (10 × 195.895) + 8.56 commission exactly, and total book cost moved by that same 1,967.51 — which proves the NVDA fill was the *only* position change. No hidden trades.</t>
  </si>
  <si>
    <t xml:space="preserve">Cash stays at $19,542.79 — that's the pre-settlement figure; the NVDA purchase hits on T+2 (Jul 30). NVDA budget headroom is now $4,642.65 ($80,000 − $75,357.35), roughly 23 more shares at current price.</t>
  </si>
  <si>
    <t xml:space="preserve">&gt; This is a valuation gap, not a timing call. I'm not telling you to wait for a dip — I got that wrong on NVDA and dad was right to override me at $196. I'm telling you the vehicle is structurally mispriced by ~20% and no amount of patience on the *price* fixes the *premium*.</t>
  </si>
  <si>
    <t xml:space="preserve">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</si>
  <si>
    <t xml:space="preserve">`chart` works and `quote` doesn't — and NVDA $195.04 for Jul 30 ties exactly to the POEMS screen. Let me map the rest of the entitlement boundary.</t>
  </si>
  <si>
    <t xml:space="preserve">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</si>
  <si>
    <t xml:space="preserve">The uncomfortable part: NVDA is *already your largest position* — 402 shares, ~$88,126, 13.0% of your entire equity portfolio. And your own budget line for it ($80,000) is 94% used.</t>
  </si>
  <si>
    <t xml:space="preserve">⚠️ The honest risk: NVDA reports earnings on Aug 26 — company-confirmed, 20 days away. You are buying into the single most-watched earnings report in the market. And the SpaceX news is *already in the price* — the stock rose 3.4% on it Tuesday.</t>
  </si>
  <si>
    <t xml:space="preserve">Buy the full 21 shares of NVDA. That's the $4,643 budget headroom, and you'll still have roughly $10,000 of dry powder left over. No trimming needed.</t>
  </si>
  <si>
    <t xml:space="preserve">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</si>
  <si>
    <t xml:space="preserve">1. You have NVDA budget left. You bought 9 shares; I'd sized 21. Your $80,000 budget is now 96.7% used with $2,667.60 of headroom — about 12 more shares. No pressure to use it, and there's an argument for holding it back until after the Aug 26 earnings report. But it's there if you want it.</t>
  </si>
  <si>
    <t xml:space="preserve">- Safe Superintelligence partnership (Jul 27) — Ilya Sutskever's lab, plus an NVIDIA investment of undisclosed size. *(A Bloomberg headline said $5B; I couldn't verify it, so I'm not quoting it as fact.)*</t>
  </si>
  <si>
    <t xml:space="preserve">- NVIDIA projects $1 trillion+ of data-center spending by the big cloud companies in 2027, versus ~$650B in 2026.</t>
  </si>
  <si>
    <t xml:space="preserve">- NVIDIA Q2 FY2027 earnings date — NVIDIA Newsroom, Jul 29 2026 (https://nvidianews.nvidia.com/news)</t>
  </si>
  <si>
    <t xml:space="preserve">| NVT $162.24 | nVent Electric | Raised full-year guidance twice over on AI liquid-cooling demand; also buying back its own shares. |</t>
  </si>
  <si>
    <t xml:space="preserve">Yes — ONDS is still in your book: 200 shares, cost $2,031, worth ~$1,374 (−32.3%), sitting in Space/Drone/Defense. It just never got a budget line in your allocation note — flag it if that was an oversight or if it belongs on the exit list.</t>
  </si>
  <si>
    <t xml:space="preserve">Your list is a set of buy-below limits — most are sitting *above* your target, waiting for a pullback. Only two names are actually trading below their limit right now. Here's the whole list against last close (Jul 22, POEMS-verified; ONDS live Jul 23):</t>
  </si>
  <si>
    <t xml:space="preserve">&gt;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</si>
  <si>
    <t xml:space="preserve">Ah — that flips the answer completely, and it's the more disciplined list. Re-scoring against the corrected limits (RKLB &lt; $50, ONDS &lt; $7.50):</t>
  </si>
  <si>
    <t xml:space="preserve">- ONDS $7.50 — closest by a hair, but it's your −25% micro-cap; a $7.50 add is at least more disciplined than $8, though I'd keep it small — averaging down on a speculative drone name is how small losers become big ones.</t>
  </si>
  <si>
    <t xml:space="preserve">Dashboard baseline (Jul 24–25) shows ONDS at $7.93 — just under dad's $8 limit — but that's a few days stale and ONDS is volatile. Let me confirm all six live.</t>
  </si>
  <si>
    <t xml:space="preserve">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</si>
  <si>
    <t xml:space="preserve">Nine of ten verified exactly. ONDS is the one mismatch — flagging and correcting it.</t>
  </si>
  <si>
    <t xml:space="preserve">2. Your portfolio's central risk is the AI capex supercycle — and net income can't see it. Depreciation recognizes capex years after the cash leaves. FCF margin captures it *now*. The cleanest example is ORCL:</t>
  </si>
  <si>
    <t xml:space="preserve">Same company, opposite conclusions. ORCL is borrowing to build data centers faster than it collects cash — the FCF version is the one screaming, and given the stock is −63% off its high, the market clearly agrees with the FCF version. That's the metric earning its seat.</t>
  </si>
  <si>
    <t xml:space="preserve">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</si>
  <si>
    <t xml:space="preserve">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</si>
  <si>
    <t xml:space="preserve">Fixed — Hyperscalers now sits at the top of the table where it belongs: $250K budget, $207,443 invested, $217,706 market value, +$10,263 unrealized (+4.9%), and −$1,962 realized from the ORCL trim. Deploying.</t>
  </si>
  <si>
    <t xml:space="preserve">Both changes render correctly — ORCL now shows Realized −$1,962 and Realized % −26.8% alongside the "%" (unrealized %) column. Deploying both the Budget left ฿ and the Realized % additions.</t>
  </si>
  <si>
    <t xml:space="preserve">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</si>
  <si>
    <t xml:space="preserve">- Group map — ORCL 0 → 10. Hyperscalers drops to 5 names, SaaS rises to 10.</t>
  </si>
  <si>
    <t xml:space="preserve">-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</si>
  <si>
    <t xml:space="preserve">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</si>
  <si>
    <t xml:space="preserve">| ORCL | $144.39 | +74% | n/a | ❌ Credit downgraded to BBB−, debt 3× equity, you're 66% over budget already |</t>
  </si>
  <si>
    <t xml:space="preserve">⚠️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</si>
  <si>
    <t xml:space="preserve">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</si>
  <si>
    <t xml:space="preserve">Two names added to existing groups: RBRK (Rubrik) into Cybersecurity at $80.99, and PL (Planet Labs) into Space at $22.83. Both watchlist only, no money in them.</t>
  </si>
  <si>
    <t xml:space="preserve">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</si>
  <si>
    <t xml:space="preserve">| 6 | PLTR | $1.5m revenue/employee, NRR 150% | ★★★★★ Reported | $124.75 | 77.3× | +46% | Low (valuation) |</t>
  </si>
  <si>
    <t xml:space="preserve">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</si>
  <si>
    <t xml:space="preserve">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</si>
  <si>
    <t xml:space="preserve">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</si>
  <si>
    <t xml:space="preserve">It has zero analysts covering it. Not "a few" — none. So there are no price targets at all, and I left those fields blank the same way we handled POET.</t>
  </si>
  <si>
    <t xml:space="preserve">|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</si>
  <si>
    <t xml:space="preserve">| PWR $693.00 | Quanta Services | Beat huge on Jul 30 and raised the year — revenue +41%, backlog $53.4B. Stock jumped 13.65% that day. |</t>
  </si>
  <si>
    <t xml:space="preserve">| Deep value | PYPL | PayPal | 10 | +6% | 15% | Cheapest quality name here, off 28% |</t>
  </si>
  <si>
    <t xml:space="preserve">| RBRK $80.99 | Rubrik | Jumped 8.4% on Aug 4 when Loop Capital started covering it with a Buy and a $100 target. Still loses money and has negative shareholder equity, which is why its ROE and debt ratios show blank. |</t>
  </si>
  <si>
    <t xml:space="preserve">RKLB returned a stale cache — let me get fresh quotes for the whole list via FMP to compare each against your limits.</t>
  </si>
  <si>
    <t xml:space="preserve">If you buy RKLB today: it's a story/momentum name, so treat it as one — GTC limit around $68–69 (don't chase above last close), tranche 1 of a two-part add, keep powder for a dip toward the low $60s. Size it small; it's a call option on Neutron's first launch, not a value position.</t>
  </si>
  <si>
    <t xml:space="preserve">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</si>
  <si>
    <t xml:space="preserve">And notably, RKLB — my pick two minutes ago under the wrong $80 number — is now the *furthest* from triggering at −28%. Good thing you caught the correction; that's exactly why the limit gets written down instead of eyeballed.</t>
  </si>
  <si>
    <t xml:space="preserve">- RKLB: 23 × 84.46 = 1,942.58, board value. The portal's printed Open Qty Cost renders ambiguously, but the total settles it — with 1,942.58 the cost column sums to 546,807.07, tying the portal's printed total to the penny.</t>
  </si>
  <si>
    <t xml:space="preserve">RKLB's quote page is serving a stale Jul 10 snapshot. Falling back to history, and seeding the remaining five.</t>
  </si>
  <si>
    <t xml:space="preserve">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</si>
  <si>
    <t xml:space="preserve">Starbucks — first non-AI name on the board (spoken like a true F&amp;B operator 😄). It doesn't fit any existing group, so I'll create a "Consumer / F&amp;B" watchlist group for it. Pulling data:</t>
  </si>
  <si>
    <t xml:space="preserve">| Spec growth | SHOP | Shopify | 59 | +32% | 11% | Great biz, 84× EV/EBITDA — priced for perfection |</t>
  </si>
  <si>
    <t xml:space="preserve">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</si>
  <si>
    <t xml:space="preserve">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</si>
  <si>
    <t xml:space="preserve">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</si>
  <si>
    <t xml:space="preserve">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</si>
  <si>
    <t xml:space="preserve">ส่วนคำแนะนำ SKHY ที่ผมบอกให้รอผลประกอบการ SK Hynix ก่อน — อันนั้นยังเปิดค้างอยู่ ยังไม่ได้อ่านผล</t>
  </si>
  <si>
    <t xml:space="preserve">My SKHY "wait for the SK Hynix Q2 print" call is still open — I haven't read the results yet.</t>
  </si>
  <si>
    <t xml:space="preserve">SKHY is not SK Hynix at the Seoul price. 1 ADS = 1/10 of a common share. Run the parity:</t>
  </si>
  <si>
    <t xml:space="preserve">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</si>
  <si>
    <t xml:space="preserve">So the question isn't "is SK Hynix cheap." At 4.40x headline forward P/E it obviously looks cheap — though that headline is FY2027 and becomes ~6.1x once you strip the Kioxia one-off. The question is whether you want to buy a ₩1,608,000 asset for the equivalent of ₩1,895,000. You don't.</t>
  </si>
  <si>
    <t xml:space="preserve">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</si>
  <si>
    <t xml:space="preserve">|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</si>
  <si>
    <t xml:space="preserve">Near-term calendar that will move this: Samsung IR call Jul 30, SanDisk FY2026 Aug 5, the post-SK-hynix analyst revision wave, and the Moolenaar/Whitesides Commerce probe into CXMT.</t>
  </si>
  <si>
    <t xml:space="preserve">SKHY is now a held position, not a watchlist name. 15 shares, avg cost $127.55 including fees, order 6239421 filled at $126.9791 against a $127.00 day limit — good execution on the limit itself. Budget set at $10,000 per dad's note, leaving $8,087. Trade logged, THBFX and the July rollup updated.</t>
  </si>
  <si>
    <t xml:space="preserve">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</si>
  <si>
    <t xml:space="preserve">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</si>
  <si>
    <t xml:space="preserve">| SMCI | Super Micro | $30.10 | 8.9 | 0.30 | +56% | 4% | Fastest growth, cheapest — but the risky one ⚠️ |</t>
  </si>
  <si>
    <t xml:space="preserve">One housekeeping note: NuScale's −3,646% margin makes that one cell in the fundamentals matrix look extreme on dad's public dashboard. Want me to cap or dash-out the absurd-scale margins on pre-revenue names so the table stays readable, while keeping the real number in the workbook?</t>
  </si>
  <si>
    <t xml:space="preserve">SNDK and WDC are on the Memory &amp; Storage watchlist (61 names now, live everywhere). And since I had all five candidates' data in hand, here's the head-to-head for your buy question:</t>
  </si>
  <si>
    <t xml:space="preserve">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</si>
  <si>
    <t xml:space="preserve">The 4-lane version breaks the shared bar scale — SNDK sits +2,633% above its 52-week low, which crushes every other bar to a hairline. Restructuring.</t>
  </si>
  <si>
    <t xml:space="preserve">SNDK at +2,633% would have set the scale and flattened every FV / HI / YTD bar on all 107 rows to a 1.5% hairline. I built it, screenshotted it, saw the damage, and reverted. The rationale is now a permanent code comment so nobody re-adds it in six months.</t>
  </si>
  <si>
    <t xml:space="preserve">| SNOW | $316.84 | −6% (targets are BELOW the price) | 81× | ❌ Analysts already think it's too expensive |</t>
  </si>
  <si>
    <t xml:space="preserve">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</si>
  <si>
    <t xml:space="preserve">| SOFI | $18.25 | +9% | ❌ Rated Hold. Six firms *cut* their targets after a beat — that tells you the beat didn't matter |</t>
  </si>
  <si>
    <t xml:space="preserve">Board census: 47 held + 8 watching — ARM, ASTS, SpaceX, SBUX, MCD, UNH, GLW, FN — across 13 groups, everything on the daily/Monday refresh cycle automatically.</t>
  </si>
  <si>
    <t xml:space="preserve">You're absolutely right — SpaceX IPO'd on June 12, 2026 as SPCX on Nasdaq. My dashboard still had it flagged as private with no price. Let me pull its real data and fix the row.</t>
  </si>
  <si>
    <t xml:space="preserve">SpaceX data confirmed. Let me grab the exact analyst target range, then rebuild the SPCX row.</t>
  </si>
  <si>
    <t xml:space="preserve">You were right: SpaceX went public on June 12, 2026 as SPCX on Nasdaq — one of the largest IPOs ever, priced into a ~$1.5T cap. My dashboard still had the old "SpaceX (private) — no listed market data" placeholder. Replaced it with the live ticker and real figures:</t>
  </si>
  <si>
    <t xml:space="preserve">Dashboard note f17af0a</t>
  </si>
  <si>
    <t xml:space="preserve">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</si>
  <si>
    <t xml:space="preserve">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</si>
  <si>
    <t xml:space="preserve">Full data set in hand (TEM is down hard YTD — $66→$43). Wiring it into Healthcare.</t>
  </si>
  <si>
    <t xml:space="preserve">Clean build (68 tickers, TEM in Healthcare). Deploying to dad's link — fetching first in case the daily refresh pushed again.</t>
  </si>
  <si>
    <t xml:space="preserve">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</si>
  <si>
    <t xml:space="preserve">&gt;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</si>
  <si>
    <t xml:space="preserve">The risk that breaks this: Taiwan–China geopolitics. That's not a small risk, and it's the reason TSM trades cheaper than it "should." It's a real discount for a real danger, and Salee should size it knowing that.</t>
  </si>
  <si>
    <t xml:space="preserve">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</si>
  <si>
    <t xml:space="preserve">| Buy today | TSM ~$405 | 19× forward, +33% to target, no event risk, $14k budget free | High |</t>
  </si>
  <si>
    <t xml:space="preserve">- TSM: the *most pessimistic* of 25 analysts says $500. The stock is $417. Even the biggest bear in the room thinks it's 20% too cheap.</t>
  </si>
  <si>
    <t xml:space="preserve">APP has more upside on average (+56% to the average target vs +43% for TSM), but TSM's downside is defended and APP's isn't. On a five-year hold, that asymmetry matters more than the headline upside.</t>
  </si>
  <si>
    <t xml:space="preserve">TSM also just looks cheap for what it is: forward P/E of 18.8, revenue growing 30.6%, earnings growing 53.4%, a 49.9% net profit margin and a 54.6% return on invested capital. That combination barely exists anywhere else at that multiple.</t>
  </si>
  <si>
    <t xml:space="preserve">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</si>
  <si>
    <t xml:space="preserve">I told you to buy nothing today and look at TSM next week. Part of my reasoning was that I could only confirm $5,958 of spendable cash. That reason is now gone — you have the full $18,928 confirmed as your own money, deliberately put there.</t>
  </si>
  <si>
    <t xml:space="preserve">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</si>
  <si>
    <t xml:space="preserve">So: buy TSM now, not next week. Tell Dad his instinct on TSM over APP is right.</t>
  </si>
  <si>
    <t xml:space="preserve">I can't tell whether you bought the 33 TSM shares I recommended yesterday. Your cash balance in the dashboard still reads $18,928 as of Aug 4, and last night's automated refresh only updated prices, not cash. So here are both paths:</t>
  </si>
  <si>
    <t xml:space="preserve">I still don't know whether you bought the 33 TSM shares we discussed. Your cash reads $18,928 as of Aug 4, and the Aug 5 job only refreshed prices, not cash.</t>
  </si>
  <si>
    <t xml:space="preserve">- If you did NOT buy TSM: roughly $18,928 available. A half-size starter of ~$4,500–5,000 is about 20–22 shares at $221.</t>
  </si>
  <si>
    <t xml:space="preserve">- If you DID buy TSM: roughly $5,153 left. That's about 23 shares and would use nearly all your cash — in that case I'd go smaller, around 10 shares, and keep dry powder.</t>
  </si>
  <si>
    <t xml:space="preserve">Sizing depends on something I still don't know — did the 33 TSM shares get bought?</t>
  </si>
  <si>
    <t xml:space="preserve">So it was 4.5 shares, not 33. I had been carrying a worst-case assumption of a ~$13,700 TSM purchase. Actual cost: 4.5 × $416.273 = $1,873.23, plus the $8.56 POEMS commission = $1,881.79.</t>
  </si>
  <si>
    <t xml:space="preserve">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</si>
  <si>
    <t xml:space="preserve">Dashboard note 87497bf</t>
  </si>
  <si>
    <t xml:space="preserve">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</si>
  <si>
    <t xml:space="preserve">- Broadly: if two or three more large firms follow Uber and publicly admit they can't trace AI spending to output, the whole "AI as margin lever" thesis needs rethinking, not just these names.</t>
  </si>
  <si>
    <t xml:space="preserve">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</si>
  <si>
    <t xml:space="preserve">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</si>
  <si>
    <t xml:space="preserve">The guard immediately caught a live bug of mine — WDC's market cap never got rescaled when I corrected its price. Fixing that first.</t>
  </si>
  <si>
    <t xml:space="preserve">Jan-2 reference ~$155.52 (YUM is down slightly YTD). I have the full data set. Let me wire YUM into the source of truth.</t>
  </si>
  <si>
    <t xml:space="preserve">YUM is in the source of truth. Now let me regenerate the dashboard and workbook, then verify.</t>
  </si>
  <si>
    <t xml:space="preserve">Both regenerated (67 tickers). Let me verify the dashboard renders clean and YUM shows up before deploying.</t>
  </si>
  <si>
    <t xml:space="preserve">Clean — the lone console line is just the sandbox blocking an external font, not a JS error. YUM renders in Consumer/F&amp;B. Let me deploy to dad's link and refresh the desktop copy.</t>
  </si>
  <si>
    <t xml:space="preserve">That was a scheduled daily price-refresh touching only watchlist reference prices + the ASOF label. Tomorrow's refresh will re-pull prices anyway, so the clean move is to rebase my YUM build on top of it. Let me layer my commit onto the remote and push.</t>
  </si>
  <si>
    <t xml:space="preserve">| ZETA | $27.07 | +6% | 27× | ❌ Great business, but you own 111 shares and it just jumped 11.6% |</t>
  </si>
  <si>
    <t xml:space="preserve">You already own ZETA — 111 shares at $18.06 cost, now ~+50%. You've already won on this one. Enjoy it; don't chase it.</t>
  </si>
  <si>
    <t xml:space="preserve">- Zeta Global Q2 2026 results — Zeta Investor Relations (https://investors.zetaglobal.com/)</t>
  </si>
  <si>
    <t xml:space="preserve">ZS (Zscaler) sits in between — 56 Rule-of-40 (the best of the three), essentially at breakeven on net income but $960M FCF-positive, and it's down 58% from its high so the valuation has already been reset harder than NET's. Of the two unprofitable names, ZS is the more reasonable entry.</t>
  </si>
  <si>
    <t xml:space="preserve">Commit</t>
  </si>
  <si>
    <t xml:space="preserve">Note stored in the dashboard</t>
  </si>
  <si>
    <t xml:space="preserve">9cf0e91</t>
  </si>
  <si>
    <t xml:space="preserve">Jul 17, 2026 (US close)</t>
  </si>
  <si>
    <t xml:space="preserve">38633c9</t>
  </si>
  <si>
    <t xml:space="preserve">Jul 20, 2026 (US close)</t>
  </si>
  <si>
    <t xml:space="preserve">724110b</t>
  </si>
  <si>
    <t xml:space="preserve">Jul 21, 2026 (US close)</t>
  </si>
  <si>
    <t xml:space="preserve">3db7062</t>
  </si>
  <si>
    <t xml:space="preserve">Jul 22, 2026 (POEMS statement, intraday)</t>
  </si>
  <si>
    <t xml:space="preserve">ae9cd28</t>
  </si>
  <si>
    <t xml:space="preserve">Jul 22, 2026 (US close · POEMS Jul 23)</t>
  </si>
  <si>
    <t xml:space="preserve">e0e44f5</t>
  </si>
  <si>
    <t xml:space="preserve">Jul 24, 2026 (POEMS live)</t>
  </si>
  <si>
    <t xml:space="preserve">eba49cb</t>
  </si>
  <si>
    <t xml:space="preserve">Jul 24, 2026 (US close)</t>
  </si>
  <si>
    <t xml:space="preserve">57636d3</t>
  </si>
  <si>
    <t xml:space="preserve">Jul 25, 2026 (POEMS live)</t>
  </si>
  <si>
    <t xml:space="preserve">c1539a0</t>
  </si>
  <si>
    <t xml:space="preserve">Jul 27, 2026 (POEMS live)</t>
  </si>
  <si>
    <t xml:space="preserve">9bb615d</t>
  </si>
  <si>
    <t xml:space="preserve">Jul 27, 2026 (US close)</t>
  </si>
  <si>
    <t xml:space="preserve">c7b35f2</t>
  </si>
  <si>
    <t xml:space="preserve">Jul 28, 2026 (POEMS reconciled)</t>
  </si>
  <si>
    <t xml:space="preserve">a6596df</t>
  </si>
  <si>
    <t xml:space="preserve">Jul 28, 2026 · 10:00 EDT (memory selloff, intraday)</t>
  </si>
  <si>
    <t xml:space="preserve">3d4a03c</t>
  </si>
  <si>
    <t xml:space="preserve">Jul 28, 2026 · close (POEMS statement reconciled)</t>
  </si>
  <si>
    <t xml:space="preserve">de9db26</t>
  </si>
  <si>
    <t xml:space="preserve">Jul 28, 2026 (US close)</t>
  </si>
  <si>
    <t xml:space="preserve">5fdc1dd</t>
  </si>
  <si>
    <t xml:space="preserve">Jul 29, 2026 · earnings refresh V/KO/PYPL (POEMS statement reconciled)</t>
  </si>
  <si>
    <t xml:space="preserve">e02e182</t>
  </si>
  <si>
    <t xml:space="preserve">Jul 29, 2026 · intraday (POEMS)</t>
  </si>
  <si>
    <t xml:space="preserve">33bae80</t>
  </si>
  <si>
    <t xml:space="preserve">Jul 30, 2026 · intraday (POEMS holdings)</t>
  </si>
  <si>
    <t xml:space="preserve">c4889e3</t>
  </si>
  <si>
    <t xml:space="preserve">Jul 29, 2026 · close</t>
  </si>
  <si>
    <t xml:space="preserve">255e117</t>
  </si>
  <si>
    <t xml:space="preserve">Jul 29, 2026 · close — fundamentals refreshed Jul 30 (post-earnings: MSFT · META-week reporters)</t>
  </si>
  <si>
    <t xml:space="preserve">680b95b</t>
  </si>
  <si>
    <t xml:space="preserve">97dee22</t>
  </si>
  <si>
    <t xml:space="preserve">45067db</t>
  </si>
  <si>
    <t xml:space="preserve">852fe7d</t>
  </si>
  <si>
    <t xml:space="preserve">Jul 31, 2026 · close — all 107 names verified at the Jul 31 close</t>
  </si>
  <si>
    <t xml:space="preserve">266571f</t>
  </si>
  <si>
    <t xml:space="preserve">2e5ac49</t>
  </si>
  <si>
    <t xml:space="preserve">8662e5a</t>
  </si>
  <si>
    <t xml:space="preserve">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</si>
  <si>
    <t xml:space="preserve">105fbae</t>
  </si>
  <si>
    <t xml:space="preserve">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</si>
  <si>
    <t xml:space="preserve">9111ef9</t>
  </si>
  <si>
    <t xml:space="preserve">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</si>
  <si>
    <t xml:space="preserve">83f5b7d</t>
  </si>
  <si>
    <t xml:space="preserve">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</si>
  <si>
    <t xml:space="preserve">7e7d133</t>
  </si>
  <si>
    <t xml:space="preserve">3eac88f</t>
  </si>
  <si>
    <t xml:space="preserve">87497bf</t>
  </si>
  <si>
    <t xml:space="preserve">9c0eff7</t>
  </si>
  <si>
    <t xml:space="preserve">a09a721</t>
  </si>
  <si>
    <t xml:space="preserve">effe9e9</t>
  </si>
  <si>
    <t xml:space="preserve">1228826</t>
  </si>
  <si>
    <t xml:space="preserve">ed9555c</t>
  </si>
  <si>
    <t xml:space="preserve">1b482a9</t>
  </si>
  <si>
    <t xml:space="preserve">4fd57a6</t>
  </si>
  <si>
    <t xml:space="preserve">b5fdfc1</t>
  </si>
  <si>
    <t xml:space="preserve">217d94c</t>
  </si>
  <si>
    <t xml:space="preserve">043fb31</t>
  </si>
  <si>
    <t xml:space="preserve">faac89e</t>
  </si>
  <si>
    <t xml:space="preserve">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</si>
  <si>
    <t xml:space="preserve">140a88d</t>
  </si>
  <si>
    <t xml:space="preserve">83323da</t>
  </si>
  <si>
    <t xml:space="preserve">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</si>
  <si>
    <t xml:space="preserve">f17af0a</t>
  </si>
  <si>
    <t xml:space="preserve">0edbb4a</t>
  </si>
  <si>
    <t xml:space="preserve">7d7a250</t>
  </si>
  <si>
    <t xml:space="preserve">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</si>
  <si>
    <t xml:space="preserve">7c56e84</t>
  </si>
  <si>
    <t xml:space="preserve">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</si>
  <si>
    <t xml:space="preserve">0afff57</t>
  </si>
  <si>
    <t xml:space="preserve">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</si>
  <si>
    <t xml:space="preserve">c3da38d</t>
  </si>
  <si>
    <t xml:space="preserve">1940032</t>
  </si>
  <si>
    <t xml:space="preserve">881af96</t>
  </si>
  <si>
    <t xml:space="preserve">Who</t>
  </si>
  <si>
    <t xml:space="preserve">Our note / question</t>
  </si>
  <si>
    <t xml:space="preserve">Action agreed</t>
  </si>
  <si>
    <t xml:space="preserve">Done?</t>
  </si>
  <si>
    <t xml:space="preserve">Salee</t>
  </si>
  <si>
    <t xml:space="preserve">EXAMPLE ROW - delete me. Dad wants to add on any dip under 210; check budget headroom first.</t>
  </si>
  <si>
    <t xml:space="preserve">Wait for 210 or lower, then buy up to budget.</t>
  </si>
  <si>
    <t xml:space="preserve">No</t>
  </si>
  <si>
    <t xml:space="preserve">This sheet belongs to Salee and Dad. Claude reads it back and copies it forward every time the workbook is rebuilt, so nothing typed here is ever lost.</t>
  </si>
  <si>
    <t xml:space="preserve">Type</t>
  </si>
  <si>
    <t xml:space="preserve">Open item</t>
  </si>
  <si>
    <t xml:space="preserve">Raised</t>
  </si>
  <si>
    <t xml:space="preserve">Data error</t>
  </si>
  <si>
    <t xml:space="preserve">Stored all-time high 25.95 is BELOW the stored price 27.07 and below the sourced 52-week high 28.50 - impossible. 52-week low should be 14.37 (stored 12.10) and high 28.50 (stored 27.07). Needs a sourced ATH before it can be fixed; Claude will not guess it.</t>
  </si>
  <si>
    <t xml:space="preserve">Data check</t>
  </si>
  <si>
    <t xml:space="preserve">Stored all-time high 29.27 conflicts with a researcher figure of 49.11 (Mar 11 2024, TradingView). TradingView is on the unreliable list, so a second source is needed before changing anything.</t>
  </si>
  <si>
    <t xml:space="preserve">Data gap</t>
  </si>
  <si>
    <t xml:space="preserve">Capital expenditure is stored blank. Fill it if a source turns up.</t>
  </si>
  <si>
    <t xml:space="preserve">Stale data</t>
  </si>
  <si>
    <t xml:space="preserve">Fundamentals are pre-Q2 and therefore flattering. Budget left about $8,087.</t>
  </si>
  <si>
    <t xml:space="preserve">LWLG / AXTI</t>
  </si>
  <si>
    <t xml:space="preserve">Chart scale</t>
  </si>
  <si>
    <t xml:space="preserve">Absurd-scale valuations distort three charts: LWLG price-to-sales 5,040x, AXTI price-to-earnings 957x and EV/EBITDA 1,042x. Claude has offered to cap the display scale so the other bars stay readable - awaiting a yes.</t>
  </si>
  <si>
    <t xml:space="preserve">Risk to watch</t>
  </si>
  <si>
    <t xml:space="preserve">Beijing Tongmei withdrew its Shanghai STAR Market listing on Jul 8 2026, triggering redemption rights on about US$49M held by eleven private-equity funds. Company says it has the cash.</t>
  </si>
  <si>
    <t xml:space="preserve">Earnings</t>
  </si>
  <si>
    <t xml:space="preserve">Reports FY26 Q4 and full year on Aug 12, 2026.</t>
  </si>
  <si>
    <t xml:space="preserve">Reports Q2 on Aug 11, 2026 (company-confirmed).</t>
  </si>
  <si>
    <t xml:space="preserve">Reports Q2 FY2027 on Aug 26, 2026 (company-confirmed). Budget headroom about $2,668, roughly 12 shares.</t>
  </si>
  <si>
    <t xml:space="preserve">Next earnings estimated Aug 21, 2026 - NOT company-confirmed.</t>
  </si>
  <si>
    <t xml:space="preserve">Next earnings date could not be found and is not company-confirmed.</t>
  </si>
  <si>
    <t xml:space="preserve">Idea pending</t>
  </si>
  <si>
    <t xml:space="preserve">On Dad's Aug 4 list at or below $150; would sit in Nuclear Energy. Red flags on record: forward P/E 81 above trailing P/E 65, revenue -4.1%, EPS -55.5%, short interest 25.4%.</t>
  </si>
  <si>
    <t xml:space="preserve">AMP</t>
  </si>
  <si>
    <t xml:space="preserve">Needs clarifying</t>
  </si>
  <si>
    <t xml:space="preserve">Item 6 on Dad's Aug 04 note reads 'AMP &lt;= $350'. Most likely AMD. Awaiting confirmation.</t>
  </si>
  <si>
    <t xml:space="preserve">Proposal pending</t>
  </si>
  <si>
    <t xml:space="preserve">Claude proposed moving TER from Robotic/Automation/EV to Chips Manufacturing and renaming the Photonic group to 'Interconnect &amp; Networking'. Awaiting a decision.</t>
  </si>
  <si>
    <t xml:space="preserve">FISV</t>
  </si>
  <si>
    <t xml:space="preserve">Housekeeping</t>
  </si>
  <si>
    <t xml:space="preserve">FI has been renamed FISV. The rename still needs to be applied to the dashboard.</t>
  </si>
  <si>
    <t xml:space="preserve">XE / YUM</t>
  </si>
  <si>
    <t xml:space="preserve">Price check</t>
  </si>
  <si>
    <t xml:space="preserve">Both were stuck at their Aug 3 close at one point. The Aug 5 refresh may have fixed it - unverified.</t>
  </si>
  <si>
    <t xml:space="preserve">History shows a Jul 29 low of 14.71; stored 52-week low may need updating.</t>
  </si>
  <si>
    <t xml:space="preserve">Portfolio</t>
  </si>
  <si>
    <t xml:space="preserve">Reconciliation</t>
  </si>
  <si>
    <t xml:space="preserve">Monthly-flow and totals figures differ by about $5,636 - a pre-existing inconsistency never chased down.</t>
  </si>
  <si>
    <t xml:space="preserve">Open offer</t>
  </si>
  <si>
    <t xml:space="preserve">Claude has offered but not yet built: a dividends-received tally, a speculative-watch screen, per-name budgets for Fintech/Digital Platform, a manual price-entry box on the dashboard, and a poster version without profit-and-loss for showing Dad.</t>
  </si>
</sst>
</file>

<file path=xl/styles.xml><?xml version="1.0" encoding="utf-8"?>
<styleSheet xmlns="http://schemas.openxmlformats.org/spreadsheetml/2006/main">
  <numFmts count="4">
    <numFmt numFmtId="164" formatCode="General"/>
    <numFmt numFmtId="165" formatCode="#,##0.##"/>
    <numFmt numFmtId="166" formatCode="#,##0.00"/>
    <numFmt numFmtId="167" formatCode="\$#,##0;&quot;($&quot;#,##0\);\-"/>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name val="Arial"/>
      <family val="0"/>
      <charset val="1"/>
    </font>
    <font>
      <b val="true"/>
      <sz val="10"/>
      <name val="Arial"/>
      <family val="0"/>
      <charset val="1"/>
    </font>
    <font>
      <b val="true"/>
      <sz val="10"/>
      <color rgb="FFFFFFFF"/>
      <name val="Arial"/>
      <family val="0"/>
      <charset val="1"/>
    </font>
    <font>
      <b val="true"/>
      <sz val="10"/>
      <color rgb="FF006100"/>
      <name val="Arial"/>
      <family val="0"/>
      <charset val="1"/>
    </font>
    <font>
      <b val="true"/>
      <sz val="9"/>
      <color rgb="FFC00000"/>
      <name val="Arial"/>
      <family val="0"/>
      <charset val="1"/>
    </font>
    <font>
      <sz val="10"/>
      <color rgb="FFC00000"/>
      <name val="Arial"/>
      <family val="0"/>
      <charset val="1"/>
    </font>
    <font>
      <sz val="10"/>
      <color rgb="FF000000"/>
      <name val="Arial"/>
      <family val="0"/>
      <charset val="1"/>
    </font>
    <font>
      <b val="true"/>
      <sz val="9"/>
      <color rgb="FF595959"/>
      <name val="Arial"/>
      <family val="0"/>
      <charset val="1"/>
    </font>
    <font>
      <sz val="10"/>
      <color rgb="FF1E7B34"/>
      <name val="Arial"/>
      <family val="0"/>
      <charset val="1"/>
    </font>
    <font>
      <b val="true"/>
      <sz val="10"/>
      <color rgb="FFC00000"/>
      <name val="Arial"/>
      <family val="0"/>
      <charset val="1"/>
    </font>
    <font>
      <b val="true"/>
      <sz val="9"/>
      <color rgb="FF1E7B34"/>
      <name val="Arial"/>
      <family val="0"/>
      <charset val="1"/>
    </font>
    <font>
      <i val="true"/>
      <sz val="9"/>
      <color rgb="FF808080"/>
      <name val="Arial"/>
      <family val="0"/>
      <charset val="1"/>
    </font>
  </fonts>
  <fills count="5">
    <fill>
      <patternFill patternType="none"/>
    </fill>
    <fill>
      <patternFill patternType="gray125"/>
    </fill>
    <fill>
      <patternFill patternType="solid">
        <fgColor rgb="FFD9E2F3"/>
        <bgColor rgb="FFCCFFFF"/>
      </patternFill>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6100"/>
          <bgColor rgb="FF000000"/>
        </patternFill>
      </fill>
    </dxf>
    <dxf>
      <fill>
        <patternFill patternType="solid">
          <fgColor rgb="FF1E7B34"/>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F00"/>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1E7B34"/>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c r="B2" s="2"/>
    </row>
    <row r="3" customFormat="false" ht="23.85" hidden="false" customHeight="false" outlineLevel="0" collapsed="false">
      <c r="A3" s="2" t="s">
        <v>1</v>
      </c>
      <c r="B3" s="2" t="s">
        <v>2</v>
      </c>
    </row>
    <row r="4" customFormat="false" ht="15" hidden="false" customHeight="false" outlineLevel="0" collapsed="false">
      <c r="A4" s="2" t="s">
        <v>3</v>
      </c>
      <c r="B4" s="2" t="s">
        <v>4</v>
      </c>
    </row>
    <row r="5" customFormat="false" ht="15" hidden="false" customHeight="false" outlineLevel="0" collapsed="false">
      <c r="A5" s="2" t="s">
        <v>5</v>
      </c>
      <c r="B5" s="2" t="s">
        <v>6</v>
      </c>
    </row>
    <row r="6" customFormat="false" ht="15" hidden="false" customHeight="false" outlineLevel="0" collapsed="false">
      <c r="A6" s="2"/>
      <c r="B6" s="2"/>
    </row>
    <row r="7" customFormat="false" ht="15" hidden="false" customHeight="false" outlineLevel="0" collapsed="false">
      <c r="A7" s="3" t="s">
        <v>7</v>
      </c>
      <c r="B7" s="3" t="s">
        <v>8</v>
      </c>
    </row>
    <row r="8" customFormat="false" ht="23.85" hidden="false" customHeight="false" outlineLevel="0" collapsed="false">
      <c r="A8" s="2" t="s">
        <v>9</v>
      </c>
      <c r="B8" s="2" t="s">
        <v>10</v>
      </c>
    </row>
    <row r="9" customFormat="false" ht="23.85" hidden="false" customHeight="false" outlineLevel="0" collapsed="false">
      <c r="A9" s="2" t="s">
        <v>11</v>
      </c>
      <c r="B9" s="2" t="s">
        <v>12</v>
      </c>
    </row>
    <row r="10" customFormat="false" ht="15" hidden="false" customHeight="false" outlineLevel="0" collapsed="false">
      <c r="A10" s="2" t="s">
        <v>13</v>
      </c>
      <c r="B10" s="2" t="s">
        <v>14</v>
      </c>
    </row>
    <row r="11" customFormat="false" ht="23.85" hidden="false" customHeight="false" outlineLevel="0" collapsed="false">
      <c r="A11" s="2" t="s">
        <v>15</v>
      </c>
      <c r="B11" s="2" t="s">
        <v>16</v>
      </c>
    </row>
    <row r="12" customFormat="false" ht="23.85" hidden="false" customHeight="false" outlineLevel="0" collapsed="false">
      <c r="A12" s="2" t="s">
        <v>17</v>
      </c>
      <c r="B12" s="2" t="s">
        <v>18</v>
      </c>
    </row>
    <row r="13" customFormat="false" ht="15" hidden="false" customHeight="false" outlineLevel="0" collapsed="false">
      <c r="A13" s="2" t="s">
        <v>19</v>
      </c>
      <c r="B13" s="2" t="s">
        <v>20</v>
      </c>
    </row>
    <row r="14" customFormat="false" ht="15" hidden="false" customHeight="false" outlineLevel="0" collapsed="false">
      <c r="A14" s="3"/>
      <c r="B14" s="3"/>
    </row>
    <row r="15" customFormat="false" ht="23.85" hidden="false" customHeight="false" outlineLevel="0" collapsed="false">
      <c r="A15" s="2" t="s">
        <v>21</v>
      </c>
      <c r="B15" s="2"/>
    </row>
    <row r="16" customFormat="false" ht="15" hidden="false" customHeight="false" outlineLevel="0" collapsed="false">
      <c r="A16" s="2" t="s">
        <v>22</v>
      </c>
      <c r="B16" s="2" t="s">
        <v>23</v>
      </c>
    </row>
    <row r="17" customFormat="false" ht="15" hidden="false" customHeight="false" outlineLevel="0" collapsed="false">
      <c r="A17" s="2" t="s">
        <v>24</v>
      </c>
      <c r="B17" s="2" t="s">
        <v>25</v>
      </c>
    </row>
    <row r="18" customFormat="false" ht="15" hidden="false" customHeight="false" outlineLevel="0" collapsed="false">
      <c r="A18" s="2" t="s">
        <v>26</v>
      </c>
      <c r="B18" s="2" t="s">
        <v>27</v>
      </c>
    </row>
    <row r="19" customFormat="false" ht="15" hidden="false" customHeight="false" outlineLevel="0" collapsed="false">
      <c r="A19" s="2" t="s">
        <v>28</v>
      </c>
      <c r="B19" s="2" t="s">
        <v>29</v>
      </c>
    </row>
    <row r="20" customFormat="false" ht="15" hidden="false" customHeight="false" outlineLevel="0" collapsed="false">
      <c r="A20" s="2" t="s">
        <v>30</v>
      </c>
      <c r="B20" s="2" t="s">
        <v>31</v>
      </c>
    </row>
    <row r="21" customFormat="false" ht="15" hidden="false" customHeight="false" outlineLevel="0" collapsed="false">
      <c r="A21" s="3"/>
      <c r="B21" s="3"/>
    </row>
    <row r="22" customFormat="false" ht="15" hidden="false" customHeight="false" outlineLevel="0" collapsed="false">
      <c r="A22" s="2" t="s">
        <v>32</v>
      </c>
      <c r="B22" s="2"/>
    </row>
    <row r="23" customFormat="false" ht="15" hidden="false" customHeight="false" outlineLevel="0" collapsed="false">
      <c r="A23" s="2" t="s">
        <v>33</v>
      </c>
      <c r="B23" s="2" t="s">
        <v>34</v>
      </c>
    </row>
    <row r="24" customFormat="false" ht="23.85" hidden="false" customHeight="false" outlineLevel="0" collapsed="false">
      <c r="A24" s="2" t="s">
        <v>35</v>
      </c>
      <c r="B24" s="2" t="s">
        <v>36</v>
      </c>
    </row>
    <row r="25" customFormat="false" ht="15" hidden="false" customHeight="false" outlineLevel="0" collapsed="false">
      <c r="A25" s="2" t="s">
        <v>37</v>
      </c>
      <c r="B25" s="2" t="s">
        <v>38</v>
      </c>
    </row>
    <row r="26" customFormat="false" ht="23.85" hidden="false" customHeight="false" outlineLevel="0" collapsed="false">
      <c r="A26" s="2" t="s">
        <v>39</v>
      </c>
      <c r="B26" s="2"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62"/>
    <col collapsed="false" customWidth="true" hidden="false" outlineLevel="0" max="4" min="4" style="0" width="24"/>
    <col collapsed="false" customWidth="true" hidden="false" outlineLevel="0" max="5" min="5" style="0" width="7"/>
    <col collapsed="false" customWidth="true" hidden="false" outlineLevel="0" max="6" min="6" style="0" width="10"/>
    <col collapsed="false" customWidth="true" hidden="false" outlineLevel="0" max="8" min="7" style="0" width="13"/>
    <col collapsed="false" customWidth="true" hidden="false" outlineLevel="0" max="9" min="9" style="0" width="14"/>
    <col collapsed="false" customWidth="true" hidden="false" outlineLevel="0" max="10" min="10" style="0" width="12"/>
    <col collapsed="false" customWidth="true" hidden="false" outlineLevel="0" max="11" min="11" style="0" width="11"/>
    <col collapsed="false" customWidth="true" hidden="false" outlineLevel="0" max="13" min="12" style="0" width="13"/>
    <col collapsed="false" customWidth="true" hidden="false" outlineLevel="0" max="14" min="14" style="0" width="90"/>
  </cols>
  <sheetData>
    <row r="1" customFormat="false" ht="27.75" hidden="false" customHeight="true" outlineLevel="0" collapsed="false">
      <c r="A1" s="4" t="s">
        <v>41</v>
      </c>
      <c r="B1" s="4" t="s">
        <v>42</v>
      </c>
      <c r="C1" s="4" t="s">
        <v>43</v>
      </c>
      <c r="D1" s="4" t="s">
        <v>44</v>
      </c>
      <c r="E1" s="4" t="s">
        <v>45</v>
      </c>
      <c r="F1" s="4" t="s">
        <v>46</v>
      </c>
      <c r="G1" s="4" t="s">
        <v>47</v>
      </c>
      <c r="H1" s="4" t="s">
        <v>48</v>
      </c>
      <c r="I1" s="4" t="s">
        <v>49</v>
      </c>
      <c r="J1" s="4" t="s">
        <v>50</v>
      </c>
      <c r="K1" s="4" t="s">
        <v>51</v>
      </c>
      <c r="L1" s="4" t="s">
        <v>52</v>
      </c>
      <c r="M1" s="4" t="s">
        <v>53</v>
      </c>
      <c r="N1" s="4" t="s">
        <v>54</v>
      </c>
    </row>
    <row r="2" customFormat="false" ht="46.25" hidden="false" customHeight="false" outlineLevel="0" collapsed="false">
      <c r="A2" s="5" t="s">
        <v>55</v>
      </c>
      <c r="B2" s="5" t="s">
        <v>56</v>
      </c>
      <c r="C2" s="6" t="s">
        <v>57</v>
      </c>
      <c r="D2" s="5" t="s">
        <v>58</v>
      </c>
      <c r="E2" s="7" t="s">
        <v>59</v>
      </c>
      <c r="F2" s="8" t="n">
        <v>46</v>
      </c>
      <c r="G2" s="9" t="n">
        <v>11437.61</v>
      </c>
      <c r="H2" s="10" t="n">
        <v>25000</v>
      </c>
      <c r="I2" s="10" t="n">
        <v>313.33</v>
      </c>
      <c r="J2" s="5" t="s">
        <v>60</v>
      </c>
      <c r="K2" s="5" t="n">
        <f aca="false">COUNTIF('Full Log'!$A:$A,$A2)</f>
        <v>13</v>
      </c>
      <c r="L2" s="5" t="s">
        <v>61</v>
      </c>
      <c r="M2" s="5" t="s">
        <v>62</v>
      </c>
      <c r="N2" s="6" t="s">
        <v>63</v>
      </c>
    </row>
    <row r="3" customFormat="false" ht="35.05" hidden="false" customHeight="false" outlineLevel="0" collapsed="false">
      <c r="A3" s="5" t="s">
        <v>64</v>
      </c>
      <c r="B3" s="5" t="s">
        <v>65</v>
      </c>
      <c r="C3" s="6" t="s">
        <v>66</v>
      </c>
      <c r="D3" s="5" t="s">
        <v>58</v>
      </c>
      <c r="E3" s="7" t="s">
        <v>59</v>
      </c>
      <c r="F3" s="8" t="n">
        <v>209</v>
      </c>
      <c r="G3" s="9" t="n">
        <v>48600.75</v>
      </c>
      <c r="H3" s="10" t="n">
        <v>50000</v>
      </c>
      <c r="I3" s="10" t="n">
        <v>274.48</v>
      </c>
      <c r="J3" s="5" t="s">
        <v>60</v>
      </c>
      <c r="K3" s="5" t="n">
        <f aca="false">COUNTIF('Full Log'!$A:$A,$A3)</f>
        <v>24</v>
      </c>
      <c r="L3" s="5" t="s">
        <v>61</v>
      </c>
      <c r="M3" s="5" t="s">
        <v>62</v>
      </c>
      <c r="N3" s="6" t="s">
        <v>67</v>
      </c>
    </row>
    <row r="4" customFormat="false" ht="57.45" hidden="false" customHeight="false" outlineLevel="0" collapsed="false">
      <c r="A4" s="5" t="s">
        <v>68</v>
      </c>
      <c r="B4" s="5" t="s">
        <v>69</v>
      </c>
      <c r="C4" s="6" t="s">
        <v>70</v>
      </c>
      <c r="D4" s="5" t="s">
        <v>58</v>
      </c>
      <c r="E4" s="7" t="s">
        <v>59</v>
      </c>
      <c r="F4" s="8" t="n">
        <v>205</v>
      </c>
      <c r="G4" s="9" t="n">
        <v>55324.68</v>
      </c>
      <c r="H4" s="10" t="n">
        <v>60000</v>
      </c>
      <c r="I4" s="10" t="n">
        <v>354.3</v>
      </c>
      <c r="J4" s="5" t="s">
        <v>60</v>
      </c>
      <c r="K4" s="5" t="n">
        <f aca="false">COUNTIF('Full Log'!$A:$A,$A4)</f>
        <v>26</v>
      </c>
      <c r="L4" s="5" t="s">
        <v>61</v>
      </c>
      <c r="M4" s="5" t="s">
        <v>62</v>
      </c>
      <c r="N4" s="6" t="s">
        <v>71</v>
      </c>
    </row>
    <row r="5" customFormat="false" ht="46.25" hidden="false" customHeight="false" outlineLevel="0" collapsed="false">
      <c r="A5" s="5" t="s">
        <v>72</v>
      </c>
      <c r="B5" s="5" t="s">
        <v>73</v>
      </c>
      <c r="C5" s="6" t="s">
        <v>74</v>
      </c>
      <c r="D5" s="5" t="s">
        <v>58</v>
      </c>
      <c r="E5" s="7" t="s">
        <v>59</v>
      </c>
      <c r="F5" s="8" t="n">
        <v>59.5</v>
      </c>
      <c r="G5" s="9" t="n">
        <v>39239.51</v>
      </c>
      <c r="H5" s="10" t="n">
        <v>50000</v>
      </c>
      <c r="I5" s="10" t="n">
        <v>592.1</v>
      </c>
      <c r="J5" s="5" t="s">
        <v>60</v>
      </c>
      <c r="K5" s="5" t="n">
        <f aca="false">COUNTIF('Full Log'!$A:$A,$A5)</f>
        <v>78</v>
      </c>
      <c r="L5" s="5" t="s">
        <v>61</v>
      </c>
      <c r="M5" s="5" t="s">
        <v>75</v>
      </c>
      <c r="N5" s="6" t="s">
        <v>76</v>
      </c>
    </row>
    <row r="6" customFormat="false" ht="35.05" hidden="false" customHeight="false" outlineLevel="0" collapsed="false">
      <c r="A6" s="5" t="s">
        <v>77</v>
      </c>
      <c r="B6" s="5" t="s">
        <v>78</v>
      </c>
      <c r="C6" s="6" t="s">
        <v>79</v>
      </c>
      <c r="D6" s="5" t="s">
        <v>58</v>
      </c>
      <c r="E6" s="7" t="s">
        <v>59</v>
      </c>
      <c r="F6" s="8" t="n">
        <v>113</v>
      </c>
      <c r="G6" s="9" t="n">
        <v>50818.44</v>
      </c>
      <c r="H6" s="10" t="n">
        <v>60000</v>
      </c>
      <c r="I6" s="10" t="n">
        <v>499.99</v>
      </c>
      <c r="J6" s="5" t="s">
        <v>60</v>
      </c>
      <c r="K6" s="5" t="n">
        <f aca="false">COUNTIF('Full Log'!$A:$A,$A6)</f>
        <v>43</v>
      </c>
      <c r="L6" s="5" t="s">
        <v>61</v>
      </c>
      <c r="M6" s="5" t="s">
        <v>80</v>
      </c>
      <c r="N6" s="6" t="s">
        <v>81</v>
      </c>
    </row>
    <row r="7" customFormat="false" ht="102.2" hidden="false" customHeight="false" outlineLevel="0" collapsed="false">
      <c r="A7" s="5" t="s">
        <v>82</v>
      </c>
      <c r="B7" s="5" t="s">
        <v>83</v>
      </c>
      <c r="C7" s="6" t="s">
        <v>84</v>
      </c>
      <c r="D7" s="5" t="s">
        <v>85</v>
      </c>
      <c r="E7" s="7" t="s">
        <v>59</v>
      </c>
      <c r="F7" s="8" t="n">
        <v>55</v>
      </c>
      <c r="G7" s="9" t="n">
        <v>13789.22</v>
      </c>
      <c r="H7" s="10" t="n">
        <v>25000</v>
      </c>
      <c r="I7" s="10" t="n">
        <v>483.36</v>
      </c>
      <c r="J7" s="5" t="s">
        <v>60</v>
      </c>
      <c r="K7" s="5" t="n">
        <f aca="false">COUNTIF('Full Log'!$A:$A,$A7)</f>
        <v>13</v>
      </c>
      <c r="L7" s="5" t="s">
        <v>86</v>
      </c>
      <c r="M7" s="5" t="s">
        <v>80</v>
      </c>
      <c r="N7" s="6" t="s">
        <v>87</v>
      </c>
    </row>
    <row r="8" customFormat="false" ht="35.05" hidden="false" customHeight="false" outlineLevel="0" collapsed="false">
      <c r="A8" s="5" t="s">
        <v>88</v>
      </c>
      <c r="B8" s="5" t="s">
        <v>89</v>
      </c>
      <c r="C8" s="6" t="s">
        <v>90</v>
      </c>
      <c r="D8" s="5" t="s">
        <v>85</v>
      </c>
      <c r="E8" s="11"/>
      <c r="F8" s="8"/>
      <c r="G8" s="9"/>
      <c r="H8" s="10"/>
      <c r="I8" s="10" t="n">
        <v>282.57</v>
      </c>
      <c r="J8" s="5" t="s">
        <v>60</v>
      </c>
      <c r="K8" s="5" t="n">
        <f aca="false">COUNTIF('Full Log'!$A:$A,$A8)</f>
        <v>19</v>
      </c>
      <c r="L8" s="5" t="s">
        <v>86</v>
      </c>
      <c r="M8" s="5" t="s">
        <v>75</v>
      </c>
      <c r="N8" s="6" t="s">
        <v>91</v>
      </c>
    </row>
    <row r="9" customFormat="false" ht="35.05" hidden="false" customHeight="false" outlineLevel="0" collapsed="false">
      <c r="A9" s="5" t="s">
        <v>92</v>
      </c>
      <c r="B9" s="5" t="s">
        <v>93</v>
      </c>
      <c r="C9" s="6" t="s">
        <v>94</v>
      </c>
      <c r="D9" s="5" t="s">
        <v>85</v>
      </c>
      <c r="E9" s="7" t="s">
        <v>59</v>
      </c>
      <c r="F9" s="8" t="n">
        <v>84</v>
      </c>
      <c r="G9" s="9" t="n">
        <v>28571.53</v>
      </c>
      <c r="H9" s="10" t="n">
        <v>40000</v>
      </c>
      <c r="I9" s="10" t="n">
        <v>427.76</v>
      </c>
      <c r="J9" s="5" t="s">
        <v>60</v>
      </c>
      <c r="K9" s="5" t="n">
        <f aca="false">COUNTIF('Full Log'!$A:$A,$A9)</f>
        <v>5</v>
      </c>
      <c r="L9" s="5" t="s">
        <v>95</v>
      </c>
      <c r="M9" s="5" t="s">
        <v>75</v>
      </c>
      <c r="N9" s="6" t="s">
        <v>91</v>
      </c>
    </row>
    <row r="10" customFormat="false" ht="35.05" hidden="false" customHeight="false" outlineLevel="0" collapsed="false">
      <c r="A10" s="5" t="s">
        <v>96</v>
      </c>
      <c r="B10" s="5" t="s">
        <v>97</v>
      </c>
      <c r="C10" s="6" t="s">
        <v>98</v>
      </c>
      <c r="D10" s="5" t="s">
        <v>85</v>
      </c>
      <c r="E10" s="7" t="s">
        <v>59</v>
      </c>
      <c r="F10" s="8" t="n">
        <v>45</v>
      </c>
      <c r="G10" s="9" t="n">
        <v>2029.6</v>
      </c>
      <c r="H10" s="10" t="n">
        <v>5000</v>
      </c>
      <c r="I10" s="10" t="n">
        <v>101.65</v>
      </c>
      <c r="J10" s="5" t="s">
        <v>60</v>
      </c>
      <c r="K10" s="5" t="n">
        <f aca="false">COUNTIF('Full Log'!$A:$A,$A10)</f>
        <v>5</v>
      </c>
      <c r="L10" s="5" t="s">
        <v>86</v>
      </c>
      <c r="M10" s="5" t="s">
        <v>99</v>
      </c>
      <c r="N10" s="6" t="s">
        <v>100</v>
      </c>
    </row>
    <row r="11" customFormat="false" ht="102.2" hidden="false" customHeight="false" outlineLevel="0" collapsed="false">
      <c r="A11" s="5" t="s">
        <v>101</v>
      </c>
      <c r="B11" s="5" t="s">
        <v>102</v>
      </c>
      <c r="C11" s="6" t="s">
        <v>103</v>
      </c>
      <c r="D11" s="5" t="s">
        <v>85</v>
      </c>
      <c r="E11" s="11"/>
      <c r="F11" s="8"/>
      <c r="G11" s="9"/>
      <c r="H11" s="10"/>
      <c r="I11" s="10" t="n">
        <v>84.69</v>
      </c>
      <c r="J11" s="5" t="s">
        <v>60</v>
      </c>
      <c r="K11" s="5" t="n">
        <f aca="false">COUNTIF('Full Log'!$A:$A,$A11)</f>
        <v>1</v>
      </c>
      <c r="L11" s="5" t="s">
        <v>104</v>
      </c>
      <c r="M11" s="5" t="s">
        <v>104</v>
      </c>
      <c r="N11" s="6" t="s">
        <v>105</v>
      </c>
    </row>
    <row r="12" customFormat="false" ht="79.85" hidden="false" customHeight="false" outlineLevel="0" collapsed="false">
      <c r="A12" s="5" t="s">
        <v>106</v>
      </c>
      <c r="B12" s="5" t="s">
        <v>107</v>
      </c>
      <c r="C12" s="6" t="s">
        <v>108</v>
      </c>
      <c r="D12" s="5" t="s">
        <v>85</v>
      </c>
      <c r="E12" s="7" t="s">
        <v>59</v>
      </c>
      <c r="F12" s="8" t="n">
        <v>48.5</v>
      </c>
      <c r="G12" s="9" t="n">
        <v>7872.66</v>
      </c>
      <c r="H12" s="10" t="n">
        <v>25000</v>
      </c>
      <c r="I12" s="10" t="n">
        <v>218.72</v>
      </c>
      <c r="J12" s="5" t="s">
        <v>60</v>
      </c>
      <c r="K12" s="5" t="n">
        <f aca="false">COUNTIF('Full Log'!$A:$A,$A12)</f>
        <v>2</v>
      </c>
      <c r="L12" s="5" t="s">
        <v>109</v>
      </c>
      <c r="M12" s="5" t="s">
        <v>95</v>
      </c>
      <c r="N12" s="6" t="s">
        <v>110</v>
      </c>
    </row>
    <row r="13" customFormat="false" ht="46.25" hidden="false" customHeight="false" outlineLevel="0" collapsed="false">
      <c r="A13" s="5" t="s">
        <v>111</v>
      </c>
      <c r="B13" s="5" t="s">
        <v>112</v>
      </c>
      <c r="C13" s="6" t="s">
        <v>113</v>
      </c>
      <c r="D13" s="5" t="s">
        <v>85</v>
      </c>
      <c r="E13" s="7" t="s">
        <v>59</v>
      </c>
      <c r="F13" s="8" t="n">
        <v>411</v>
      </c>
      <c r="G13" s="9" t="n">
        <v>77332.4</v>
      </c>
      <c r="H13" s="10" t="n">
        <v>80000</v>
      </c>
      <c r="I13" s="10" t="n">
        <v>223.96</v>
      </c>
      <c r="J13" s="5" t="s">
        <v>60</v>
      </c>
      <c r="K13" s="5" t="n">
        <f aca="false">COUNTIF('Full Log'!$A:$A,$A13)</f>
        <v>82</v>
      </c>
      <c r="L13" s="5" t="s">
        <v>61</v>
      </c>
      <c r="M13" s="5" t="s">
        <v>80</v>
      </c>
      <c r="N13" s="6" t="s">
        <v>114</v>
      </c>
    </row>
    <row r="14" customFormat="false" ht="15" hidden="false" customHeight="false" outlineLevel="0" collapsed="false">
      <c r="A14" s="5" t="s">
        <v>115</v>
      </c>
      <c r="B14" s="5" t="s">
        <v>116</v>
      </c>
      <c r="C14" s="6" t="s">
        <v>117</v>
      </c>
      <c r="D14" s="5" t="s">
        <v>85</v>
      </c>
      <c r="E14" s="11"/>
      <c r="F14" s="8"/>
      <c r="G14" s="9"/>
      <c r="H14" s="10"/>
      <c r="I14" s="10" t="n">
        <v>81.17</v>
      </c>
      <c r="J14" s="5" t="s">
        <v>60</v>
      </c>
      <c r="K14" s="5" t="n">
        <f aca="false">COUNTIF('Full Log'!$A:$A,$A14)</f>
        <v>0</v>
      </c>
      <c r="L14" s="5"/>
      <c r="M14" s="5"/>
      <c r="N14" s="6" t="s">
        <v>118</v>
      </c>
    </row>
    <row r="15" customFormat="false" ht="15" hidden="false" customHeight="false" outlineLevel="0" collapsed="false">
      <c r="A15" s="5" t="s">
        <v>119</v>
      </c>
      <c r="B15" s="5" t="s">
        <v>120</v>
      </c>
      <c r="C15" s="6" t="s">
        <v>121</v>
      </c>
      <c r="D15" s="5" t="s">
        <v>85</v>
      </c>
      <c r="E15" s="7" t="s">
        <v>59</v>
      </c>
      <c r="F15" s="8" t="n">
        <v>11</v>
      </c>
      <c r="G15" s="9" t="n">
        <v>1959.96</v>
      </c>
      <c r="H15" s="10" t="n">
        <v>5000</v>
      </c>
      <c r="I15" s="10" t="n">
        <v>167.86</v>
      </c>
      <c r="J15" s="5" t="s">
        <v>60</v>
      </c>
      <c r="K15" s="5" t="n">
        <f aca="false">COUNTIF('Full Log'!$A:$A,$A15)</f>
        <v>0</v>
      </c>
      <c r="L15" s="5"/>
      <c r="M15" s="5"/>
      <c r="N15" s="6" t="s">
        <v>118</v>
      </c>
    </row>
    <row r="16" customFormat="false" ht="46.25" hidden="false" customHeight="false" outlineLevel="0" collapsed="false">
      <c r="A16" s="5" t="s">
        <v>122</v>
      </c>
      <c r="B16" s="5" t="s">
        <v>123</v>
      </c>
      <c r="C16" s="6" t="s">
        <v>124</v>
      </c>
      <c r="D16" s="5" t="s">
        <v>85</v>
      </c>
      <c r="E16" s="7" t="s">
        <v>59</v>
      </c>
      <c r="F16" s="8" t="n">
        <v>107.5</v>
      </c>
      <c r="G16" s="9" t="n">
        <v>37850.87</v>
      </c>
      <c r="H16" s="10" t="n">
        <v>50000</v>
      </c>
      <c r="I16" s="10" t="n">
        <v>420.04</v>
      </c>
      <c r="J16" s="5" t="s">
        <v>60</v>
      </c>
      <c r="K16" s="5" t="n">
        <f aca="false">COUNTIF('Full Log'!$A:$A,$A16)</f>
        <v>47</v>
      </c>
      <c r="L16" s="5" t="s">
        <v>86</v>
      </c>
      <c r="M16" s="5" t="s">
        <v>80</v>
      </c>
      <c r="N16" s="6" t="s">
        <v>125</v>
      </c>
    </row>
    <row r="17" customFormat="false" ht="46.25" hidden="false" customHeight="false" outlineLevel="0" collapsed="false">
      <c r="A17" s="5" t="s">
        <v>126</v>
      </c>
      <c r="B17" s="5" t="s">
        <v>127</v>
      </c>
      <c r="C17" s="6" t="s">
        <v>128</v>
      </c>
      <c r="D17" s="5" t="s">
        <v>129</v>
      </c>
      <c r="E17" s="11"/>
      <c r="F17" s="8"/>
      <c r="G17" s="9"/>
      <c r="H17" s="10"/>
      <c r="I17" s="10" t="n">
        <v>103.07</v>
      </c>
      <c r="J17" s="5" t="s">
        <v>60</v>
      </c>
      <c r="K17" s="5" t="n">
        <f aca="false">COUNTIF('Full Log'!$A:$A,$A17)</f>
        <v>22</v>
      </c>
      <c r="L17" s="5" t="s">
        <v>86</v>
      </c>
      <c r="M17" s="5" t="s">
        <v>80</v>
      </c>
      <c r="N17" s="6" t="s">
        <v>130</v>
      </c>
    </row>
    <row r="18" customFormat="false" ht="57.45" hidden="false" customHeight="false" outlineLevel="0" collapsed="false">
      <c r="A18" s="5" t="s">
        <v>131</v>
      </c>
      <c r="B18" s="5" t="s">
        <v>132</v>
      </c>
      <c r="C18" s="6" t="s">
        <v>133</v>
      </c>
      <c r="D18" s="5" t="s">
        <v>129</v>
      </c>
      <c r="E18" s="7" t="s">
        <v>59</v>
      </c>
      <c r="F18" s="8" t="n">
        <v>34</v>
      </c>
      <c r="G18" s="9" t="n">
        <v>8162.07</v>
      </c>
      <c r="H18" s="10" t="n">
        <v>20000</v>
      </c>
      <c r="I18" s="10" t="n">
        <v>539.14</v>
      </c>
      <c r="J18" s="5" t="s">
        <v>60</v>
      </c>
      <c r="K18" s="5" t="n">
        <f aca="false">COUNTIF('Full Log'!$A:$A,$A18)</f>
        <v>16</v>
      </c>
      <c r="L18" s="5" t="s">
        <v>61</v>
      </c>
      <c r="M18" s="5" t="s">
        <v>80</v>
      </c>
      <c r="N18" s="6" t="s">
        <v>134</v>
      </c>
    </row>
    <row r="19" customFormat="false" ht="35.05" hidden="false" customHeight="false" outlineLevel="0" collapsed="false">
      <c r="A19" s="5" t="s">
        <v>135</v>
      </c>
      <c r="B19" s="5" t="s">
        <v>136</v>
      </c>
      <c r="C19" s="6" t="s">
        <v>137</v>
      </c>
      <c r="D19" s="5" t="s">
        <v>129</v>
      </c>
      <c r="E19" s="7" t="s">
        <v>59</v>
      </c>
      <c r="F19" s="8" t="n">
        <v>55</v>
      </c>
      <c r="G19" s="9" t="n">
        <v>3454.62</v>
      </c>
      <c r="H19" s="10" t="n">
        <v>5000</v>
      </c>
      <c r="I19" s="10" t="n">
        <v>55.27</v>
      </c>
      <c r="J19" s="5" t="s">
        <v>60</v>
      </c>
      <c r="K19" s="5" t="n">
        <f aca="false">COUNTIF('Full Log'!$A:$A,$A19)</f>
        <v>4</v>
      </c>
      <c r="L19" s="5" t="s">
        <v>86</v>
      </c>
      <c r="M19" s="5" t="s">
        <v>99</v>
      </c>
      <c r="N19" s="6" t="s">
        <v>138</v>
      </c>
    </row>
    <row r="20" customFormat="false" ht="68.65" hidden="false" customHeight="false" outlineLevel="0" collapsed="false">
      <c r="A20" s="5" t="s">
        <v>139</v>
      </c>
      <c r="B20" s="5" t="s">
        <v>140</v>
      </c>
      <c r="C20" s="6" t="s">
        <v>141</v>
      </c>
      <c r="D20" s="5" t="s">
        <v>129</v>
      </c>
      <c r="E20" s="7" t="s">
        <v>59</v>
      </c>
      <c r="F20" s="8" t="n">
        <v>13</v>
      </c>
      <c r="G20" s="9" t="n">
        <v>16394.06</v>
      </c>
      <c r="H20" s="10" t="n">
        <v>30000</v>
      </c>
      <c r="I20" s="10" t="n">
        <v>1740.99</v>
      </c>
      <c r="J20" s="5" t="s">
        <v>60</v>
      </c>
      <c r="K20" s="5" t="n">
        <f aca="false">COUNTIF('Full Log'!$A:$A,$A20)</f>
        <v>29</v>
      </c>
      <c r="L20" s="5" t="s">
        <v>109</v>
      </c>
      <c r="M20" s="5" t="s">
        <v>62</v>
      </c>
      <c r="N20" s="6" t="s">
        <v>142</v>
      </c>
    </row>
    <row r="21" customFormat="false" ht="46.25" hidden="false" customHeight="false" outlineLevel="0" collapsed="false">
      <c r="A21" s="5" t="s">
        <v>143</v>
      </c>
      <c r="B21" s="5" t="s">
        <v>144</v>
      </c>
      <c r="C21" s="6" t="s">
        <v>145</v>
      </c>
      <c r="D21" s="5" t="s">
        <v>129</v>
      </c>
      <c r="E21" s="7" t="s">
        <v>59</v>
      </c>
      <c r="F21" s="8" t="n">
        <v>18</v>
      </c>
      <c r="G21" s="9" t="n">
        <v>3510.69</v>
      </c>
      <c r="H21" s="10" t="n">
        <v>10000</v>
      </c>
      <c r="I21" s="10" t="n">
        <v>198.11</v>
      </c>
      <c r="J21" s="5" t="s">
        <v>60</v>
      </c>
      <c r="K21" s="5" t="n">
        <f aca="false">COUNTIF('Full Log'!$A:$A,$A21)</f>
        <v>5</v>
      </c>
      <c r="L21" s="5" t="s">
        <v>109</v>
      </c>
      <c r="M21" s="5" t="s">
        <v>146</v>
      </c>
      <c r="N21" s="6" t="s">
        <v>147</v>
      </c>
    </row>
    <row r="22" customFormat="false" ht="57.45" hidden="false" customHeight="false" outlineLevel="0" collapsed="false">
      <c r="A22" s="5" t="s">
        <v>148</v>
      </c>
      <c r="B22" s="5" t="s">
        <v>149</v>
      </c>
      <c r="C22" s="6" t="s">
        <v>150</v>
      </c>
      <c r="D22" s="5" t="s">
        <v>129</v>
      </c>
      <c r="E22" s="7" t="s">
        <v>59</v>
      </c>
      <c r="F22" s="8" t="n">
        <v>22</v>
      </c>
      <c r="G22" s="9" t="n">
        <v>4100.12</v>
      </c>
      <c r="H22" s="10" t="n">
        <v>15000</v>
      </c>
      <c r="I22" s="10" t="n">
        <v>311.35</v>
      </c>
      <c r="J22" s="5" t="s">
        <v>60</v>
      </c>
      <c r="K22" s="5" t="n">
        <f aca="false">COUNTIF('Full Log'!$A:$A,$A22)</f>
        <v>25</v>
      </c>
      <c r="L22" s="5" t="s">
        <v>61</v>
      </c>
      <c r="M22" s="5" t="s">
        <v>80</v>
      </c>
      <c r="N22" s="6" t="s">
        <v>151</v>
      </c>
    </row>
    <row r="23" customFormat="false" ht="35.05" hidden="false" customHeight="false" outlineLevel="0" collapsed="false">
      <c r="A23" s="5" t="s">
        <v>152</v>
      </c>
      <c r="B23" s="5" t="s">
        <v>153</v>
      </c>
      <c r="C23" s="6" t="s">
        <v>154</v>
      </c>
      <c r="D23" s="5" t="s">
        <v>155</v>
      </c>
      <c r="E23" s="7" t="s">
        <v>59</v>
      </c>
      <c r="F23" s="8" t="n">
        <v>33.45</v>
      </c>
      <c r="G23" s="9" t="n">
        <v>20655.29</v>
      </c>
      <c r="H23" s="10" t="n">
        <v>30000</v>
      </c>
      <c r="I23" s="10" t="n">
        <v>877.57</v>
      </c>
      <c r="J23" s="5" t="s">
        <v>60</v>
      </c>
      <c r="K23" s="5" t="n">
        <f aca="false">COUNTIF('Full Log'!$A:$A,$A23)</f>
        <v>93</v>
      </c>
      <c r="L23" s="5" t="s">
        <v>61</v>
      </c>
      <c r="M23" s="5" t="s">
        <v>62</v>
      </c>
      <c r="N23" s="6" t="s">
        <v>156</v>
      </c>
    </row>
    <row r="24" customFormat="false" ht="46.25" hidden="false" customHeight="false" outlineLevel="0" collapsed="false">
      <c r="A24" s="5" t="s">
        <v>157</v>
      </c>
      <c r="B24" s="5" t="s">
        <v>158</v>
      </c>
      <c r="C24" s="6" t="s">
        <v>159</v>
      </c>
      <c r="D24" s="5" t="s">
        <v>155</v>
      </c>
      <c r="E24" s="7" t="s">
        <v>59</v>
      </c>
      <c r="F24" s="8" t="n">
        <v>15</v>
      </c>
      <c r="G24" s="9" t="n">
        <v>1913.26</v>
      </c>
      <c r="H24" s="10" t="n">
        <v>10000</v>
      </c>
      <c r="I24" s="10" t="n">
        <v>137.91</v>
      </c>
      <c r="J24" s="5" t="s">
        <v>60</v>
      </c>
      <c r="K24" s="5" t="n">
        <f aca="false">COUNTIF('Full Log'!$A:$A,$A24)</f>
        <v>34</v>
      </c>
      <c r="L24" s="5" t="s">
        <v>86</v>
      </c>
      <c r="M24" s="5" t="s">
        <v>146</v>
      </c>
      <c r="N24" s="6" t="s">
        <v>160</v>
      </c>
    </row>
    <row r="25" customFormat="false" ht="35.05" hidden="false" customHeight="false" outlineLevel="0" collapsed="false">
      <c r="A25" s="5" t="s">
        <v>161</v>
      </c>
      <c r="B25" s="5" t="s">
        <v>162</v>
      </c>
      <c r="C25" s="6" t="s">
        <v>163</v>
      </c>
      <c r="D25" s="5" t="s">
        <v>155</v>
      </c>
      <c r="E25" s="11"/>
      <c r="F25" s="8"/>
      <c r="G25" s="9"/>
      <c r="H25" s="10"/>
      <c r="I25" s="10" t="n">
        <v>1212.21</v>
      </c>
      <c r="J25" s="5" t="s">
        <v>60</v>
      </c>
      <c r="K25" s="5" t="n">
        <f aca="false">COUNTIF('Full Log'!$A:$A,$A25)</f>
        <v>16</v>
      </c>
      <c r="L25" s="5" t="s">
        <v>109</v>
      </c>
      <c r="M25" s="5" t="s">
        <v>62</v>
      </c>
      <c r="N25" s="6" t="s">
        <v>164</v>
      </c>
    </row>
    <row r="26" customFormat="false" ht="35.05" hidden="false" customHeight="false" outlineLevel="0" collapsed="false">
      <c r="A26" s="5" t="s">
        <v>165</v>
      </c>
      <c r="B26" s="5" t="s">
        <v>166</v>
      </c>
      <c r="C26" s="6" t="s">
        <v>167</v>
      </c>
      <c r="D26" s="5" t="s">
        <v>155</v>
      </c>
      <c r="E26" s="11"/>
      <c r="F26" s="8"/>
      <c r="G26" s="9"/>
      <c r="H26" s="10"/>
      <c r="I26" s="10" t="n">
        <v>812.76</v>
      </c>
      <c r="J26" s="5" t="s">
        <v>60</v>
      </c>
      <c r="K26" s="5" t="n">
        <f aca="false">COUNTIF('Full Log'!$A:$A,$A26)</f>
        <v>3</v>
      </c>
      <c r="L26" s="5" t="s">
        <v>168</v>
      </c>
      <c r="M26" s="5" t="s">
        <v>169</v>
      </c>
      <c r="N26" s="6" t="s">
        <v>170</v>
      </c>
    </row>
    <row r="27" customFormat="false" ht="35.05" hidden="false" customHeight="false" outlineLevel="0" collapsed="false">
      <c r="A27" s="5" t="s">
        <v>171</v>
      </c>
      <c r="B27" s="5" t="s">
        <v>172</v>
      </c>
      <c r="C27" s="6" t="s">
        <v>173</v>
      </c>
      <c r="D27" s="5" t="s">
        <v>155</v>
      </c>
      <c r="E27" s="11"/>
      <c r="F27" s="8"/>
      <c r="G27" s="9"/>
      <c r="H27" s="10"/>
      <c r="I27" s="10" t="n">
        <v>434.3</v>
      </c>
      <c r="J27" s="5" t="s">
        <v>60</v>
      </c>
      <c r="K27" s="5" t="n">
        <f aca="false">COUNTIF('Full Log'!$A:$A,$A27)</f>
        <v>8</v>
      </c>
      <c r="L27" s="5" t="s">
        <v>109</v>
      </c>
      <c r="M27" s="5" t="s">
        <v>99</v>
      </c>
      <c r="N27" s="6" t="s">
        <v>174</v>
      </c>
    </row>
    <row r="28" customFormat="false" ht="57.45" hidden="false" customHeight="false" outlineLevel="0" collapsed="false">
      <c r="A28" s="5" t="s">
        <v>175</v>
      </c>
      <c r="B28" s="5" t="s">
        <v>176</v>
      </c>
      <c r="C28" s="6" t="s">
        <v>177</v>
      </c>
      <c r="D28" s="5" t="s">
        <v>178</v>
      </c>
      <c r="E28" s="7" t="s">
        <v>59</v>
      </c>
      <c r="F28" s="8" t="n">
        <v>10</v>
      </c>
      <c r="G28" s="9" t="n">
        <v>1338.56</v>
      </c>
      <c r="H28" s="10"/>
      <c r="I28" s="10" t="n">
        <v>135.63</v>
      </c>
      <c r="J28" s="5" t="s">
        <v>60</v>
      </c>
      <c r="K28" s="5" t="n">
        <f aca="false">COUNTIF('Full Log'!$A:$A,$A28)</f>
        <v>17</v>
      </c>
      <c r="L28" s="5" t="s">
        <v>109</v>
      </c>
      <c r="M28" s="5" t="s">
        <v>80</v>
      </c>
      <c r="N28" s="6" t="s">
        <v>134</v>
      </c>
    </row>
    <row r="29" customFormat="false" ht="35.05" hidden="false" customHeight="false" outlineLevel="0" collapsed="false">
      <c r="A29" s="5" t="s">
        <v>179</v>
      </c>
      <c r="B29" s="5" t="s">
        <v>180</v>
      </c>
      <c r="C29" s="6" t="s">
        <v>181</v>
      </c>
      <c r="D29" s="5" t="s">
        <v>178</v>
      </c>
      <c r="E29" s="7" t="s">
        <v>59</v>
      </c>
      <c r="F29" s="8" t="n">
        <v>15</v>
      </c>
      <c r="G29" s="9" t="n">
        <v>3805.47</v>
      </c>
      <c r="H29" s="10" t="n">
        <v>15000</v>
      </c>
      <c r="I29" s="10" t="n">
        <v>334.17</v>
      </c>
      <c r="J29" s="5" t="s">
        <v>60</v>
      </c>
      <c r="K29" s="5" t="n">
        <f aca="false">COUNTIF('Full Log'!$A:$A,$A29)</f>
        <v>4</v>
      </c>
      <c r="L29" s="5" t="s">
        <v>86</v>
      </c>
      <c r="M29" s="5" t="s">
        <v>168</v>
      </c>
      <c r="N29" s="6" t="s">
        <v>182</v>
      </c>
    </row>
    <row r="30" customFormat="false" ht="35.05" hidden="false" customHeight="false" outlineLevel="0" collapsed="false">
      <c r="A30" s="5" t="s">
        <v>183</v>
      </c>
      <c r="B30" s="5" t="s">
        <v>184</v>
      </c>
      <c r="C30" s="6" t="s">
        <v>185</v>
      </c>
      <c r="D30" s="5" t="s">
        <v>178</v>
      </c>
      <c r="E30" s="7" t="s">
        <v>59</v>
      </c>
      <c r="F30" s="8" t="n">
        <v>88</v>
      </c>
      <c r="G30" s="9" t="n">
        <v>13650.01</v>
      </c>
      <c r="H30" s="10" t="n">
        <v>20000</v>
      </c>
      <c r="I30" s="10" t="n">
        <v>188.67</v>
      </c>
      <c r="J30" s="5" t="s">
        <v>60</v>
      </c>
      <c r="K30" s="5" t="n">
        <f aca="false">COUNTIF('Full Log'!$A:$A,$A30)</f>
        <v>6</v>
      </c>
      <c r="L30" s="5" t="s">
        <v>186</v>
      </c>
      <c r="M30" s="5" t="s">
        <v>168</v>
      </c>
      <c r="N30" s="6" t="s">
        <v>182</v>
      </c>
    </row>
    <row r="31" customFormat="false" ht="35.05" hidden="false" customHeight="false" outlineLevel="0" collapsed="false">
      <c r="A31" s="5" t="s">
        <v>187</v>
      </c>
      <c r="B31" s="5" t="s">
        <v>188</v>
      </c>
      <c r="C31" s="6" t="s">
        <v>189</v>
      </c>
      <c r="D31" s="5" t="s">
        <v>178</v>
      </c>
      <c r="E31" s="7" t="s">
        <v>59</v>
      </c>
      <c r="F31" s="8" t="n">
        <v>16</v>
      </c>
      <c r="G31" s="9" t="n">
        <v>2004.4</v>
      </c>
      <c r="H31" s="10" t="n">
        <v>10000</v>
      </c>
      <c r="I31" s="10" t="n">
        <v>169.18</v>
      </c>
      <c r="J31" s="5" t="s">
        <v>60</v>
      </c>
      <c r="K31" s="5" t="n">
        <f aca="false">COUNTIF('Full Log'!$A:$A,$A31)</f>
        <v>10</v>
      </c>
      <c r="L31" s="5" t="s">
        <v>109</v>
      </c>
      <c r="M31" s="5" t="s">
        <v>190</v>
      </c>
      <c r="N31" s="6" t="s">
        <v>191</v>
      </c>
    </row>
    <row r="32" customFormat="false" ht="57.45" hidden="false" customHeight="false" outlineLevel="0" collapsed="false">
      <c r="A32" s="5" t="s">
        <v>192</v>
      </c>
      <c r="B32" s="5" t="s">
        <v>193</v>
      </c>
      <c r="C32" s="6" t="s">
        <v>194</v>
      </c>
      <c r="D32" s="5" t="s">
        <v>178</v>
      </c>
      <c r="E32" s="11"/>
      <c r="F32" s="8"/>
      <c r="G32" s="9"/>
      <c r="H32" s="10"/>
      <c r="I32" s="10" t="n">
        <v>88.58</v>
      </c>
      <c r="J32" s="5" t="s">
        <v>60</v>
      </c>
      <c r="K32" s="5" t="n">
        <f aca="false">COUNTIF('Full Log'!$A:$A,$A32)</f>
        <v>6</v>
      </c>
      <c r="L32" s="5" t="s">
        <v>80</v>
      </c>
      <c r="M32" s="5" t="s">
        <v>60</v>
      </c>
      <c r="N32" s="6" t="s">
        <v>195</v>
      </c>
    </row>
    <row r="33" customFormat="false" ht="57.45" hidden="false" customHeight="false" outlineLevel="0" collapsed="false">
      <c r="A33" s="5" t="s">
        <v>196</v>
      </c>
      <c r="B33" s="5" t="s">
        <v>197</v>
      </c>
      <c r="C33" s="6" t="s">
        <v>198</v>
      </c>
      <c r="D33" s="5" t="s">
        <v>178</v>
      </c>
      <c r="E33" s="7" t="s">
        <v>59</v>
      </c>
      <c r="F33" s="8" t="n">
        <v>4</v>
      </c>
      <c r="G33" s="9" t="n">
        <v>1328.56</v>
      </c>
      <c r="H33" s="10"/>
      <c r="I33" s="10" t="n">
        <v>379.13</v>
      </c>
      <c r="J33" s="5" t="s">
        <v>60</v>
      </c>
      <c r="K33" s="5" t="n">
        <f aca="false">COUNTIF('Full Log'!$A:$A,$A33)</f>
        <v>8</v>
      </c>
      <c r="L33" s="5" t="s">
        <v>75</v>
      </c>
      <c r="M33" s="5" t="s">
        <v>80</v>
      </c>
      <c r="N33" s="6" t="s">
        <v>199</v>
      </c>
    </row>
    <row r="34" customFormat="false" ht="35.05" hidden="false" customHeight="false" outlineLevel="0" collapsed="false">
      <c r="A34" s="5" t="s">
        <v>200</v>
      </c>
      <c r="B34" s="5" t="s">
        <v>201</v>
      </c>
      <c r="C34" s="6" t="s">
        <v>202</v>
      </c>
      <c r="D34" s="5" t="s">
        <v>178</v>
      </c>
      <c r="E34" s="7" t="s">
        <v>59</v>
      </c>
      <c r="F34" s="8" t="n">
        <v>54</v>
      </c>
      <c r="G34" s="9" t="n">
        <v>7700.99</v>
      </c>
      <c r="H34" s="10" t="n">
        <v>15000</v>
      </c>
      <c r="I34" s="10" t="n">
        <v>249.89</v>
      </c>
      <c r="J34" s="5" t="s">
        <v>60</v>
      </c>
      <c r="K34" s="5" t="n">
        <f aca="false">COUNTIF('Full Log'!$A:$A,$A34)</f>
        <v>10</v>
      </c>
      <c r="L34" s="5" t="s">
        <v>86</v>
      </c>
      <c r="M34" s="5" t="s">
        <v>146</v>
      </c>
      <c r="N34" s="6" t="s">
        <v>182</v>
      </c>
    </row>
    <row r="35" customFormat="false" ht="35.05" hidden="false" customHeight="false" outlineLevel="0" collapsed="false">
      <c r="A35" s="5" t="s">
        <v>203</v>
      </c>
      <c r="B35" s="5" t="s">
        <v>204</v>
      </c>
      <c r="C35" s="6" t="s">
        <v>205</v>
      </c>
      <c r="D35" s="5" t="s">
        <v>178</v>
      </c>
      <c r="E35" s="7" t="s">
        <v>59</v>
      </c>
      <c r="F35" s="8" t="n">
        <v>3</v>
      </c>
      <c r="G35" s="9" t="n">
        <v>1604.56</v>
      </c>
      <c r="H35" s="10"/>
      <c r="I35" s="10" t="n">
        <v>562.38</v>
      </c>
      <c r="J35" s="5" t="s">
        <v>60</v>
      </c>
      <c r="K35" s="5" t="n">
        <f aca="false">COUNTIF('Full Log'!$A:$A,$A35)</f>
        <v>7</v>
      </c>
      <c r="L35" s="5" t="s">
        <v>86</v>
      </c>
      <c r="M35" s="5" t="s">
        <v>75</v>
      </c>
      <c r="N35" s="6" t="s">
        <v>91</v>
      </c>
    </row>
    <row r="36" customFormat="false" ht="68.65" hidden="false" customHeight="false" outlineLevel="0" collapsed="false">
      <c r="A36" s="5" t="s">
        <v>206</v>
      </c>
      <c r="B36" s="5" t="s">
        <v>207</v>
      </c>
      <c r="C36" s="6" t="s">
        <v>208</v>
      </c>
      <c r="D36" s="5" t="s">
        <v>178</v>
      </c>
      <c r="E36" s="11"/>
      <c r="F36" s="8"/>
      <c r="G36" s="9"/>
      <c r="H36" s="10"/>
      <c r="I36" s="10" t="n">
        <v>165.68</v>
      </c>
      <c r="J36" s="5" t="s">
        <v>60</v>
      </c>
      <c r="K36" s="5" t="n">
        <f aca="false">COUNTIF('Full Log'!$A:$A,$A36)</f>
        <v>4</v>
      </c>
      <c r="L36" s="5" t="s">
        <v>86</v>
      </c>
      <c r="M36" s="5" t="s">
        <v>169</v>
      </c>
      <c r="N36" s="6" t="s">
        <v>209</v>
      </c>
    </row>
    <row r="37" customFormat="false" ht="57.45" hidden="false" customHeight="false" outlineLevel="0" collapsed="false">
      <c r="A37" s="5" t="s">
        <v>210</v>
      </c>
      <c r="B37" s="5" t="s">
        <v>211</v>
      </c>
      <c r="C37" s="6" t="s">
        <v>212</v>
      </c>
      <c r="D37" s="5" t="s">
        <v>178</v>
      </c>
      <c r="E37" s="7" t="s">
        <v>59</v>
      </c>
      <c r="F37" s="8" t="n">
        <v>9.5</v>
      </c>
      <c r="G37" s="9" t="n">
        <v>7610.18</v>
      </c>
      <c r="H37" s="10" t="n">
        <v>20000</v>
      </c>
      <c r="I37" s="10" t="n">
        <v>890.17</v>
      </c>
      <c r="J37" s="5" t="s">
        <v>60</v>
      </c>
      <c r="K37" s="5" t="n">
        <f aca="false">COUNTIF('Full Log'!$A:$A,$A37)</f>
        <v>20</v>
      </c>
      <c r="L37" s="5" t="s">
        <v>109</v>
      </c>
      <c r="M37" s="5" t="s">
        <v>80</v>
      </c>
      <c r="N37" s="6" t="s">
        <v>199</v>
      </c>
    </row>
    <row r="38" customFormat="false" ht="35.05" hidden="false" customHeight="false" outlineLevel="0" collapsed="false">
      <c r="A38" s="5" t="s">
        <v>213</v>
      </c>
      <c r="B38" s="5" t="s">
        <v>214</v>
      </c>
      <c r="C38" s="6" t="s">
        <v>215</v>
      </c>
      <c r="D38" s="5" t="s">
        <v>178</v>
      </c>
      <c r="E38" s="11"/>
      <c r="F38" s="8"/>
      <c r="G38" s="9"/>
      <c r="H38" s="10"/>
      <c r="I38" s="10" t="n">
        <v>7.59</v>
      </c>
      <c r="J38" s="5" t="s">
        <v>80</v>
      </c>
      <c r="K38" s="5" t="n">
        <f aca="false">COUNTIF('Full Log'!$A:$A,$A38)</f>
        <v>6</v>
      </c>
      <c r="L38" s="5" t="s">
        <v>80</v>
      </c>
      <c r="M38" s="5" t="s">
        <v>60</v>
      </c>
      <c r="N38" s="6" t="s">
        <v>216</v>
      </c>
    </row>
    <row r="39" customFormat="false" ht="35.05" hidden="false" customHeight="false" outlineLevel="0" collapsed="false">
      <c r="A39" s="5" t="s">
        <v>217</v>
      </c>
      <c r="B39" s="5" t="s">
        <v>218</v>
      </c>
      <c r="C39" s="6" t="s">
        <v>219</v>
      </c>
      <c r="D39" s="5" t="s">
        <v>178</v>
      </c>
      <c r="E39" s="11"/>
      <c r="F39" s="8"/>
      <c r="G39" s="9"/>
      <c r="H39" s="10"/>
      <c r="I39" s="10" t="n">
        <v>8.91</v>
      </c>
      <c r="J39" s="5" t="s">
        <v>60</v>
      </c>
      <c r="K39" s="5" t="n">
        <f aca="false">COUNTIF('Full Log'!$A:$A,$A39)</f>
        <v>12</v>
      </c>
      <c r="L39" s="5" t="s">
        <v>146</v>
      </c>
      <c r="M39" s="5" t="s">
        <v>80</v>
      </c>
      <c r="N39" s="6" t="s">
        <v>220</v>
      </c>
    </row>
    <row r="40" customFormat="false" ht="57.45" hidden="false" customHeight="false" outlineLevel="0" collapsed="false">
      <c r="A40" s="5" t="s">
        <v>221</v>
      </c>
      <c r="B40" s="5" t="s">
        <v>222</v>
      </c>
      <c r="C40" s="6" t="s">
        <v>223</v>
      </c>
      <c r="D40" s="5" t="s">
        <v>224</v>
      </c>
      <c r="E40" s="11"/>
      <c r="F40" s="8"/>
      <c r="G40" s="9"/>
      <c r="H40" s="10"/>
      <c r="I40" s="10" t="n">
        <v>11.85</v>
      </c>
      <c r="J40" s="5" t="s">
        <v>60</v>
      </c>
      <c r="K40" s="5" t="n">
        <f aca="false">COUNTIF('Full Log'!$A:$A,$A40)</f>
        <v>5</v>
      </c>
      <c r="L40" s="5" t="s">
        <v>146</v>
      </c>
      <c r="M40" s="5" t="s">
        <v>99</v>
      </c>
      <c r="N40" s="6" t="s">
        <v>225</v>
      </c>
    </row>
    <row r="41" customFormat="false" ht="91" hidden="false" customHeight="false" outlineLevel="0" collapsed="false">
      <c r="A41" s="5" t="s">
        <v>226</v>
      </c>
      <c r="B41" s="5" t="s">
        <v>227</v>
      </c>
      <c r="C41" s="6" t="s">
        <v>228</v>
      </c>
      <c r="D41" s="5" t="s">
        <v>224</v>
      </c>
      <c r="E41" s="11"/>
      <c r="F41" s="8"/>
      <c r="G41" s="9"/>
      <c r="H41" s="10"/>
      <c r="I41" s="10" t="n">
        <v>41.87</v>
      </c>
      <c r="J41" s="5" t="s">
        <v>60</v>
      </c>
      <c r="K41" s="5" t="n">
        <f aca="false">COUNTIF('Full Log'!$A:$A,$A41)</f>
        <v>1</v>
      </c>
      <c r="L41" s="5" t="s">
        <v>229</v>
      </c>
      <c r="M41" s="5" t="s">
        <v>229</v>
      </c>
      <c r="N41" s="6" t="s">
        <v>230</v>
      </c>
    </row>
    <row r="42" customFormat="false" ht="35.05" hidden="false" customHeight="false" outlineLevel="0" collapsed="false">
      <c r="A42" s="5" t="s">
        <v>231</v>
      </c>
      <c r="B42" s="5" t="s">
        <v>232</v>
      </c>
      <c r="C42" s="6" t="s">
        <v>233</v>
      </c>
      <c r="D42" s="5" t="s">
        <v>224</v>
      </c>
      <c r="E42" s="11"/>
      <c r="F42" s="8"/>
      <c r="G42" s="9"/>
      <c r="H42" s="10"/>
      <c r="I42" s="10" t="n">
        <v>3.94</v>
      </c>
      <c r="J42" s="5" t="s">
        <v>80</v>
      </c>
      <c r="K42" s="5" t="n">
        <f aca="false">COUNTIF('Full Log'!$A:$A,$A42)</f>
        <v>7</v>
      </c>
      <c r="L42" s="5" t="s">
        <v>86</v>
      </c>
      <c r="M42" s="5" t="s">
        <v>99</v>
      </c>
      <c r="N42" s="6" t="s">
        <v>234</v>
      </c>
    </row>
    <row r="43" customFormat="false" ht="102.2" hidden="false" customHeight="false" outlineLevel="0" collapsed="false">
      <c r="A43" s="5" t="s">
        <v>235</v>
      </c>
      <c r="B43" s="5" t="s">
        <v>236</v>
      </c>
      <c r="C43" s="6" t="s">
        <v>237</v>
      </c>
      <c r="D43" s="5" t="s">
        <v>224</v>
      </c>
      <c r="E43" s="11"/>
      <c r="F43" s="8"/>
      <c r="G43" s="9"/>
      <c r="H43" s="10"/>
      <c r="I43" s="10" t="n">
        <v>250.05</v>
      </c>
      <c r="J43" s="5" t="s">
        <v>60</v>
      </c>
      <c r="K43" s="5" t="n">
        <f aca="false">COUNTIF('Full Log'!$A:$A,$A43)</f>
        <v>1</v>
      </c>
      <c r="L43" s="5" t="s">
        <v>238</v>
      </c>
      <c r="M43" s="5" t="s">
        <v>238</v>
      </c>
      <c r="N43" s="6" t="s">
        <v>239</v>
      </c>
    </row>
    <row r="44" customFormat="false" ht="15" hidden="false" customHeight="false" outlineLevel="0" collapsed="false">
      <c r="A44" s="5" t="s">
        <v>240</v>
      </c>
      <c r="B44" s="5" t="s">
        <v>241</v>
      </c>
      <c r="C44" s="6" t="s">
        <v>242</v>
      </c>
      <c r="D44" s="5" t="s">
        <v>224</v>
      </c>
      <c r="E44" s="11"/>
      <c r="F44" s="8"/>
      <c r="G44" s="9"/>
      <c r="H44" s="10"/>
      <c r="I44" s="10" t="n">
        <v>5.47</v>
      </c>
      <c r="J44" s="5" t="s">
        <v>75</v>
      </c>
      <c r="K44" s="5" t="n">
        <f aca="false">COUNTIF('Full Log'!$A:$A,$A44)</f>
        <v>0</v>
      </c>
      <c r="L44" s="5"/>
      <c r="M44" s="5"/>
      <c r="N44" s="6" t="s">
        <v>118</v>
      </c>
    </row>
    <row r="45" customFormat="false" ht="68.65" hidden="false" customHeight="false" outlineLevel="0" collapsed="false">
      <c r="A45" s="5" t="s">
        <v>243</v>
      </c>
      <c r="B45" s="5" t="s">
        <v>244</v>
      </c>
      <c r="C45" s="6" t="s">
        <v>245</v>
      </c>
      <c r="D45" s="5" t="s">
        <v>224</v>
      </c>
      <c r="E45" s="7" t="s">
        <v>59</v>
      </c>
      <c r="F45" s="8" t="n">
        <v>10</v>
      </c>
      <c r="G45" s="9" t="n">
        <v>4304.62</v>
      </c>
      <c r="H45" s="10" t="n">
        <v>10000</v>
      </c>
      <c r="I45" s="10" t="n">
        <v>328.58</v>
      </c>
      <c r="J45" s="5" t="s">
        <v>60</v>
      </c>
      <c r="K45" s="5" t="n">
        <f aca="false">COUNTIF('Full Log'!$A:$A,$A45)</f>
        <v>7</v>
      </c>
      <c r="L45" s="5" t="s">
        <v>109</v>
      </c>
      <c r="M45" s="5" t="s">
        <v>238</v>
      </c>
      <c r="N45" s="6" t="s">
        <v>246</v>
      </c>
    </row>
    <row r="46" customFormat="false" ht="23.85" hidden="false" customHeight="false" outlineLevel="0" collapsed="false">
      <c r="A46" s="5" t="s">
        <v>247</v>
      </c>
      <c r="B46" s="5" t="s">
        <v>248</v>
      </c>
      <c r="C46" s="6" t="s">
        <v>249</v>
      </c>
      <c r="D46" s="5" t="s">
        <v>250</v>
      </c>
      <c r="E46" s="7" t="s">
        <v>59</v>
      </c>
      <c r="F46" s="8" t="n">
        <v>62</v>
      </c>
      <c r="G46" s="9" t="n">
        <v>4067.62</v>
      </c>
      <c r="H46" s="10" t="n">
        <v>10000</v>
      </c>
      <c r="I46" s="10" t="n">
        <v>66.89</v>
      </c>
      <c r="J46" s="5" t="s">
        <v>60</v>
      </c>
      <c r="K46" s="5" t="n">
        <f aca="false">COUNTIF('Full Log'!$A:$A,$A46)</f>
        <v>1</v>
      </c>
      <c r="L46" s="5" t="s">
        <v>86</v>
      </c>
      <c r="M46" s="5" t="s">
        <v>86</v>
      </c>
      <c r="N46" s="6" t="s">
        <v>251</v>
      </c>
    </row>
    <row r="47" customFormat="false" ht="46.25" hidden="false" customHeight="false" outlineLevel="0" collapsed="false">
      <c r="A47" s="5" t="s">
        <v>252</v>
      </c>
      <c r="B47" s="5" t="s">
        <v>253</v>
      </c>
      <c r="C47" s="6" t="s">
        <v>254</v>
      </c>
      <c r="D47" s="5" t="s">
        <v>250</v>
      </c>
      <c r="E47" s="7" t="s">
        <v>59</v>
      </c>
      <c r="F47" s="8" t="n">
        <v>38</v>
      </c>
      <c r="G47" s="9" t="n">
        <v>16381.68</v>
      </c>
      <c r="H47" s="10" t="n">
        <v>20000</v>
      </c>
      <c r="I47" s="10" t="n">
        <v>378.81</v>
      </c>
      <c r="J47" s="5" t="s">
        <v>60</v>
      </c>
      <c r="K47" s="5" t="n">
        <f aca="false">COUNTIF('Full Log'!$A:$A,$A47)</f>
        <v>33</v>
      </c>
      <c r="L47" s="5" t="s">
        <v>61</v>
      </c>
      <c r="M47" s="5" t="s">
        <v>238</v>
      </c>
      <c r="N47" s="6" t="s">
        <v>255</v>
      </c>
    </row>
    <row r="48" customFormat="false" ht="68.65" hidden="false" customHeight="false" outlineLevel="0" collapsed="false">
      <c r="A48" s="5" t="s">
        <v>256</v>
      </c>
      <c r="B48" s="5" t="s">
        <v>257</v>
      </c>
      <c r="C48" s="6" t="s">
        <v>258</v>
      </c>
      <c r="D48" s="5" t="s">
        <v>250</v>
      </c>
      <c r="E48" s="11"/>
      <c r="F48" s="8"/>
      <c r="G48" s="9"/>
      <c r="H48" s="10"/>
      <c r="I48" s="10" t="n">
        <v>43.35</v>
      </c>
      <c r="J48" s="5" t="s">
        <v>60</v>
      </c>
      <c r="K48" s="5" t="n">
        <f aca="false">COUNTIF('Full Log'!$A:$A,$A48)</f>
        <v>3</v>
      </c>
      <c r="L48" s="5" t="s">
        <v>95</v>
      </c>
      <c r="M48" s="5" t="s">
        <v>186</v>
      </c>
      <c r="N48" s="6" t="s">
        <v>259</v>
      </c>
    </row>
    <row r="49" customFormat="false" ht="57.45" hidden="false" customHeight="false" outlineLevel="0" collapsed="false">
      <c r="A49" s="5" t="s">
        <v>260</v>
      </c>
      <c r="B49" s="5" t="s">
        <v>261</v>
      </c>
      <c r="C49" s="6" t="s">
        <v>262</v>
      </c>
      <c r="D49" s="5" t="s">
        <v>250</v>
      </c>
      <c r="E49" s="11"/>
      <c r="F49" s="8"/>
      <c r="G49" s="9"/>
      <c r="H49" s="10"/>
      <c r="I49" s="10" t="n">
        <v>441.04</v>
      </c>
      <c r="J49" s="5" t="s">
        <v>60</v>
      </c>
      <c r="K49" s="5" t="n">
        <f aca="false">COUNTIF('Full Log'!$A:$A,$A49)</f>
        <v>4</v>
      </c>
      <c r="L49" s="5" t="s">
        <v>95</v>
      </c>
      <c r="M49" s="5" t="s">
        <v>169</v>
      </c>
      <c r="N49" s="6" t="s">
        <v>263</v>
      </c>
    </row>
    <row r="50" customFormat="false" ht="68.65" hidden="false" customHeight="false" outlineLevel="0" collapsed="false">
      <c r="A50" s="5" t="s">
        <v>264</v>
      </c>
      <c r="B50" s="5" t="s">
        <v>265</v>
      </c>
      <c r="C50" s="6" t="s">
        <v>266</v>
      </c>
      <c r="D50" s="5" t="s">
        <v>250</v>
      </c>
      <c r="E50" s="7" t="s">
        <v>59</v>
      </c>
      <c r="F50" s="8" t="n">
        <v>10</v>
      </c>
      <c r="G50" s="9" t="n">
        <v>3567.37</v>
      </c>
      <c r="H50" s="10" t="n">
        <v>10000</v>
      </c>
      <c r="I50" s="10" t="n">
        <v>379.31</v>
      </c>
      <c r="J50" s="5" t="s">
        <v>60</v>
      </c>
      <c r="K50" s="5" t="n">
        <f aca="false">COUNTIF('Full Log'!$A:$A,$A50)</f>
        <v>9</v>
      </c>
      <c r="L50" s="5" t="s">
        <v>109</v>
      </c>
      <c r="M50" s="5" t="s">
        <v>168</v>
      </c>
      <c r="N50" s="6" t="s">
        <v>267</v>
      </c>
    </row>
    <row r="51" customFormat="false" ht="35.05" hidden="false" customHeight="false" outlineLevel="0" collapsed="false">
      <c r="A51" s="5" t="s">
        <v>268</v>
      </c>
      <c r="B51" s="5" t="s">
        <v>269</v>
      </c>
      <c r="C51" s="6" t="s">
        <v>270</v>
      </c>
      <c r="D51" s="5" t="s">
        <v>271</v>
      </c>
      <c r="E51" s="11"/>
      <c r="F51" s="8"/>
      <c r="G51" s="9"/>
      <c r="H51" s="10"/>
      <c r="I51" s="10" t="n">
        <v>71.94</v>
      </c>
      <c r="J51" s="5" t="s">
        <v>60</v>
      </c>
      <c r="K51" s="5" t="n">
        <f aca="false">COUNTIF('Full Log'!$A:$A,$A51)</f>
        <v>12</v>
      </c>
      <c r="L51" s="5" t="s">
        <v>86</v>
      </c>
      <c r="M51" s="5" t="s">
        <v>169</v>
      </c>
      <c r="N51" s="6" t="s">
        <v>272</v>
      </c>
    </row>
    <row r="52" customFormat="false" ht="46.25" hidden="false" customHeight="false" outlineLevel="0" collapsed="false">
      <c r="A52" s="5" t="s">
        <v>273</v>
      </c>
      <c r="B52" s="5" t="s">
        <v>274</v>
      </c>
      <c r="C52" s="6" t="s">
        <v>275</v>
      </c>
      <c r="D52" s="5" t="s">
        <v>271</v>
      </c>
      <c r="E52" s="11"/>
      <c r="F52" s="8"/>
      <c r="G52" s="9"/>
      <c r="H52" s="10"/>
      <c r="I52" s="10" t="n">
        <v>16.4</v>
      </c>
      <c r="J52" s="5" t="s">
        <v>60</v>
      </c>
      <c r="K52" s="5" t="n">
        <f aca="false">COUNTIF('Full Log'!$A:$A,$A52)</f>
        <v>7</v>
      </c>
      <c r="L52" s="5" t="s">
        <v>186</v>
      </c>
      <c r="M52" s="5" t="s">
        <v>229</v>
      </c>
      <c r="N52" s="6" t="s">
        <v>276</v>
      </c>
    </row>
    <row r="53" customFormat="false" ht="23.85" hidden="false" customHeight="false" outlineLevel="0" collapsed="false">
      <c r="A53" s="5" t="s">
        <v>277</v>
      </c>
      <c r="B53" s="5" t="s">
        <v>278</v>
      </c>
      <c r="C53" s="6" t="s">
        <v>279</v>
      </c>
      <c r="D53" s="5" t="s">
        <v>271</v>
      </c>
      <c r="E53" s="11"/>
      <c r="F53" s="8"/>
      <c r="G53" s="9"/>
      <c r="H53" s="10"/>
      <c r="I53" s="10" t="n">
        <v>23.93</v>
      </c>
      <c r="J53" s="5" t="s">
        <v>60</v>
      </c>
      <c r="K53" s="5" t="n">
        <f aca="false">COUNTIF('Full Log'!$A:$A,$A53)</f>
        <v>2</v>
      </c>
      <c r="L53" s="5" t="s">
        <v>75</v>
      </c>
      <c r="M53" s="5" t="s">
        <v>75</v>
      </c>
      <c r="N53" s="6" t="s">
        <v>280</v>
      </c>
    </row>
    <row r="54" customFormat="false" ht="46.25" hidden="false" customHeight="false" outlineLevel="0" collapsed="false">
      <c r="A54" s="5" t="s">
        <v>281</v>
      </c>
      <c r="B54" s="5" t="s">
        <v>282</v>
      </c>
      <c r="C54" s="6" t="s">
        <v>283</v>
      </c>
      <c r="D54" s="5" t="s">
        <v>271</v>
      </c>
      <c r="E54" s="7" t="s">
        <v>59</v>
      </c>
      <c r="F54" s="8" t="n">
        <v>23</v>
      </c>
      <c r="G54" s="9" t="n">
        <v>1942.58</v>
      </c>
      <c r="H54" s="10" t="n">
        <v>10000</v>
      </c>
      <c r="I54" s="10" t="n">
        <v>82.83</v>
      </c>
      <c r="J54" s="5" t="s">
        <v>60</v>
      </c>
      <c r="K54" s="5" t="n">
        <f aca="false">COUNTIF('Full Log'!$A:$A,$A54)</f>
        <v>16</v>
      </c>
      <c r="L54" s="5" t="s">
        <v>95</v>
      </c>
      <c r="M54" s="5" t="s">
        <v>62</v>
      </c>
      <c r="N54" s="6" t="s">
        <v>284</v>
      </c>
    </row>
    <row r="55" customFormat="false" ht="15" hidden="false" customHeight="false" outlineLevel="0" collapsed="false">
      <c r="A55" s="5" t="s">
        <v>285</v>
      </c>
      <c r="B55" s="5" t="s">
        <v>286</v>
      </c>
      <c r="C55" s="6" t="s">
        <v>287</v>
      </c>
      <c r="D55" s="5" t="s">
        <v>271</v>
      </c>
      <c r="E55" s="11"/>
      <c r="F55" s="8"/>
      <c r="G55" s="9"/>
      <c r="H55" s="10"/>
      <c r="I55" s="10" t="n">
        <v>2.24</v>
      </c>
      <c r="J55" s="5" t="s">
        <v>60</v>
      </c>
      <c r="K55" s="5" t="n">
        <f aca="false">COUNTIF('Full Log'!$A:$A,$A55)</f>
        <v>0</v>
      </c>
      <c r="L55" s="5"/>
      <c r="M55" s="5"/>
      <c r="N55" s="6" t="s">
        <v>118</v>
      </c>
    </row>
    <row r="56" customFormat="false" ht="102.2" hidden="false" customHeight="false" outlineLevel="0" collapsed="false">
      <c r="A56" s="5" t="s">
        <v>288</v>
      </c>
      <c r="B56" s="5" t="s">
        <v>289</v>
      </c>
      <c r="C56" s="6" t="s">
        <v>290</v>
      </c>
      <c r="D56" s="5" t="s">
        <v>271</v>
      </c>
      <c r="E56" s="11"/>
      <c r="F56" s="8"/>
      <c r="G56" s="9"/>
      <c r="H56" s="10"/>
      <c r="I56" s="10" t="n">
        <v>133.11</v>
      </c>
      <c r="J56" s="5" t="s">
        <v>60</v>
      </c>
      <c r="K56" s="5" t="n">
        <f aca="false">COUNTIF('Full Log'!$A:$A,$A56)</f>
        <v>17</v>
      </c>
      <c r="L56" s="5" t="s">
        <v>86</v>
      </c>
      <c r="M56" s="5" t="s">
        <v>80</v>
      </c>
      <c r="N56" s="6" t="s">
        <v>87</v>
      </c>
    </row>
    <row r="57" customFormat="false" ht="35.05" hidden="false" customHeight="false" outlineLevel="0" collapsed="false">
      <c r="A57" s="5" t="s">
        <v>291</v>
      </c>
      <c r="B57" s="5" t="s">
        <v>292</v>
      </c>
      <c r="C57" s="6" t="s">
        <v>293</v>
      </c>
      <c r="D57" s="5" t="s">
        <v>294</v>
      </c>
      <c r="E57" s="7" t="s">
        <v>59</v>
      </c>
      <c r="F57" s="8" t="n">
        <v>18</v>
      </c>
      <c r="G57" s="9" t="n">
        <v>3758.3</v>
      </c>
      <c r="H57" s="10" t="n">
        <v>5000</v>
      </c>
      <c r="I57" s="10" t="n">
        <v>186.73</v>
      </c>
      <c r="J57" s="5" t="s">
        <v>60</v>
      </c>
      <c r="K57" s="5" t="n">
        <f aca="false">COUNTIF('Full Log'!$A:$A,$A57)</f>
        <v>4</v>
      </c>
      <c r="L57" s="5" t="s">
        <v>61</v>
      </c>
      <c r="M57" s="5" t="s">
        <v>95</v>
      </c>
      <c r="N57" s="6" t="s">
        <v>295</v>
      </c>
    </row>
    <row r="58" customFormat="false" ht="102.2" hidden="false" customHeight="false" outlineLevel="0" collapsed="false">
      <c r="A58" s="5" t="s">
        <v>296</v>
      </c>
      <c r="B58" s="5" t="s">
        <v>297</v>
      </c>
      <c r="C58" s="6" t="s">
        <v>298</v>
      </c>
      <c r="D58" s="5" t="s">
        <v>294</v>
      </c>
      <c r="E58" s="11"/>
      <c r="F58" s="8"/>
      <c r="G58" s="9"/>
      <c r="H58" s="10"/>
      <c r="I58" s="10" t="n">
        <v>522.46</v>
      </c>
      <c r="J58" s="5" t="s">
        <v>80</v>
      </c>
      <c r="K58" s="5" t="n">
        <f aca="false">COUNTIF('Full Log'!$A:$A,$A58)</f>
        <v>2</v>
      </c>
      <c r="L58" s="5" t="s">
        <v>60</v>
      </c>
      <c r="M58" s="5" t="s">
        <v>60</v>
      </c>
      <c r="N58" s="6" t="s">
        <v>299</v>
      </c>
    </row>
    <row r="59" customFormat="false" ht="23.85" hidden="false" customHeight="false" outlineLevel="0" collapsed="false">
      <c r="A59" s="5" t="s">
        <v>300</v>
      </c>
      <c r="B59" s="5" t="s">
        <v>301</v>
      </c>
      <c r="C59" s="6" t="s">
        <v>302</v>
      </c>
      <c r="D59" s="5" t="s">
        <v>294</v>
      </c>
      <c r="E59" s="11"/>
      <c r="F59" s="8"/>
      <c r="G59" s="9"/>
      <c r="H59" s="10"/>
      <c r="I59" s="10" t="n">
        <v>587.95</v>
      </c>
      <c r="J59" s="5" t="s">
        <v>60</v>
      </c>
      <c r="K59" s="5" t="n">
        <f aca="false">COUNTIF('Full Log'!$A:$A,$A59)</f>
        <v>0</v>
      </c>
      <c r="L59" s="5"/>
      <c r="M59" s="5"/>
      <c r="N59" s="6" t="s">
        <v>118</v>
      </c>
    </row>
    <row r="60" customFormat="false" ht="15" hidden="false" customHeight="false" outlineLevel="0" collapsed="false">
      <c r="A60" s="5" t="s">
        <v>303</v>
      </c>
      <c r="B60" s="5" t="s">
        <v>304</v>
      </c>
      <c r="C60" s="6" t="s">
        <v>305</v>
      </c>
      <c r="D60" s="5" t="s">
        <v>294</v>
      </c>
      <c r="E60" s="11"/>
      <c r="F60" s="8"/>
      <c r="G60" s="9"/>
      <c r="H60" s="10"/>
      <c r="I60" s="10" t="n">
        <v>571.58</v>
      </c>
      <c r="J60" s="5" t="s">
        <v>60</v>
      </c>
      <c r="K60" s="5" t="n">
        <f aca="false">COUNTIF('Full Log'!$A:$A,$A60)</f>
        <v>0</v>
      </c>
      <c r="L60" s="5"/>
      <c r="M60" s="5"/>
      <c r="N60" s="6" t="s">
        <v>118</v>
      </c>
    </row>
    <row r="61" customFormat="false" ht="57.45" hidden="false" customHeight="false" outlineLevel="0" collapsed="false">
      <c r="A61" s="5" t="s">
        <v>306</v>
      </c>
      <c r="B61" s="5" t="s">
        <v>307</v>
      </c>
      <c r="C61" s="6" t="s">
        <v>308</v>
      </c>
      <c r="D61" s="5" t="s">
        <v>294</v>
      </c>
      <c r="E61" s="7" t="s">
        <v>59</v>
      </c>
      <c r="F61" s="8" t="n">
        <v>200</v>
      </c>
      <c r="G61" s="9" t="n">
        <v>2030.54</v>
      </c>
      <c r="H61" s="10"/>
      <c r="I61" s="10" t="n">
        <v>9.11</v>
      </c>
      <c r="J61" s="5" t="s">
        <v>60</v>
      </c>
      <c r="K61" s="5" t="n">
        <f aca="false">COUNTIF('Full Log'!$A:$A,$A61)</f>
        <v>20</v>
      </c>
      <c r="L61" s="5" t="s">
        <v>61</v>
      </c>
      <c r="M61" s="5" t="s">
        <v>62</v>
      </c>
      <c r="N61" s="6" t="s">
        <v>309</v>
      </c>
    </row>
    <row r="62" customFormat="false" ht="35.05" hidden="false" customHeight="false" outlineLevel="0" collapsed="false">
      <c r="A62" s="5" t="s">
        <v>310</v>
      </c>
      <c r="B62" s="5" t="s">
        <v>311</v>
      </c>
      <c r="C62" s="6" t="s">
        <v>312</v>
      </c>
      <c r="D62" s="5" t="s">
        <v>294</v>
      </c>
      <c r="E62" s="7" t="s">
        <v>59</v>
      </c>
      <c r="F62" s="8" t="n">
        <v>40</v>
      </c>
      <c r="G62" s="9" t="n">
        <v>5533.09</v>
      </c>
      <c r="H62" s="10" t="n">
        <v>10000</v>
      </c>
      <c r="I62" s="10" t="n">
        <v>172.01</v>
      </c>
      <c r="J62" s="5" t="s">
        <v>60</v>
      </c>
      <c r="K62" s="5" t="n">
        <f aca="false">COUNTIF('Full Log'!$A:$A,$A62)</f>
        <v>10</v>
      </c>
      <c r="L62" s="5" t="s">
        <v>61</v>
      </c>
      <c r="M62" s="5" t="s">
        <v>75</v>
      </c>
      <c r="N62" s="6" t="s">
        <v>91</v>
      </c>
    </row>
    <row r="63" customFormat="false" ht="23.85" hidden="false" customHeight="false" outlineLevel="0" collapsed="false">
      <c r="A63" s="5" t="s">
        <v>313</v>
      </c>
      <c r="B63" s="5" t="s">
        <v>314</v>
      </c>
      <c r="C63" s="6" t="s">
        <v>315</v>
      </c>
      <c r="D63" s="5" t="s">
        <v>294</v>
      </c>
      <c r="E63" s="11"/>
      <c r="F63" s="8"/>
      <c r="G63" s="9"/>
      <c r="H63" s="10"/>
      <c r="I63" s="10" t="n">
        <v>9.21</v>
      </c>
      <c r="J63" s="5" t="s">
        <v>60</v>
      </c>
      <c r="K63" s="5" t="n">
        <f aca="false">COUNTIF('Full Log'!$A:$A,$A63)</f>
        <v>0</v>
      </c>
      <c r="L63" s="5"/>
      <c r="M63" s="5"/>
      <c r="N63" s="6" t="s">
        <v>118</v>
      </c>
    </row>
    <row r="64" customFormat="false" ht="15" hidden="false" customHeight="false" outlineLevel="0" collapsed="false">
      <c r="A64" s="5" t="s">
        <v>316</v>
      </c>
      <c r="B64" s="5" t="s">
        <v>317</v>
      </c>
      <c r="C64" s="6" t="s">
        <v>318</v>
      </c>
      <c r="D64" s="5" t="s">
        <v>294</v>
      </c>
      <c r="E64" s="11"/>
      <c r="F64" s="8"/>
      <c r="G64" s="9"/>
      <c r="H64" s="10"/>
      <c r="I64" s="10" t="n">
        <v>223.03</v>
      </c>
      <c r="J64" s="5" t="s">
        <v>60</v>
      </c>
      <c r="K64" s="5" t="n">
        <f aca="false">COUNTIF('Full Log'!$A:$A,$A64)</f>
        <v>0</v>
      </c>
      <c r="L64" s="5"/>
      <c r="M64" s="5"/>
      <c r="N64" s="6" t="s">
        <v>118</v>
      </c>
    </row>
    <row r="65" customFormat="false" ht="35.05" hidden="false" customHeight="false" outlineLevel="0" collapsed="false">
      <c r="A65" s="5" t="s">
        <v>319</v>
      </c>
      <c r="B65" s="5" t="s">
        <v>319</v>
      </c>
      <c r="C65" s="6" t="s">
        <v>320</v>
      </c>
      <c r="D65" s="5" t="s">
        <v>321</v>
      </c>
      <c r="E65" s="7" t="s">
        <v>59</v>
      </c>
      <c r="F65" s="8" t="n">
        <v>6</v>
      </c>
      <c r="G65" s="9" t="n">
        <v>1713.07</v>
      </c>
      <c r="H65" s="10"/>
      <c r="I65" s="10" t="n">
        <v>237.28</v>
      </c>
      <c r="J65" s="5" t="s">
        <v>60</v>
      </c>
      <c r="K65" s="5" t="n">
        <f aca="false">COUNTIF('Full Log'!$A:$A,$A65)</f>
        <v>8</v>
      </c>
      <c r="L65" s="5" t="s">
        <v>86</v>
      </c>
      <c r="M65" s="5" t="s">
        <v>62</v>
      </c>
      <c r="N65" s="6" t="s">
        <v>322</v>
      </c>
    </row>
    <row r="66" customFormat="false" ht="35.05" hidden="false" customHeight="false" outlineLevel="0" collapsed="false">
      <c r="A66" s="5" t="s">
        <v>323</v>
      </c>
      <c r="B66" s="5" t="s">
        <v>324</v>
      </c>
      <c r="C66" s="6" t="s">
        <v>325</v>
      </c>
      <c r="D66" s="5" t="s">
        <v>321</v>
      </c>
      <c r="E66" s="11"/>
      <c r="F66" s="8"/>
      <c r="G66" s="9"/>
      <c r="H66" s="10"/>
      <c r="I66" s="10" t="n">
        <v>44.43</v>
      </c>
      <c r="J66" s="5" t="s">
        <v>60</v>
      </c>
      <c r="K66" s="5" t="n">
        <f aca="false">COUNTIF('Full Log'!$A:$A,$A66)</f>
        <v>16</v>
      </c>
      <c r="L66" s="5" t="s">
        <v>61</v>
      </c>
      <c r="M66" s="5" t="s">
        <v>62</v>
      </c>
      <c r="N66" s="6" t="s">
        <v>322</v>
      </c>
    </row>
    <row r="67" customFormat="false" ht="46.25" hidden="false" customHeight="false" outlineLevel="0" collapsed="false">
      <c r="A67" s="5" t="s">
        <v>326</v>
      </c>
      <c r="B67" s="5" t="s">
        <v>327</v>
      </c>
      <c r="C67" s="6" t="s">
        <v>328</v>
      </c>
      <c r="D67" s="5" t="s">
        <v>329</v>
      </c>
      <c r="E67" s="11"/>
      <c r="F67" s="8"/>
      <c r="G67" s="9"/>
      <c r="H67" s="10"/>
      <c r="I67" s="10" t="n">
        <v>265.21</v>
      </c>
      <c r="J67" s="5" t="s">
        <v>60</v>
      </c>
      <c r="K67" s="5" t="n">
        <f aca="false">COUNTIF('Full Log'!$A:$A,$A67)</f>
        <v>9</v>
      </c>
      <c r="L67" s="5" t="s">
        <v>330</v>
      </c>
      <c r="M67" s="5" t="s">
        <v>80</v>
      </c>
      <c r="N67" s="6" t="s">
        <v>331</v>
      </c>
    </row>
    <row r="68" customFormat="false" ht="79.85" hidden="false" customHeight="false" outlineLevel="0" collapsed="false">
      <c r="A68" s="5" t="s">
        <v>332</v>
      </c>
      <c r="B68" s="5" t="s">
        <v>333</v>
      </c>
      <c r="C68" s="6" t="s">
        <v>334</v>
      </c>
      <c r="D68" s="5" t="s">
        <v>329</v>
      </c>
      <c r="E68" s="11"/>
      <c r="F68" s="8"/>
      <c r="G68" s="9"/>
      <c r="H68" s="10"/>
      <c r="I68" s="10" t="n">
        <v>346.8</v>
      </c>
      <c r="J68" s="5" t="s">
        <v>60</v>
      </c>
      <c r="K68" s="5" t="n">
        <f aca="false">COUNTIF('Full Log'!$A:$A,$A68)</f>
        <v>10</v>
      </c>
      <c r="L68" s="5" t="s">
        <v>99</v>
      </c>
      <c r="M68" s="5" t="s">
        <v>80</v>
      </c>
      <c r="N68" s="6" t="s">
        <v>335</v>
      </c>
    </row>
    <row r="69" customFormat="false" ht="35.05" hidden="false" customHeight="false" outlineLevel="0" collapsed="false">
      <c r="A69" s="5" t="s">
        <v>336</v>
      </c>
      <c r="B69" s="5" t="s">
        <v>337</v>
      </c>
      <c r="C69" s="6" t="s">
        <v>338</v>
      </c>
      <c r="D69" s="5" t="s">
        <v>329</v>
      </c>
      <c r="E69" s="7" t="s">
        <v>59</v>
      </c>
      <c r="F69" s="8" t="n">
        <v>6</v>
      </c>
      <c r="G69" s="9" t="n">
        <v>2007.28</v>
      </c>
      <c r="H69" s="10" t="n">
        <v>5000</v>
      </c>
      <c r="I69" s="10" t="n">
        <v>339.24</v>
      </c>
      <c r="J69" s="5" t="s">
        <v>60</v>
      </c>
      <c r="K69" s="5" t="n">
        <f aca="false">COUNTIF('Full Log'!$A:$A,$A69)</f>
        <v>13</v>
      </c>
      <c r="L69" s="5" t="s">
        <v>86</v>
      </c>
      <c r="M69" s="5" t="s">
        <v>80</v>
      </c>
      <c r="N69" s="6" t="s">
        <v>339</v>
      </c>
    </row>
    <row r="70" customFormat="false" ht="35.05" hidden="false" customHeight="false" outlineLevel="0" collapsed="false">
      <c r="A70" s="5" t="s">
        <v>340</v>
      </c>
      <c r="B70" s="5" t="s">
        <v>341</v>
      </c>
      <c r="C70" s="6" t="s">
        <v>342</v>
      </c>
      <c r="D70" s="5" t="s">
        <v>329</v>
      </c>
      <c r="E70" s="7" t="s">
        <v>59</v>
      </c>
      <c r="F70" s="8" t="n">
        <v>21</v>
      </c>
      <c r="G70" s="9" t="n">
        <v>3741.35</v>
      </c>
      <c r="H70" s="10" t="n">
        <v>5000</v>
      </c>
      <c r="I70" s="10" t="n">
        <v>192.74</v>
      </c>
      <c r="J70" s="5" t="s">
        <v>60</v>
      </c>
      <c r="K70" s="5" t="n">
        <f aca="false">COUNTIF('Full Log'!$A:$A,$A70)</f>
        <v>20</v>
      </c>
      <c r="L70" s="5" t="s">
        <v>86</v>
      </c>
      <c r="M70" s="5" t="s">
        <v>80</v>
      </c>
      <c r="N70" s="6" t="s">
        <v>343</v>
      </c>
    </row>
    <row r="71" customFormat="false" ht="57.45" hidden="false" customHeight="false" outlineLevel="0" collapsed="false">
      <c r="A71" s="5" t="s">
        <v>344</v>
      </c>
      <c r="B71" s="5" t="s">
        <v>345</v>
      </c>
      <c r="C71" s="6" t="s">
        <v>346</v>
      </c>
      <c r="D71" s="5" t="s">
        <v>329</v>
      </c>
      <c r="E71" s="11"/>
      <c r="F71" s="8"/>
      <c r="G71" s="9"/>
      <c r="H71" s="10"/>
      <c r="I71" s="10" t="n">
        <v>233.93</v>
      </c>
      <c r="J71" s="5" t="s">
        <v>60</v>
      </c>
      <c r="K71" s="5" t="n">
        <f aca="false">COUNTIF('Full Log'!$A:$A,$A71)</f>
        <v>11</v>
      </c>
      <c r="L71" s="5" t="s">
        <v>330</v>
      </c>
      <c r="M71" s="5" t="s">
        <v>80</v>
      </c>
      <c r="N71" s="6" t="s">
        <v>347</v>
      </c>
    </row>
    <row r="72" customFormat="false" ht="35.05" hidden="false" customHeight="false" outlineLevel="0" collapsed="false">
      <c r="A72" s="5" t="s">
        <v>348</v>
      </c>
      <c r="B72" s="5" t="s">
        <v>349</v>
      </c>
      <c r="C72" s="6" t="s">
        <v>350</v>
      </c>
      <c r="D72" s="5" t="s">
        <v>329</v>
      </c>
      <c r="E72" s="11"/>
      <c r="F72" s="8"/>
      <c r="G72" s="9"/>
      <c r="H72" s="10"/>
      <c r="I72" s="10" t="n">
        <v>396.71</v>
      </c>
      <c r="J72" s="5" t="s">
        <v>60</v>
      </c>
      <c r="K72" s="5" t="n">
        <f aca="false">COUNTIF('Full Log'!$A:$A,$A72)</f>
        <v>6</v>
      </c>
      <c r="L72" s="5" t="s">
        <v>95</v>
      </c>
      <c r="M72" s="5" t="s">
        <v>330</v>
      </c>
      <c r="N72" s="6" t="s">
        <v>351</v>
      </c>
    </row>
    <row r="73" customFormat="false" ht="79.85" hidden="false" customHeight="false" outlineLevel="0" collapsed="false">
      <c r="A73" s="5" t="s">
        <v>352</v>
      </c>
      <c r="B73" s="5" t="s">
        <v>353</v>
      </c>
      <c r="C73" s="6" t="s">
        <v>354</v>
      </c>
      <c r="D73" s="5" t="s">
        <v>329</v>
      </c>
      <c r="E73" s="11"/>
      <c r="F73" s="8"/>
      <c r="G73" s="9"/>
      <c r="H73" s="10"/>
      <c r="I73" s="10" t="n">
        <v>124.88</v>
      </c>
      <c r="J73" s="5" t="s">
        <v>60</v>
      </c>
      <c r="K73" s="5" t="n">
        <f aca="false">COUNTIF('Full Log'!$A:$A,$A73)</f>
        <v>2</v>
      </c>
      <c r="L73" s="5" t="s">
        <v>190</v>
      </c>
      <c r="M73" s="5" t="s">
        <v>80</v>
      </c>
      <c r="N73" s="6" t="s">
        <v>335</v>
      </c>
    </row>
    <row r="74" customFormat="false" ht="35.05" hidden="false" customHeight="false" outlineLevel="0" collapsed="false">
      <c r="A74" s="5" t="s">
        <v>355</v>
      </c>
      <c r="B74" s="5" t="s">
        <v>356</v>
      </c>
      <c r="C74" s="6" t="s">
        <v>357</v>
      </c>
      <c r="D74" s="5" t="s">
        <v>329</v>
      </c>
      <c r="E74" s="7" t="s">
        <v>59</v>
      </c>
      <c r="F74" s="8" t="n">
        <v>50</v>
      </c>
      <c r="G74" s="9" t="n">
        <v>8313.62</v>
      </c>
      <c r="H74" s="10" t="n">
        <v>10000</v>
      </c>
      <c r="I74" s="10" t="n">
        <v>147.02</v>
      </c>
      <c r="J74" s="5" t="s">
        <v>60</v>
      </c>
      <c r="K74" s="5" t="n">
        <f aca="false">COUNTIF('Full Log'!$A:$A,$A74)</f>
        <v>40</v>
      </c>
      <c r="L74" s="5" t="s">
        <v>61</v>
      </c>
      <c r="M74" s="5" t="s">
        <v>80</v>
      </c>
      <c r="N74" s="6" t="s">
        <v>358</v>
      </c>
    </row>
    <row r="75" customFormat="false" ht="35.05" hidden="false" customHeight="false" outlineLevel="0" collapsed="false">
      <c r="A75" s="5" t="s">
        <v>359</v>
      </c>
      <c r="B75" s="5" t="s">
        <v>360</v>
      </c>
      <c r="C75" s="6" t="s">
        <v>361</v>
      </c>
      <c r="D75" s="5" t="s">
        <v>329</v>
      </c>
      <c r="E75" s="11"/>
      <c r="F75" s="8"/>
      <c r="G75" s="9"/>
      <c r="H75" s="10"/>
      <c r="I75" s="10" t="n">
        <v>330.37</v>
      </c>
      <c r="J75" s="5" t="s">
        <v>60</v>
      </c>
      <c r="K75" s="5" t="n">
        <f aca="false">COUNTIF('Full Log'!$A:$A,$A75)</f>
        <v>3</v>
      </c>
      <c r="L75" s="5" t="s">
        <v>330</v>
      </c>
      <c r="M75" s="5" t="s">
        <v>80</v>
      </c>
      <c r="N75" s="6" t="s">
        <v>362</v>
      </c>
    </row>
    <row r="76" customFormat="false" ht="102.2" hidden="false" customHeight="false" outlineLevel="0" collapsed="false">
      <c r="A76" s="5" t="s">
        <v>363</v>
      </c>
      <c r="B76" s="5" t="s">
        <v>364</v>
      </c>
      <c r="C76" s="6" t="s">
        <v>365</v>
      </c>
      <c r="D76" s="5" t="s">
        <v>329</v>
      </c>
      <c r="E76" s="11"/>
      <c r="F76" s="8"/>
      <c r="G76" s="9"/>
      <c r="H76" s="10"/>
      <c r="I76" s="10" t="n">
        <v>149.07</v>
      </c>
      <c r="J76" s="5" t="s">
        <v>60</v>
      </c>
      <c r="K76" s="5" t="n">
        <f aca="false">COUNTIF('Full Log'!$A:$A,$A76)</f>
        <v>1</v>
      </c>
      <c r="L76" s="5" t="s">
        <v>60</v>
      </c>
      <c r="M76" s="5" t="s">
        <v>60</v>
      </c>
      <c r="N76" s="6" t="s">
        <v>299</v>
      </c>
    </row>
    <row r="77" customFormat="false" ht="35.05" hidden="false" customHeight="false" outlineLevel="0" collapsed="false">
      <c r="A77" s="5" t="s">
        <v>366</v>
      </c>
      <c r="B77" s="5" t="s">
        <v>367</v>
      </c>
      <c r="C77" s="6" t="s">
        <v>368</v>
      </c>
      <c r="D77" s="5" t="s">
        <v>329</v>
      </c>
      <c r="E77" s="11"/>
      <c r="F77" s="8"/>
      <c r="G77" s="9"/>
      <c r="H77" s="10"/>
      <c r="I77" s="10" t="n">
        <v>217.8</v>
      </c>
      <c r="J77" s="5" t="s">
        <v>80</v>
      </c>
      <c r="K77" s="5" t="n">
        <f aca="false">COUNTIF('Full Log'!$A:$A,$A77)</f>
        <v>3</v>
      </c>
      <c r="L77" s="5" t="s">
        <v>80</v>
      </c>
      <c r="M77" s="5" t="s">
        <v>80</v>
      </c>
      <c r="N77" s="6" t="s">
        <v>81</v>
      </c>
    </row>
    <row r="78" customFormat="false" ht="35.05" hidden="false" customHeight="false" outlineLevel="0" collapsed="false">
      <c r="A78" s="5" t="s">
        <v>369</v>
      </c>
      <c r="B78" s="5" t="s">
        <v>370</v>
      </c>
      <c r="C78" s="6" t="s">
        <v>371</v>
      </c>
      <c r="D78" s="5" t="s">
        <v>329</v>
      </c>
      <c r="E78" s="7" t="s">
        <v>59</v>
      </c>
      <c r="F78" s="8" t="n">
        <v>111</v>
      </c>
      <c r="G78" s="9" t="n">
        <v>2004.33</v>
      </c>
      <c r="H78" s="10" t="n">
        <v>5000</v>
      </c>
      <c r="I78" s="10" t="n">
        <v>27.07</v>
      </c>
      <c r="J78" s="5" t="s">
        <v>75</v>
      </c>
      <c r="K78" s="5" t="n">
        <f aca="false">COUNTIF('Full Log'!$A:$A,$A78)</f>
        <v>17</v>
      </c>
      <c r="L78" s="5" t="s">
        <v>86</v>
      </c>
      <c r="M78" s="5" t="s">
        <v>80</v>
      </c>
      <c r="N78" s="6" t="s">
        <v>372</v>
      </c>
    </row>
    <row r="79" customFormat="false" ht="35.05" hidden="false" customHeight="false" outlineLevel="0" collapsed="false">
      <c r="A79" s="5" t="s">
        <v>373</v>
      </c>
      <c r="B79" s="5" t="s">
        <v>374</v>
      </c>
      <c r="C79" s="6" t="s">
        <v>375</v>
      </c>
      <c r="D79" s="5" t="s">
        <v>376</v>
      </c>
      <c r="E79" s="11"/>
      <c r="F79" s="8"/>
      <c r="G79" s="9"/>
      <c r="H79" s="10"/>
      <c r="I79" s="10" t="n">
        <v>87.05</v>
      </c>
      <c r="J79" s="5" t="s">
        <v>60</v>
      </c>
      <c r="K79" s="5" t="n">
        <f aca="false">COUNTIF('Full Log'!$A:$A,$A79)</f>
        <v>12</v>
      </c>
      <c r="L79" s="5" t="s">
        <v>186</v>
      </c>
      <c r="M79" s="5" t="s">
        <v>146</v>
      </c>
      <c r="N79" s="6" t="s">
        <v>377</v>
      </c>
    </row>
    <row r="80" customFormat="false" ht="57.45" hidden="false" customHeight="false" outlineLevel="0" collapsed="false">
      <c r="A80" s="5" t="s">
        <v>378</v>
      </c>
      <c r="B80" s="5" t="s">
        <v>379</v>
      </c>
      <c r="C80" s="6" t="s">
        <v>380</v>
      </c>
      <c r="D80" s="5" t="s">
        <v>376</v>
      </c>
      <c r="E80" s="11"/>
      <c r="F80" s="8"/>
      <c r="G80" s="9"/>
      <c r="H80" s="10"/>
      <c r="I80" s="10" t="n">
        <v>274.48</v>
      </c>
      <c r="J80" s="5" t="s">
        <v>60</v>
      </c>
      <c r="K80" s="5" t="n">
        <f aca="false">COUNTIF('Full Log'!$A:$A,$A80)</f>
        <v>4</v>
      </c>
      <c r="L80" s="5" t="s">
        <v>86</v>
      </c>
      <c r="M80" s="5" t="s">
        <v>229</v>
      </c>
      <c r="N80" s="6" t="s">
        <v>381</v>
      </c>
    </row>
    <row r="81" customFormat="false" ht="57.45" hidden="false" customHeight="false" outlineLevel="0" collapsed="false">
      <c r="A81" s="5" t="s">
        <v>382</v>
      </c>
      <c r="B81" s="5" t="s">
        <v>383</v>
      </c>
      <c r="C81" s="6" t="s">
        <v>384</v>
      </c>
      <c r="D81" s="5" t="s">
        <v>376</v>
      </c>
      <c r="E81" s="11"/>
      <c r="F81" s="8"/>
      <c r="G81" s="9"/>
      <c r="H81" s="10"/>
      <c r="I81" s="10" t="n">
        <v>105.58</v>
      </c>
      <c r="J81" s="5" t="s">
        <v>60</v>
      </c>
      <c r="K81" s="5" t="n">
        <f aca="false">COUNTIF('Full Log'!$A:$A,$A81)</f>
        <v>9</v>
      </c>
      <c r="L81" s="5" t="s">
        <v>86</v>
      </c>
      <c r="M81" s="5" t="s">
        <v>229</v>
      </c>
      <c r="N81" s="6" t="s">
        <v>381</v>
      </c>
    </row>
    <row r="82" customFormat="false" ht="46.25" hidden="false" customHeight="false" outlineLevel="0" collapsed="false">
      <c r="A82" s="5" t="s">
        <v>385</v>
      </c>
      <c r="B82" s="5" t="s">
        <v>386</v>
      </c>
      <c r="C82" s="6" t="s">
        <v>387</v>
      </c>
      <c r="D82" s="5" t="s">
        <v>376</v>
      </c>
      <c r="E82" s="11"/>
      <c r="F82" s="8"/>
      <c r="G82" s="9"/>
      <c r="H82" s="10"/>
      <c r="I82" s="10" t="n">
        <v>152.37</v>
      </c>
      <c r="J82" s="5" t="s">
        <v>75</v>
      </c>
      <c r="K82" s="5" t="n">
        <f aca="false">COUNTIF('Full Log'!$A:$A,$A82)</f>
        <v>12</v>
      </c>
      <c r="L82" s="5" t="s">
        <v>229</v>
      </c>
      <c r="M82" s="5" t="s">
        <v>75</v>
      </c>
      <c r="N82" s="6" t="s">
        <v>388</v>
      </c>
    </row>
    <row r="83" customFormat="false" ht="102.2" hidden="false" customHeight="false" outlineLevel="0" collapsed="false">
      <c r="A83" s="5" t="s">
        <v>389</v>
      </c>
      <c r="B83" s="5" t="s">
        <v>390</v>
      </c>
      <c r="C83" s="6" t="s">
        <v>391</v>
      </c>
      <c r="D83" s="5" t="s">
        <v>392</v>
      </c>
      <c r="E83" s="11"/>
      <c r="F83" s="8"/>
      <c r="G83" s="9"/>
      <c r="H83" s="10"/>
      <c r="I83" s="10" t="n">
        <v>53.52</v>
      </c>
      <c r="J83" s="5" t="s">
        <v>60</v>
      </c>
      <c r="K83" s="5" t="n">
        <f aca="false">COUNTIF('Full Log'!$A:$A,$A83)</f>
        <v>1</v>
      </c>
      <c r="L83" s="5" t="s">
        <v>60</v>
      </c>
      <c r="M83" s="5" t="s">
        <v>60</v>
      </c>
      <c r="N83" s="6" t="s">
        <v>393</v>
      </c>
    </row>
    <row r="84" customFormat="false" ht="46.25" hidden="false" customHeight="false" outlineLevel="0" collapsed="false">
      <c r="A84" s="5" t="s">
        <v>394</v>
      </c>
      <c r="B84" s="5" t="s">
        <v>395</v>
      </c>
      <c r="C84" s="6" t="s">
        <v>396</v>
      </c>
      <c r="D84" s="5" t="s">
        <v>392</v>
      </c>
      <c r="E84" s="11"/>
      <c r="F84" s="8"/>
      <c r="G84" s="9"/>
      <c r="H84" s="10"/>
      <c r="I84" s="10" t="n">
        <v>80.08</v>
      </c>
      <c r="J84" s="5" t="s">
        <v>80</v>
      </c>
      <c r="K84" s="5" t="n">
        <f aca="false">COUNTIF('Full Log'!$A:$A,$A84)</f>
        <v>5</v>
      </c>
      <c r="L84" s="5" t="s">
        <v>99</v>
      </c>
      <c r="M84" s="5" t="s">
        <v>75</v>
      </c>
      <c r="N84" s="6" t="s">
        <v>397</v>
      </c>
    </row>
    <row r="85" customFormat="false" ht="57.45" hidden="false" customHeight="false" outlineLevel="0" collapsed="false">
      <c r="A85" s="5" t="s">
        <v>398</v>
      </c>
      <c r="B85" s="5" t="s">
        <v>399</v>
      </c>
      <c r="C85" s="6" t="s">
        <v>400</v>
      </c>
      <c r="D85" s="5" t="s">
        <v>392</v>
      </c>
      <c r="E85" s="11"/>
      <c r="F85" s="8"/>
      <c r="G85" s="9"/>
      <c r="H85" s="10"/>
      <c r="I85" s="10" t="n">
        <v>259.24</v>
      </c>
      <c r="J85" s="5" t="s">
        <v>60</v>
      </c>
      <c r="K85" s="5" t="n">
        <f aca="false">COUNTIF('Full Log'!$A:$A,$A85)</f>
        <v>10</v>
      </c>
      <c r="L85" s="5" t="s">
        <v>186</v>
      </c>
      <c r="M85" s="5" t="s">
        <v>229</v>
      </c>
      <c r="N85" s="6" t="s">
        <v>401</v>
      </c>
    </row>
    <row r="86" customFormat="false" ht="35.05" hidden="false" customHeight="false" outlineLevel="0" collapsed="false">
      <c r="A86" s="5" t="s">
        <v>402</v>
      </c>
      <c r="B86" s="5" t="s">
        <v>403</v>
      </c>
      <c r="C86" s="6" t="s">
        <v>404</v>
      </c>
      <c r="D86" s="5" t="s">
        <v>392</v>
      </c>
      <c r="E86" s="11"/>
      <c r="F86" s="8"/>
      <c r="G86" s="9"/>
      <c r="H86" s="10"/>
      <c r="I86" s="10" t="n">
        <v>52.05</v>
      </c>
      <c r="J86" s="5" t="s">
        <v>60</v>
      </c>
      <c r="K86" s="5" t="n">
        <f aca="false">COUNTIF('Full Log'!$A:$A,$A86)</f>
        <v>6</v>
      </c>
      <c r="L86" s="5" t="s">
        <v>229</v>
      </c>
      <c r="M86" s="5" t="s">
        <v>169</v>
      </c>
      <c r="N86" s="6" t="s">
        <v>377</v>
      </c>
    </row>
    <row r="87" customFormat="false" ht="102.2" hidden="false" customHeight="false" outlineLevel="0" collapsed="false">
      <c r="A87" s="5" t="s">
        <v>405</v>
      </c>
      <c r="B87" s="5" t="s">
        <v>406</v>
      </c>
      <c r="C87" s="6" t="s">
        <v>407</v>
      </c>
      <c r="D87" s="5" t="s">
        <v>392</v>
      </c>
      <c r="E87" s="11"/>
      <c r="F87" s="8"/>
      <c r="G87" s="9"/>
      <c r="H87" s="10"/>
      <c r="I87" s="10" t="n">
        <v>80.21</v>
      </c>
      <c r="J87" s="5" t="s">
        <v>80</v>
      </c>
      <c r="K87" s="5" t="n">
        <f aca="false">COUNTIF('Full Log'!$A:$A,$A87)</f>
        <v>1</v>
      </c>
      <c r="L87" s="5" t="s">
        <v>60</v>
      </c>
      <c r="M87" s="5" t="s">
        <v>60</v>
      </c>
      <c r="N87" s="6" t="s">
        <v>393</v>
      </c>
    </row>
    <row r="88" customFormat="false" ht="68.65" hidden="false" customHeight="false" outlineLevel="0" collapsed="false">
      <c r="A88" s="5" t="s">
        <v>408</v>
      </c>
      <c r="B88" s="5" t="s">
        <v>409</v>
      </c>
      <c r="C88" s="6" t="s">
        <v>410</v>
      </c>
      <c r="D88" s="5" t="s">
        <v>392</v>
      </c>
      <c r="E88" s="11"/>
      <c r="F88" s="8"/>
      <c r="G88" s="9"/>
      <c r="H88" s="10"/>
      <c r="I88" s="10" t="n">
        <v>407.08</v>
      </c>
      <c r="J88" s="5" t="s">
        <v>60</v>
      </c>
      <c r="K88" s="5" t="n">
        <f aca="false">COUNTIF('Full Log'!$A:$A,$A88)</f>
        <v>5</v>
      </c>
      <c r="L88" s="5" t="s">
        <v>86</v>
      </c>
      <c r="M88" s="5" t="s">
        <v>229</v>
      </c>
      <c r="N88" s="6" t="s">
        <v>411</v>
      </c>
    </row>
    <row r="89" customFormat="false" ht="57.45" hidden="false" customHeight="false" outlineLevel="0" collapsed="false">
      <c r="A89" s="5" t="s">
        <v>412</v>
      </c>
      <c r="B89" s="5" t="s">
        <v>413</v>
      </c>
      <c r="C89" s="6" t="s">
        <v>414</v>
      </c>
      <c r="D89" s="5" t="s">
        <v>415</v>
      </c>
      <c r="E89" s="11"/>
      <c r="F89" s="8"/>
      <c r="G89" s="9"/>
      <c r="H89" s="10"/>
      <c r="I89" s="10" t="n">
        <v>29.22</v>
      </c>
      <c r="J89" s="5" t="s">
        <v>60</v>
      </c>
      <c r="K89" s="5" t="n">
        <f aca="false">COUNTIF('Full Log'!$A:$A,$A89)</f>
        <v>14</v>
      </c>
      <c r="L89" s="5" t="s">
        <v>109</v>
      </c>
      <c r="M89" s="5" t="s">
        <v>60</v>
      </c>
      <c r="N89" s="6" t="s">
        <v>134</v>
      </c>
    </row>
    <row r="90" customFormat="false" ht="57.45" hidden="false" customHeight="false" outlineLevel="0" collapsed="false">
      <c r="A90" s="5" t="s">
        <v>416</v>
      </c>
      <c r="B90" s="5" t="s">
        <v>417</v>
      </c>
      <c r="C90" s="6" t="s">
        <v>418</v>
      </c>
      <c r="D90" s="5" t="s">
        <v>415</v>
      </c>
      <c r="E90" s="11"/>
      <c r="F90" s="8"/>
      <c r="G90" s="9"/>
      <c r="H90" s="10"/>
      <c r="I90" s="10" t="n">
        <v>17.18</v>
      </c>
      <c r="J90" s="5" t="s">
        <v>60</v>
      </c>
      <c r="K90" s="5" t="n">
        <f aca="false">COUNTIF('Full Log'!$A:$A,$A90)</f>
        <v>6</v>
      </c>
      <c r="L90" s="5" t="s">
        <v>229</v>
      </c>
      <c r="M90" s="5" t="s">
        <v>80</v>
      </c>
      <c r="N90" s="6" t="s">
        <v>419</v>
      </c>
    </row>
    <row r="91" customFormat="false" ht="57.45" hidden="false" customHeight="false" outlineLevel="0" collapsed="false">
      <c r="A91" s="5" t="s">
        <v>420</v>
      </c>
      <c r="B91" s="5" t="s">
        <v>421</v>
      </c>
      <c r="C91" s="6" t="s">
        <v>422</v>
      </c>
      <c r="D91" s="5" t="s">
        <v>415</v>
      </c>
      <c r="E91" s="11"/>
      <c r="F91" s="8"/>
      <c r="G91" s="9"/>
      <c r="H91" s="10"/>
      <c r="I91" s="10" t="n">
        <v>21.16</v>
      </c>
      <c r="J91" s="5" t="s">
        <v>60</v>
      </c>
      <c r="K91" s="5" t="n">
        <f aca="false">COUNTIF('Full Log'!$A:$A,$A91)</f>
        <v>13</v>
      </c>
      <c r="L91" s="5" t="s">
        <v>190</v>
      </c>
      <c r="M91" s="5" t="s">
        <v>60</v>
      </c>
      <c r="N91" s="6" t="s">
        <v>419</v>
      </c>
    </row>
    <row r="92" customFormat="false" ht="57.45" hidden="false" customHeight="false" outlineLevel="0" collapsed="false">
      <c r="A92" s="5" t="s">
        <v>423</v>
      </c>
      <c r="B92" s="5" t="s">
        <v>424</v>
      </c>
      <c r="C92" s="6" t="s">
        <v>425</v>
      </c>
      <c r="D92" s="5" t="s">
        <v>415</v>
      </c>
      <c r="E92" s="11"/>
      <c r="F92" s="8"/>
      <c r="G92" s="9"/>
      <c r="H92" s="10"/>
      <c r="I92" s="10" t="n">
        <v>90.67</v>
      </c>
      <c r="J92" s="5" t="s">
        <v>60</v>
      </c>
      <c r="K92" s="5" t="n">
        <f aca="false">COUNTIF('Full Log'!$A:$A,$A92)</f>
        <v>10</v>
      </c>
      <c r="L92" s="5" t="s">
        <v>61</v>
      </c>
      <c r="M92" s="5" t="s">
        <v>60</v>
      </c>
      <c r="N92" s="6" t="s">
        <v>419</v>
      </c>
    </row>
    <row r="93" customFormat="false" ht="46.25" hidden="false" customHeight="false" outlineLevel="0" collapsed="false">
      <c r="A93" s="5" t="s">
        <v>426</v>
      </c>
      <c r="B93" s="5" t="s">
        <v>427</v>
      </c>
      <c r="C93" s="6" t="s">
        <v>428</v>
      </c>
      <c r="D93" s="5" t="s">
        <v>415</v>
      </c>
      <c r="E93" s="11"/>
      <c r="F93" s="8"/>
      <c r="G93" s="9"/>
      <c r="H93" s="10"/>
      <c r="I93" s="10" t="n">
        <v>453.77</v>
      </c>
      <c r="J93" s="5" t="s">
        <v>60</v>
      </c>
      <c r="K93" s="5" t="n">
        <f aca="false">COUNTIF('Full Log'!$A:$A,$A93)</f>
        <v>13</v>
      </c>
      <c r="L93" s="5" t="s">
        <v>86</v>
      </c>
      <c r="M93" s="5" t="s">
        <v>80</v>
      </c>
      <c r="N93" s="6" t="s">
        <v>130</v>
      </c>
    </row>
    <row r="94" customFormat="false" ht="46.25" hidden="false" customHeight="false" outlineLevel="0" collapsed="false">
      <c r="A94" s="5" t="s">
        <v>429</v>
      </c>
      <c r="B94" s="5" t="s">
        <v>430</v>
      </c>
      <c r="C94" s="6" t="s">
        <v>431</v>
      </c>
      <c r="D94" s="5" t="s">
        <v>415</v>
      </c>
      <c r="E94" s="11"/>
      <c r="F94" s="8"/>
      <c r="G94" s="9"/>
      <c r="H94" s="10"/>
      <c r="I94" s="10" t="n">
        <v>53.22</v>
      </c>
      <c r="J94" s="5" t="s">
        <v>60</v>
      </c>
      <c r="K94" s="5" t="n">
        <f aca="false">COUNTIF('Full Log'!$A:$A,$A94)</f>
        <v>9</v>
      </c>
      <c r="L94" s="5" t="s">
        <v>229</v>
      </c>
      <c r="M94" s="5" t="s">
        <v>99</v>
      </c>
      <c r="N94" s="6" t="s">
        <v>432</v>
      </c>
    </row>
    <row r="95" customFormat="false" ht="57.45" hidden="false" customHeight="false" outlineLevel="0" collapsed="false">
      <c r="A95" s="5" t="s">
        <v>433</v>
      </c>
      <c r="B95" s="5" t="s">
        <v>434</v>
      </c>
      <c r="C95" s="6" t="s">
        <v>435</v>
      </c>
      <c r="D95" s="5" t="s">
        <v>415</v>
      </c>
      <c r="E95" s="11"/>
      <c r="F95" s="8"/>
      <c r="G95" s="9"/>
      <c r="H95" s="10"/>
      <c r="I95" s="10" t="n">
        <v>88.59</v>
      </c>
      <c r="J95" s="5" t="s">
        <v>60</v>
      </c>
      <c r="K95" s="5" t="n">
        <f aca="false">COUNTIF('Full Log'!$A:$A,$A95)</f>
        <v>6</v>
      </c>
      <c r="L95" s="5" t="s">
        <v>229</v>
      </c>
      <c r="M95" s="5" t="s">
        <v>80</v>
      </c>
      <c r="N95" s="6" t="s">
        <v>419</v>
      </c>
    </row>
    <row r="96" customFormat="false" ht="46.25" hidden="false" customHeight="false" outlineLevel="0" collapsed="false">
      <c r="A96" s="5" t="s">
        <v>436</v>
      </c>
      <c r="B96" s="5" t="s">
        <v>437</v>
      </c>
      <c r="C96" s="6" t="s">
        <v>438</v>
      </c>
      <c r="D96" s="5" t="s">
        <v>415</v>
      </c>
      <c r="E96" s="7" t="s">
        <v>59</v>
      </c>
      <c r="F96" s="8" t="n">
        <v>45</v>
      </c>
      <c r="G96" s="9" t="n">
        <v>1735.16</v>
      </c>
      <c r="H96" s="10"/>
      <c r="I96" s="10" t="n">
        <v>41.23</v>
      </c>
      <c r="J96" s="5" t="s">
        <v>60</v>
      </c>
      <c r="K96" s="5" t="n">
        <f aca="false">COUNTIF('Full Log'!$A:$A,$A96)</f>
        <v>61</v>
      </c>
      <c r="L96" s="5" t="s">
        <v>86</v>
      </c>
      <c r="M96" s="5" t="s">
        <v>60</v>
      </c>
      <c r="N96" s="6" t="s">
        <v>130</v>
      </c>
    </row>
    <row r="97" customFormat="false" ht="15" hidden="false" customHeight="false" outlineLevel="0" collapsed="false">
      <c r="A97" s="5" t="s">
        <v>439</v>
      </c>
      <c r="B97" s="5" t="s">
        <v>440</v>
      </c>
      <c r="C97" s="6" t="s">
        <v>441</v>
      </c>
      <c r="D97" s="5" t="s">
        <v>415</v>
      </c>
      <c r="E97" s="11"/>
      <c r="F97" s="8"/>
      <c r="G97" s="9"/>
      <c r="H97" s="10"/>
      <c r="I97" s="10" t="n">
        <v>3.88</v>
      </c>
      <c r="J97" s="5" t="s">
        <v>60</v>
      </c>
      <c r="K97" s="5" t="n">
        <f aca="false">COUNTIF('Full Log'!$A:$A,$A97)</f>
        <v>0</v>
      </c>
      <c r="L97" s="5"/>
      <c r="M97" s="5"/>
      <c r="N97" s="6" t="s">
        <v>118</v>
      </c>
    </row>
    <row r="98" customFormat="false" ht="46.25" hidden="false" customHeight="false" outlineLevel="0" collapsed="false">
      <c r="A98" s="5" t="s">
        <v>442</v>
      </c>
      <c r="B98" s="5" t="s">
        <v>443</v>
      </c>
      <c r="C98" s="6" t="s">
        <v>444</v>
      </c>
      <c r="D98" s="5" t="s">
        <v>415</v>
      </c>
      <c r="E98" s="11"/>
      <c r="F98" s="8"/>
      <c r="G98" s="9"/>
      <c r="H98" s="10"/>
      <c r="I98" s="10" t="n">
        <v>187.97</v>
      </c>
      <c r="J98" s="5" t="s">
        <v>60</v>
      </c>
      <c r="K98" s="5" t="n">
        <f aca="false">COUNTIF('Full Log'!$A:$A,$A98)</f>
        <v>37</v>
      </c>
      <c r="L98" s="5" t="s">
        <v>86</v>
      </c>
      <c r="M98" s="5" t="s">
        <v>60</v>
      </c>
      <c r="N98" s="6" t="s">
        <v>160</v>
      </c>
    </row>
    <row r="99" customFormat="false" ht="46.25" hidden="false" customHeight="false" outlineLevel="0" collapsed="false">
      <c r="A99" s="5" t="s">
        <v>445</v>
      </c>
      <c r="B99" s="5" t="s">
        <v>446</v>
      </c>
      <c r="C99" s="6" t="s">
        <v>447</v>
      </c>
      <c r="D99" s="5" t="s">
        <v>415</v>
      </c>
      <c r="E99" s="11"/>
      <c r="F99" s="8"/>
      <c r="G99" s="9"/>
      <c r="H99" s="10"/>
      <c r="I99" s="10" t="n">
        <v>9.36</v>
      </c>
      <c r="J99" s="5" t="s">
        <v>60</v>
      </c>
      <c r="K99" s="5" t="n">
        <f aca="false">COUNTIF('Full Log'!$A:$A,$A99)</f>
        <v>3</v>
      </c>
      <c r="L99" s="5" t="s">
        <v>99</v>
      </c>
      <c r="M99" s="5" t="s">
        <v>99</v>
      </c>
      <c r="N99" s="6" t="s">
        <v>448</v>
      </c>
    </row>
    <row r="100" customFormat="false" ht="57.45" hidden="false" customHeight="false" outlineLevel="0" collapsed="false">
      <c r="A100" s="5" t="s">
        <v>449</v>
      </c>
      <c r="B100" s="5" t="s">
        <v>450</v>
      </c>
      <c r="C100" s="6" t="s">
        <v>451</v>
      </c>
      <c r="D100" s="5" t="s">
        <v>415</v>
      </c>
      <c r="E100" s="11"/>
      <c r="F100" s="8"/>
      <c r="G100" s="9"/>
      <c r="H100" s="10"/>
      <c r="I100" s="10" t="n">
        <v>31.13</v>
      </c>
      <c r="J100" s="5" t="s">
        <v>60</v>
      </c>
      <c r="K100" s="5" t="n">
        <f aca="false">COUNTIF('Full Log'!$A:$A,$A100)</f>
        <v>9</v>
      </c>
      <c r="L100" s="5" t="s">
        <v>229</v>
      </c>
      <c r="M100" s="5" t="s">
        <v>99</v>
      </c>
      <c r="N100" s="6" t="s">
        <v>225</v>
      </c>
    </row>
    <row r="101" customFormat="false" ht="102.2" hidden="false" customHeight="false" outlineLevel="0" collapsed="false">
      <c r="A101" s="5" t="s">
        <v>452</v>
      </c>
      <c r="B101" s="5" t="s">
        <v>453</v>
      </c>
      <c r="C101" s="6" t="s">
        <v>454</v>
      </c>
      <c r="D101" s="5" t="s">
        <v>415</v>
      </c>
      <c r="E101" s="11"/>
      <c r="F101" s="8"/>
      <c r="G101" s="9"/>
      <c r="H101" s="10"/>
      <c r="I101" s="10" t="n">
        <v>547.06</v>
      </c>
      <c r="J101" s="5" t="s">
        <v>60</v>
      </c>
      <c r="K101" s="5" t="n">
        <f aca="false">COUNTIF('Full Log'!$A:$A,$A101)</f>
        <v>1</v>
      </c>
      <c r="L101" s="5" t="s">
        <v>238</v>
      </c>
      <c r="M101" s="5" t="s">
        <v>238</v>
      </c>
      <c r="N101" s="6" t="s">
        <v>455</v>
      </c>
    </row>
    <row r="102" customFormat="false" ht="35.05" hidden="false" customHeight="false" outlineLevel="0" collapsed="false">
      <c r="A102" s="5" t="s">
        <v>456</v>
      </c>
      <c r="B102" s="5" t="s">
        <v>457</v>
      </c>
      <c r="C102" s="6" t="s">
        <v>458</v>
      </c>
      <c r="D102" s="5" t="s">
        <v>459</v>
      </c>
      <c r="E102" s="11"/>
      <c r="F102" s="8"/>
      <c r="G102" s="9"/>
      <c r="H102" s="10"/>
      <c r="I102" s="10" t="n">
        <v>93.29</v>
      </c>
      <c r="J102" s="5" t="s">
        <v>60</v>
      </c>
      <c r="K102" s="5" t="n">
        <f aca="false">COUNTIF('Full Log'!$A:$A,$A102)</f>
        <v>10</v>
      </c>
      <c r="L102" s="5" t="s">
        <v>95</v>
      </c>
      <c r="M102" s="5" t="s">
        <v>104</v>
      </c>
      <c r="N102" s="6" t="s">
        <v>460</v>
      </c>
    </row>
    <row r="103" customFormat="false" ht="46.25" hidden="false" customHeight="false" outlineLevel="0" collapsed="false">
      <c r="A103" s="5" t="s">
        <v>461</v>
      </c>
      <c r="B103" s="5" t="s">
        <v>462</v>
      </c>
      <c r="C103" s="6" t="s">
        <v>463</v>
      </c>
      <c r="D103" s="5" t="s">
        <v>459</v>
      </c>
      <c r="E103" s="11"/>
      <c r="F103" s="8"/>
      <c r="G103" s="9"/>
      <c r="H103" s="10"/>
      <c r="I103" s="10" t="n">
        <v>51.86</v>
      </c>
      <c r="J103" s="5" t="s">
        <v>80</v>
      </c>
      <c r="K103" s="5" t="n">
        <f aca="false">COUNTIF('Full Log'!$A:$A,$A103)</f>
        <v>9</v>
      </c>
      <c r="L103" s="5" t="s">
        <v>99</v>
      </c>
      <c r="M103" s="5" t="s">
        <v>104</v>
      </c>
      <c r="N103" s="6" t="s">
        <v>397</v>
      </c>
    </row>
    <row r="104" customFormat="false" ht="15" hidden="false" customHeight="false" outlineLevel="0" collapsed="false">
      <c r="A104" s="5" t="s">
        <v>464</v>
      </c>
      <c r="B104" s="5" t="s">
        <v>465</v>
      </c>
      <c r="C104" s="6" t="s">
        <v>466</v>
      </c>
      <c r="D104" s="5" t="s">
        <v>459</v>
      </c>
      <c r="E104" s="11"/>
      <c r="F104" s="8"/>
      <c r="G104" s="9"/>
      <c r="H104" s="10"/>
      <c r="I104" s="10" t="n">
        <v>562.95</v>
      </c>
      <c r="J104" s="5" t="s">
        <v>60</v>
      </c>
      <c r="K104" s="5" t="n">
        <f aca="false">COUNTIF('Full Log'!$A:$A,$A104)</f>
        <v>1</v>
      </c>
      <c r="L104" s="5" t="s">
        <v>229</v>
      </c>
      <c r="M104" s="5" t="s">
        <v>229</v>
      </c>
      <c r="N104" s="6" t="s">
        <v>467</v>
      </c>
    </row>
    <row r="105" customFormat="false" ht="15" hidden="false" customHeight="false" outlineLevel="0" collapsed="false">
      <c r="A105" s="5" t="s">
        <v>468</v>
      </c>
      <c r="B105" s="5" t="s">
        <v>469</v>
      </c>
      <c r="C105" s="6" t="s">
        <v>470</v>
      </c>
      <c r="D105" s="5" t="s">
        <v>459</v>
      </c>
      <c r="E105" s="11"/>
      <c r="F105" s="8"/>
      <c r="G105" s="9"/>
      <c r="H105" s="10"/>
      <c r="I105" s="10" t="n">
        <v>13.84</v>
      </c>
      <c r="J105" s="5" t="s">
        <v>60</v>
      </c>
      <c r="K105" s="5" t="n">
        <f aca="false">COUNTIF('Full Log'!$A:$A,$A105)</f>
        <v>0</v>
      </c>
      <c r="L105" s="5"/>
      <c r="M105" s="5"/>
      <c r="N105" s="6" t="s">
        <v>118</v>
      </c>
    </row>
    <row r="106" customFormat="false" ht="35.05" hidden="false" customHeight="false" outlineLevel="0" collapsed="false">
      <c r="A106" s="5" t="s">
        <v>471</v>
      </c>
      <c r="B106" s="5" t="s">
        <v>472</v>
      </c>
      <c r="C106" s="6" t="s">
        <v>473</v>
      </c>
      <c r="D106" s="5" t="s">
        <v>459</v>
      </c>
      <c r="E106" s="11"/>
      <c r="F106" s="8"/>
      <c r="G106" s="9"/>
      <c r="H106" s="10"/>
      <c r="I106" s="10" t="n">
        <v>59.07</v>
      </c>
      <c r="J106" s="5" t="s">
        <v>60</v>
      </c>
      <c r="K106" s="5" t="n">
        <f aca="false">COUNTIF('Full Log'!$A:$A,$A106)</f>
        <v>9</v>
      </c>
      <c r="L106" s="5" t="s">
        <v>229</v>
      </c>
      <c r="M106" s="5" t="s">
        <v>104</v>
      </c>
      <c r="N106" s="6" t="s">
        <v>377</v>
      </c>
    </row>
    <row r="107" customFormat="false" ht="35.05" hidden="false" customHeight="false" outlineLevel="0" collapsed="false">
      <c r="A107" s="5" t="s">
        <v>474</v>
      </c>
      <c r="B107" s="5" t="s">
        <v>475</v>
      </c>
      <c r="C107" s="6" t="s">
        <v>476</v>
      </c>
      <c r="D107" s="5" t="s">
        <v>459</v>
      </c>
      <c r="E107" s="11"/>
      <c r="F107" s="8"/>
      <c r="G107" s="9"/>
      <c r="H107" s="10"/>
      <c r="I107" s="10" t="n">
        <v>18.38</v>
      </c>
      <c r="J107" s="5" t="s">
        <v>60</v>
      </c>
      <c r="K107" s="5" t="n">
        <f aca="false">COUNTIF('Full Log'!$A:$A,$A107)</f>
        <v>6</v>
      </c>
      <c r="L107" s="5" t="s">
        <v>95</v>
      </c>
      <c r="M107" s="5" t="s">
        <v>104</v>
      </c>
      <c r="N107" s="6" t="s">
        <v>477</v>
      </c>
    </row>
    <row r="108" customFormat="false" ht="46.25" hidden="false" customHeight="false" outlineLevel="0" collapsed="false">
      <c r="A108" s="5" t="s">
        <v>478</v>
      </c>
      <c r="B108" s="5" t="s">
        <v>479</v>
      </c>
      <c r="C108" s="6" t="s">
        <v>480</v>
      </c>
      <c r="D108" s="5" t="s">
        <v>459</v>
      </c>
      <c r="E108" s="11"/>
      <c r="F108" s="8"/>
      <c r="G108" s="9"/>
      <c r="H108" s="10"/>
      <c r="I108" s="10" t="n">
        <v>362.5</v>
      </c>
      <c r="J108" s="5" t="s">
        <v>60</v>
      </c>
      <c r="K108" s="5" t="n">
        <f aca="false">COUNTIF('Full Log'!$A:$A,$A108)</f>
        <v>1</v>
      </c>
      <c r="L108" s="5" t="s">
        <v>229</v>
      </c>
      <c r="M108" s="5" t="s">
        <v>229</v>
      </c>
      <c r="N108" s="6" t="s">
        <v>481</v>
      </c>
    </row>
    <row r="109" customFormat="false" ht="68.65" hidden="false" customHeight="false" outlineLevel="0" collapsed="false">
      <c r="A109" s="5" t="s">
        <v>482</v>
      </c>
      <c r="B109" s="5" t="s">
        <v>483</v>
      </c>
      <c r="C109" s="6" t="s">
        <v>484</v>
      </c>
      <c r="D109" s="5" t="s">
        <v>485</v>
      </c>
      <c r="E109" s="7" t="s">
        <v>59</v>
      </c>
      <c r="F109" s="8" t="n">
        <v>40</v>
      </c>
      <c r="G109" s="9" t="n">
        <v>3914.12</v>
      </c>
      <c r="H109" s="10" t="n">
        <v>10000</v>
      </c>
      <c r="I109" s="10" t="n">
        <v>214.42</v>
      </c>
      <c r="J109" s="5" t="s">
        <v>60</v>
      </c>
      <c r="K109" s="5" t="n">
        <f aca="false">COUNTIF('Full Log'!$A:$A,$A109)</f>
        <v>15</v>
      </c>
      <c r="L109" s="5" t="s">
        <v>61</v>
      </c>
      <c r="M109" s="5" t="s">
        <v>62</v>
      </c>
      <c r="N109" s="6" t="s">
        <v>246</v>
      </c>
    </row>
    <row r="110" customFormat="false" ht="46.25" hidden="false" customHeight="false" outlineLevel="0" collapsed="false">
      <c r="A110" s="5" t="s">
        <v>486</v>
      </c>
      <c r="B110" s="5" t="s">
        <v>487</v>
      </c>
      <c r="C110" s="6" t="s">
        <v>488</v>
      </c>
      <c r="D110" s="5" t="s">
        <v>485</v>
      </c>
      <c r="E110" s="11"/>
      <c r="F110" s="8"/>
      <c r="G110" s="9"/>
      <c r="H110" s="10"/>
      <c r="I110" s="10" t="n">
        <v>159.64</v>
      </c>
      <c r="J110" s="5" t="s">
        <v>60</v>
      </c>
      <c r="K110" s="5" t="n">
        <f aca="false">COUNTIF('Full Log'!$A:$A,$A110)</f>
        <v>10</v>
      </c>
      <c r="L110" s="5" t="s">
        <v>229</v>
      </c>
      <c r="M110" s="5" t="s">
        <v>75</v>
      </c>
      <c r="N110" s="6" t="s">
        <v>489</v>
      </c>
    </row>
    <row r="111" customFormat="false" ht="35.05" hidden="false" customHeight="false" outlineLevel="0" collapsed="false">
      <c r="A111" s="5" t="s">
        <v>490</v>
      </c>
      <c r="B111" s="5" t="s">
        <v>491</v>
      </c>
      <c r="C111" s="6" t="s">
        <v>492</v>
      </c>
      <c r="D111" s="5" t="s">
        <v>485</v>
      </c>
      <c r="E111" s="11"/>
      <c r="F111" s="8"/>
      <c r="G111" s="9"/>
      <c r="H111" s="10"/>
      <c r="I111" s="10" t="n">
        <v>300.27</v>
      </c>
      <c r="J111" s="5" t="s">
        <v>60</v>
      </c>
      <c r="K111" s="5" t="n">
        <f aca="false">COUNTIF('Full Log'!$A:$A,$A111)</f>
        <v>5</v>
      </c>
      <c r="L111" s="5" t="s">
        <v>229</v>
      </c>
      <c r="M111" s="5" t="s">
        <v>75</v>
      </c>
      <c r="N111" s="6" t="s">
        <v>493</v>
      </c>
    </row>
    <row r="112" customFormat="false" ht="57.45" hidden="false" customHeight="false" outlineLevel="0" collapsed="false">
      <c r="A112" s="5" t="s">
        <v>494</v>
      </c>
      <c r="B112" s="5" t="s">
        <v>495</v>
      </c>
      <c r="C112" s="6" t="s">
        <v>496</v>
      </c>
      <c r="D112" s="5" t="s">
        <v>485</v>
      </c>
      <c r="E112" s="7" t="s">
        <v>59</v>
      </c>
      <c r="F112" s="8" t="n">
        <v>22</v>
      </c>
      <c r="G112" s="9" t="n">
        <v>3760.62</v>
      </c>
      <c r="H112" s="10" t="n">
        <v>10000</v>
      </c>
      <c r="I112" s="10" t="n">
        <v>363.86</v>
      </c>
      <c r="J112" s="5" t="s">
        <v>60</v>
      </c>
      <c r="K112" s="5" t="n">
        <f aca="false">COUNTIF('Full Log'!$A:$A,$A112)</f>
        <v>6</v>
      </c>
      <c r="L112" s="5" t="s">
        <v>86</v>
      </c>
      <c r="M112" s="5" t="s">
        <v>229</v>
      </c>
      <c r="N112" s="6" t="s">
        <v>497</v>
      </c>
    </row>
    <row r="113" customFormat="false" ht="57.45" hidden="false" customHeight="false" outlineLevel="0" collapsed="false">
      <c r="A113" s="5" t="s">
        <v>498</v>
      </c>
      <c r="B113" s="5" t="s">
        <v>499</v>
      </c>
      <c r="C113" s="6" t="s">
        <v>500</v>
      </c>
      <c r="D113" s="5" t="s">
        <v>485</v>
      </c>
      <c r="E113" s="11"/>
      <c r="F113" s="8"/>
      <c r="G113" s="9"/>
      <c r="H113" s="10"/>
      <c r="I113" s="10" t="n">
        <v>84.6</v>
      </c>
      <c r="J113" s="5" t="s">
        <v>80</v>
      </c>
      <c r="K113" s="5" t="n">
        <f aca="false">COUNTIF('Full Log'!$A:$A,$A113)</f>
        <v>4</v>
      </c>
      <c r="L113" s="5" t="s">
        <v>75</v>
      </c>
      <c r="M113" s="5" t="s">
        <v>80</v>
      </c>
      <c r="N113" s="6" t="s">
        <v>501</v>
      </c>
    </row>
    <row r="114" customFormat="false" ht="57.45" hidden="false" customHeight="false" outlineLevel="0" collapsed="false">
      <c r="A114" s="5" t="s">
        <v>502</v>
      </c>
      <c r="B114" s="5" t="s">
        <v>503</v>
      </c>
      <c r="C114" s="6" t="s">
        <v>504</v>
      </c>
      <c r="D114" s="5" t="s">
        <v>485</v>
      </c>
      <c r="E114" s="11"/>
      <c r="F114" s="8"/>
      <c r="G114" s="9"/>
      <c r="H114" s="10"/>
      <c r="I114" s="10" t="n">
        <v>168.68</v>
      </c>
      <c r="J114" s="5" t="s">
        <v>60</v>
      </c>
      <c r="K114" s="5" t="n">
        <f aca="false">COUNTIF('Full Log'!$A:$A,$A114)</f>
        <v>5</v>
      </c>
      <c r="L114" s="5" t="s">
        <v>229</v>
      </c>
      <c r="M114" s="5" t="s">
        <v>229</v>
      </c>
      <c r="N114" s="6" t="s">
        <v>497</v>
      </c>
    </row>
    <row r="115" customFormat="false" ht="46.25" hidden="false" customHeight="false" outlineLevel="0" collapsed="false">
      <c r="A115" s="5" t="s">
        <v>505</v>
      </c>
      <c r="B115" s="5" t="s">
        <v>506</v>
      </c>
      <c r="C115" s="6" t="s">
        <v>507</v>
      </c>
      <c r="D115" s="5" t="s">
        <v>508</v>
      </c>
      <c r="E115" s="7" t="s">
        <v>59</v>
      </c>
      <c r="F115" s="8" t="n">
        <v>10</v>
      </c>
      <c r="G115" s="9" t="n">
        <v>1994.06</v>
      </c>
      <c r="H115" s="10" t="n">
        <v>5000</v>
      </c>
      <c r="I115" s="10" t="n">
        <v>169.9</v>
      </c>
      <c r="J115" s="5" t="s">
        <v>60</v>
      </c>
      <c r="K115" s="5" t="n">
        <f aca="false">COUNTIF('Full Log'!$A:$A,$A115)</f>
        <v>3</v>
      </c>
      <c r="L115" s="5" t="s">
        <v>62</v>
      </c>
      <c r="M115" s="5" t="s">
        <v>62</v>
      </c>
      <c r="N115" s="6" t="s">
        <v>509</v>
      </c>
    </row>
    <row r="116" customFormat="false" ht="35.05" hidden="false" customHeight="false" outlineLevel="0" collapsed="false">
      <c r="A116" s="5" t="s">
        <v>510</v>
      </c>
      <c r="B116" s="5" t="s">
        <v>511</v>
      </c>
      <c r="C116" s="6" t="s">
        <v>512</v>
      </c>
      <c r="D116" s="5" t="s">
        <v>508</v>
      </c>
      <c r="E116" s="11"/>
      <c r="F116" s="8"/>
      <c r="G116" s="9"/>
      <c r="H116" s="10"/>
      <c r="I116" s="10" t="n">
        <v>97.39</v>
      </c>
      <c r="J116" s="5" t="s">
        <v>60</v>
      </c>
      <c r="K116" s="5" t="n">
        <f aca="false">COUNTIF('Full Log'!$A:$A,$A116)</f>
        <v>3</v>
      </c>
      <c r="L116" s="5" t="s">
        <v>229</v>
      </c>
      <c r="M116" s="5" t="s">
        <v>169</v>
      </c>
      <c r="N116" s="6" t="s">
        <v>513</v>
      </c>
    </row>
    <row r="117" customFormat="false" ht="35.05" hidden="false" customHeight="false" outlineLevel="0" collapsed="false">
      <c r="A117" s="5" t="s">
        <v>514</v>
      </c>
      <c r="B117" s="5" t="s">
        <v>515</v>
      </c>
      <c r="C117" s="6" t="s">
        <v>516</v>
      </c>
      <c r="D117" s="5" t="s">
        <v>508</v>
      </c>
      <c r="E117" s="7" t="s">
        <v>59</v>
      </c>
      <c r="F117" s="8" t="n">
        <v>15</v>
      </c>
      <c r="G117" s="9" t="n">
        <v>4040.98</v>
      </c>
      <c r="H117" s="10" t="n">
        <v>10000</v>
      </c>
      <c r="I117" s="10" t="n">
        <v>269.89</v>
      </c>
      <c r="J117" s="5" t="s">
        <v>60</v>
      </c>
      <c r="K117" s="5" t="n">
        <f aca="false">COUNTIF('Full Log'!$A:$A,$A117)</f>
        <v>2</v>
      </c>
      <c r="L117" s="5" t="s">
        <v>75</v>
      </c>
      <c r="M117" s="5" t="s">
        <v>75</v>
      </c>
      <c r="N117" s="6" t="s">
        <v>517</v>
      </c>
    </row>
    <row r="118" customFormat="false" ht="23.85" hidden="false" customHeight="false" outlineLevel="0" collapsed="false">
      <c r="A118" s="5" t="s">
        <v>518</v>
      </c>
      <c r="B118" s="5" t="s">
        <v>519</v>
      </c>
      <c r="C118" s="6" t="s">
        <v>520</v>
      </c>
      <c r="D118" s="5" t="s">
        <v>508</v>
      </c>
      <c r="E118" s="11"/>
      <c r="F118" s="8"/>
      <c r="G118" s="9"/>
      <c r="H118" s="10"/>
      <c r="I118" s="10" t="n">
        <v>191.37</v>
      </c>
      <c r="J118" s="5" t="s">
        <v>60</v>
      </c>
      <c r="K118" s="5" t="n">
        <f aca="false">COUNTIF('Full Log'!$A:$A,$A118)</f>
        <v>0</v>
      </c>
      <c r="L118" s="5"/>
      <c r="M118" s="5"/>
      <c r="N118" s="6" t="s">
        <v>118</v>
      </c>
    </row>
    <row r="119" customFormat="false" ht="35.05" hidden="false" customHeight="false" outlineLevel="0" collapsed="false">
      <c r="A119" s="5" t="s">
        <v>521</v>
      </c>
      <c r="B119" s="5" t="s">
        <v>522</v>
      </c>
      <c r="C119" s="6" t="s">
        <v>523</v>
      </c>
      <c r="D119" s="5" t="s">
        <v>508</v>
      </c>
      <c r="E119" s="11"/>
      <c r="F119" s="8"/>
      <c r="G119" s="9"/>
      <c r="H119" s="10"/>
      <c r="I119" s="10" t="n">
        <v>18.85</v>
      </c>
      <c r="J119" s="5" t="s">
        <v>60</v>
      </c>
      <c r="K119" s="5" t="n">
        <f aca="false">COUNTIF('Full Log'!$A:$A,$A119)</f>
        <v>2</v>
      </c>
      <c r="L119" s="5" t="s">
        <v>229</v>
      </c>
      <c r="M119" s="5" t="s">
        <v>190</v>
      </c>
      <c r="N119" s="6" t="s">
        <v>524</v>
      </c>
    </row>
    <row r="120" customFormat="false" ht="46.25" hidden="false" customHeight="false" outlineLevel="0" collapsed="false">
      <c r="A120" s="5" t="s">
        <v>525</v>
      </c>
      <c r="B120" s="5" t="s">
        <v>526</v>
      </c>
      <c r="C120" s="6" t="s">
        <v>527</v>
      </c>
      <c r="D120" s="5" t="s">
        <v>508</v>
      </c>
      <c r="E120" s="11"/>
      <c r="F120" s="8"/>
      <c r="G120" s="9"/>
      <c r="H120" s="10"/>
      <c r="I120" s="10" t="n">
        <v>48.42</v>
      </c>
      <c r="J120" s="5" t="s">
        <v>60</v>
      </c>
      <c r="K120" s="5" t="n">
        <f aca="false">COUNTIF('Full Log'!$A:$A,$A120)</f>
        <v>8</v>
      </c>
      <c r="L120" s="5" t="s">
        <v>86</v>
      </c>
      <c r="M120" s="5" t="s">
        <v>146</v>
      </c>
      <c r="N120" s="6" t="s">
        <v>528</v>
      </c>
    </row>
    <row r="121" customFormat="false" ht="91" hidden="false" customHeight="false" outlineLevel="0" collapsed="false">
      <c r="A121" s="5" t="s">
        <v>529</v>
      </c>
      <c r="B121" s="5" t="s">
        <v>530</v>
      </c>
      <c r="C121" s="6" t="s">
        <v>531</v>
      </c>
      <c r="D121" s="5" t="s">
        <v>508</v>
      </c>
      <c r="E121" s="11"/>
      <c r="F121" s="8"/>
      <c r="G121" s="9"/>
      <c r="H121" s="10"/>
      <c r="I121" s="10" t="n">
        <v>9.82</v>
      </c>
      <c r="J121" s="5" t="s">
        <v>60</v>
      </c>
      <c r="K121" s="5" t="n">
        <f aca="false">COUNTIF('Full Log'!$A:$A,$A121)</f>
        <v>5</v>
      </c>
      <c r="L121" s="5" t="s">
        <v>229</v>
      </c>
      <c r="M121" s="5" t="s">
        <v>229</v>
      </c>
      <c r="N121" s="6" t="s">
        <v>532</v>
      </c>
    </row>
    <row r="122" customFormat="false" ht="15" hidden="false" customHeight="false" outlineLevel="0" collapsed="false">
      <c r="A122" s="5" t="s">
        <v>533</v>
      </c>
      <c r="B122" s="5" t="s">
        <v>534</v>
      </c>
      <c r="C122" s="6" t="s">
        <v>535</v>
      </c>
      <c r="D122" s="5" t="s">
        <v>508</v>
      </c>
      <c r="E122" s="11"/>
      <c r="F122" s="8"/>
      <c r="G122" s="9"/>
      <c r="H122" s="10"/>
      <c r="I122" s="10" t="n">
        <v>12.9</v>
      </c>
      <c r="J122" s="5" t="s">
        <v>80</v>
      </c>
      <c r="K122" s="5" t="n">
        <f aca="false">COUNTIF('Full Log'!$A:$A,$A122)</f>
        <v>0</v>
      </c>
      <c r="L122" s="5"/>
      <c r="M122" s="5"/>
      <c r="N122" s="6" t="s">
        <v>118</v>
      </c>
    </row>
    <row r="123" customFormat="false" ht="35.05" hidden="false" customHeight="false" outlineLevel="0" collapsed="false">
      <c r="A123" s="5" t="s">
        <v>536</v>
      </c>
      <c r="B123" s="5" t="s">
        <v>537</v>
      </c>
      <c r="C123" s="6" t="s">
        <v>538</v>
      </c>
      <c r="D123" s="5" t="s">
        <v>508</v>
      </c>
      <c r="E123" s="7" t="s">
        <v>59</v>
      </c>
      <c r="F123" s="8" t="n">
        <v>42</v>
      </c>
      <c r="G123" s="9" t="n">
        <v>6078.05</v>
      </c>
      <c r="H123" s="10" t="n">
        <v>10000</v>
      </c>
      <c r="I123" s="10" t="n">
        <v>140.67</v>
      </c>
      <c r="J123" s="5" t="s">
        <v>60</v>
      </c>
      <c r="K123" s="5" t="n">
        <f aca="false">COUNTIF('Full Log'!$A:$A,$A123)</f>
        <v>6</v>
      </c>
      <c r="L123" s="5" t="s">
        <v>95</v>
      </c>
      <c r="M123" s="5" t="s">
        <v>60</v>
      </c>
      <c r="N123" s="6" t="s">
        <v>517</v>
      </c>
    </row>
    <row r="124" customFormat="false" ht="46.25" hidden="false" customHeight="false" outlineLevel="0" collapsed="false">
      <c r="A124" s="5" t="s">
        <v>539</v>
      </c>
      <c r="B124" s="5" t="s">
        <v>540</v>
      </c>
      <c r="C124" s="6" t="s">
        <v>541</v>
      </c>
      <c r="D124" s="5" t="s">
        <v>508</v>
      </c>
      <c r="E124" s="11"/>
      <c r="F124" s="8"/>
      <c r="G124" s="9"/>
      <c r="H124" s="10"/>
      <c r="I124" s="10" t="n">
        <v>20.82</v>
      </c>
      <c r="J124" s="5" t="s">
        <v>80</v>
      </c>
      <c r="K124" s="5" t="n">
        <f aca="false">COUNTIF('Full Log'!$A:$A,$A124)</f>
        <v>1</v>
      </c>
      <c r="L124" s="5" t="s">
        <v>75</v>
      </c>
      <c r="M124" s="5" t="s">
        <v>75</v>
      </c>
      <c r="N124" s="6" t="s">
        <v>388</v>
      </c>
    </row>
    <row r="125" customFormat="false" ht="68.65" hidden="false" customHeight="false" outlineLevel="0" collapsed="false">
      <c r="A125" s="5" t="s">
        <v>542</v>
      </c>
      <c r="B125" s="5" t="s">
        <v>543</v>
      </c>
      <c r="C125" s="6" t="s">
        <v>544</v>
      </c>
      <c r="D125" s="5" t="s">
        <v>545</v>
      </c>
      <c r="E125" s="7" t="s">
        <v>59</v>
      </c>
      <c r="F125" s="8" t="n">
        <v>19</v>
      </c>
      <c r="G125" s="9" t="n">
        <v>7879.55</v>
      </c>
      <c r="H125" s="10" t="n">
        <v>10000</v>
      </c>
      <c r="I125" s="10" t="n">
        <v>448.68</v>
      </c>
      <c r="J125" s="5" t="s">
        <v>60</v>
      </c>
      <c r="K125" s="5" t="n">
        <f aca="false">COUNTIF('Full Log'!$A:$A,$A125)</f>
        <v>8</v>
      </c>
      <c r="L125" s="5" t="s">
        <v>109</v>
      </c>
      <c r="M125" s="5" t="s">
        <v>75</v>
      </c>
      <c r="N125" s="6" t="s">
        <v>546</v>
      </c>
    </row>
    <row r="126" customFormat="false" ht="57.45" hidden="false" customHeight="false" outlineLevel="0" collapsed="false">
      <c r="A126" s="5" t="s">
        <v>547</v>
      </c>
      <c r="B126" s="5" t="s">
        <v>548</v>
      </c>
      <c r="C126" s="6" t="s">
        <v>549</v>
      </c>
      <c r="D126" s="5" t="s">
        <v>545</v>
      </c>
      <c r="E126" s="7" t="s">
        <v>59</v>
      </c>
      <c r="F126" s="8" t="n">
        <v>2</v>
      </c>
      <c r="G126" s="9" t="n">
        <v>2147.3</v>
      </c>
      <c r="H126" s="10" t="n">
        <v>10000</v>
      </c>
      <c r="I126" s="10" t="n">
        <v>990.32</v>
      </c>
      <c r="J126" s="5" t="s">
        <v>60</v>
      </c>
      <c r="K126" s="5" t="n">
        <f aca="false">COUNTIF('Full Log'!$A:$A,$A126)</f>
        <v>6</v>
      </c>
      <c r="L126" s="5" t="s">
        <v>146</v>
      </c>
      <c r="M126" s="5" t="s">
        <v>80</v>
      </c>
      <c r="N126" s="6" t="s">
        <v>151</v>
      </c>
    </row>
    <row r="127" customFormat="false" ht="68.65" hidden="false" customHeight="false" outlineLevel="0" collapsed="false">
      <c r="A127" s="5" t="s">
        <v>550</v>
      </c>
      <c r="B127" s="5" t="s">
        <v>551</v>
      </c>
      <c r="C127" s="6" t="s">
        <v>552</v>
      </c>
      <c r="D127" s="5" t="s">
        <v>545</v>
      </c>
      <c r="E127" s="11"/>
      <c r="F127" s="8"/>
      <c r="G127" s="9"/>
      <c r="H127" s="10"/>
      <c r="I127" s="10" t="n">
        <v>513.99</v>
      </c>
      <c r="J127" s="5" t="s">
        <v>60</v>
      </c>
      <c r="K127" s="5" t="n">
        <f aca="false">COUNTIF('Full Log'!$A:$A,$A127)</f>
        <v>5</v>
      </c>
      <c r="L127" s="5" t="s">
        <v>99</v>
      </c>
      <c r="M127" s="5" t="s">
        <v>75</v>
      </c>
      <c r="N127" s="6" t="s">
        <v>546</v>
      </c>
    </row>
    <row r="128" customFormat="false" ht="15" hidden="false" customHeight="false" outlineLevel="0" collapsed="false">
      <c r="A128" s="5" t="s">
        <v>553</v>
      </c>
      <c r="B128" s="5" t="s">
        <v>554</v>
      </c>
      <c r="C128" s="6" t="s">
        <v>555</v>
      </c>
      <c r="D128" s="5" t="s">
        <v>545</v>
      </c>
      <c r="E128" s="11"/>
      <c r="F128" s="8"/>
      <c r="G128" s="9"/>
      <c r="H128" s="10"/>
      <c r="I128" s="10" t="n">
        <v>3.87</v>
      </c>
      <c r="J128" s="5" t="s">
        <v>60</v>
      </c>
      <c r="K128" s="5" t="n">
        <f aca="false">COUNTIF('Full Log'!$A:$A,$A128)</f>
        <v>0</v>
      </c>
      <c r="L128" s="5"/>
      <c r="M128" s="5"/>
      <c r="N128" s="6" t="s">
        <v>118</v>
      </c>
    </row>
    <row r="129" customFormat="false" ht="46.25" hidden="false" customHeight="false" outlineLevel="0" collapsed="false">
      <c r="A129" s="5" t="s">
        <v>556</v>
      </c>
      <c r="B129" s="5" t="s">
        <v>557</v>
      </c>
      <c r="C129" s="6" t="s">
        <v>558</v>
      </c>
      <c r="D129" s="5" t="s">
        <v>545</v>
      </c>
      <c r="E129" s="7" t="s">
        <v>59</v>
      </c>
      <c r="F129" s="8" t="n">
        <v>1</v>
      </c>
      <c r="G129" s="9" t="n">
        <v>1538.56</v>
      </c>
      <c r="H129" s="10" t="n">
        <v>5000</v>
      </c>
      <c r="I129" s="10" t="n">
        <v>1401.54</v>
      </c>
      <c r="J129" s="5" t="s">
        <v>60</v>
      </c>
      <c r="K129" s="5" t="n">
        <f aca="false">COUNTIF('Full Log'!$A:$A,$A129)</f>
        <v>7</v>
      </c>
      <c r="L129" s="5" t="s">
        <v>86</v>
      </c>
      <c r="M129" s="5" t="s">
        <v>60</v>
      </c>
      <c r="N129" s="6" t="s">
        <v>559</v>
      </c>
    </row>
    <row r="130" customFormat="false" ht="57.45" hidden="false" customHeight="false" outlineLevel="0" collapsed="false">
      <c r="A130" s="5" t="s">
        <v>560</v>
      </c>
      <c r="B130" s="5" t="s">
        <v>561</v>
      </c>
      <c r="C130" s="6" t="s">
        <v>562</v>
      </c>
      <c r="D130" s="5" t="s">
        <v>545</v>
      </c>
      <c r="E130" s="11"/>
      <c r="F130" s="8"/>
      <c r="G130" s="9"/>
      <c r="H130" s="10"/>
      <c r="I130" s="10" t="n">
        <v>164.69</v>
      </c>
      <c r="J130" s="5" t="s">
        <v>60</v>
      </c>
      <c r="K130" s="5" t="n">
        <f aca="false">COUNTIF('Full Log'!$A:$A,$A130)</f>
        <v>3</v>
      </c>
      <c r="L130" s="5" t="s">
        <v>75</v>
      </c>
      <c r="M130" s="5" t="s">
        <v>75</v>
      </c>
      <c r="N130" s="6" t="s">
        <v>501</v>
      </c>
    </row>
    <row r="131" customFormat="false" ht="15" hidden="false" customHeight="false" outlineLevel="0" collapsed="false">
      <c r="A131" s="5" t="s">
        <v>563</v>
      </c>
      <c r="B131" s="5" t="s">
        <v>564</v>
      </c>
      <c r="C131" s="6" t="s">
        <v>565</v>
      </c>
      <c r="D131" s="5" t="s">
        <v>545</v>
      </c>
      <c r="E131" s="11"/>
      <c r="F131" s="8"/>
      <c r="G131" s="9"/>
      <c r="H131" s="10"/>
      <c r="I131" s="10" t="n">
        <v>64.59</v>
      </c>
      <c r="J131" s="5" t="s">
        <v>60</v>
      </c>
      <c r="K131" s="5" t="n">
        <f aca="false">COUNTIF('Full Log'!$A:$A,$A131)</f>
        <v>0</v>
      </c>
      <c r="L131" s="5"/>
      <c r="M131" s="5"/>
      <c r="N131" s="6" t="s">
        <v>118</v>
      </c>
    </row>
    <row r="132" customFormat="false" ht="57.45" hidden="false" customHeight="false" outlineLevel="0" collapsed="false">
      <c r="A132" s="5" t="s">
        <v>566</v>
      </c>
      <c r="B132" s="5" t="s">
        <v>567</v>
      </c>
      <c r="C132" s="6" t="s">
        <v>568</v>
      </c>
      <c r="D132" s="5" t="s">
        <v>545</v>
      </c>
      <c r="E132" s="11"/>
      <c r="F132" s="8"/>
      <c r="G132" s="9"/>
      <c r="H132" s="10"/>
      <c r="I132" s="10" t="n">
        <v>211.56</v>
      </c>
      <c r="J132" s="5" t="s">
        <v>60</v>
      </c>
      <c r="K132" s="5" t="n">
        <f aca="false">COUNTIF('Full Log'!$A:$A,$A132)</f>
        <v>3</v>
      </c>
      <c r="L132" s="5" t="s">
        <v>75</v>
      </c>
      <c r="M132" s="5" t="s">
        <v>75</v>
      </c>
      <c r="N132" s="6" t="s">
        <v>501</v>
      </c>
    </row>
    <row r="133" customFormat="false" ht="68.65" hidden="false" customHeight="false" outlineLevel="0" collapsed="false">
      <c r="A133" s="5" t="s">
        <v>569</v>
      </c>
      <c r="B133" s="5" t="s">
        <v>570</v>
      </c>
      <c r="C133" s="6" t="s">
        <v>571</v>
      </c>
      <c r="D133" s="5" t="s">
        <v>545</v>
      </c>
      <c r="E133" s="11"/>
      <c r="F133" s="8"/>
      <c r="G133" s="9"/>
      <c r="H133" s="10"/>
      <c r="I133" s="10" t="n">
        <v>671.86</v>
      </c>
      <c r="J133" s="5" t="s">
        <v>60</v>
      </c>
      <c r="K133" s="5" t="n">
        <f aca="false">COUNTIF('Full Log'!$A:$A,$A133)</f>
        <v>2</v>
      </c>
      <c r="L133" s="5" t="s">
        <v>75</v>
      </c>
      <c r="M133" s="5" t="s">
        <v>75</v>
      </c>
      <c r="N133" s="6" t="s">
        <v>546</v>
      </c>
    </row>
    <row r="134" customFormat="false" ht="57.45" hidden="false" customHeight="false" outlineLevel="0" collapsed="false">
      <c r="A134" s="5" t="s">
        <v>572</v>
      </c>
      <c r="B134" s="5" t="s">
        <v>573</v>
      </c>
      <c r="C134" s="6" t="s">
        <v>574</v>
      </c>
      <c r="D134" s="5" t="s">
        <v>575</v>
      </c>
      <c r="E134" s="11"/>
      <c r="F134" s="8"/>
      <c r="G134" s="9"/>
      <c r="H134" s="10"/>
      <c r="I134" s="10" t="n">
        <v>5.92</v>
      </c>
      <c r="J134" s="5" t="s">
        <v>60</v>
      </c>
      <c r="K134" s="5" t="n">
        <f aca="false">COUNTIF('Full Log'!$A:$A,$A134)</f>
        <v>6</v>
      </c>
      <c r="L134" s="5" t="s">
        <v>75</v>
      </c>
      <c r="M134" s="5" t="s">
        <v>80</v>
      </c>
      <c r="N134" s="6" t="s">
        <v>151</v>
      </c>
    </row>
    <row r="135" customFormat="false" ht="15" hidden="false" customHeight="false" outlineLevel="0" collapsed="false">
      <c r="A135" s="5" t="s">
        <v>576</v>
      </c>
      <c r="B135" s="5" t="s">
        <v>577</v>
      </c>
      <c r="C135" s="6" t="s">
        <v>578</v>
      </c>
      <c r="D135" s="5" t="s">
        <v>575</v>
      </c>
      <c r="E135" s="11"/>
      <c r="F135" s="8"/>
      <c r="G135" s="9"/>
      <c r="H135" s="10"/>
      <c r="I135" s="10" t="n">
        <v>219.34</v>
      </c>
      <c r="J135" s="5" t="s">
        <v>60</v>
      </c>
      <c r="K135" s="5" t="n">
        <f aca="false">COUNTIF('Full Log'!$A:$A,$A135)</f>
        <v>0</v>
      </c>
      <c r="L135" s="5"/>
      <c r="M135" s="5"/>
      <c r="N135" s="6" t="s">
        <v>118</v>
      </c>
    </row>
    <row r="136" customFormat="false" ht="23.85" hidden="false" customHeight="false" outlineLevel="0" collapsed="false">
      <c r="A136" s="5" t="s">
        <v>579</v>
      </c>
      <c r="B136" s="5" t="s">
        <v>580</v>
      </c>
      <c r="C136" s="6" t="s">
        <v>581</v>
      </c>
      <c r="D136" s="5" t="s">
        <v>575</v>
      </c>
      <c r="E136" s="11"/>
      <c r="F136" s="8"/>
      <c r="G136" s="9"/>
      <c r="H136" s="10"/>
      <c r="I136" s="10" t="n">
        <v>13.2</v>
      </c>
      <c r="J136" s="5" t="s">
        <v>60</v>
      </c>
      <c r="K136" s="5" t="n">
        <f aca="false">COUNTIF('Full Log'!$A:$A,$A136)</f>
        <v>6</v>
      </c>
      <c r="L136" s="5" t="s">
        <v>80</v>
      </c>
      <c r="M136" s="5" t="s">
        <v>80</v>
      </c>
      <c r="N136" s="6" t="s">
        <v>582</v>
      </c>
    </row>
    <row r="137" customFormat="false" ht="23.85" hidden="false" customHeight="false" outlineLevel="0" collapsed="false">
      <c r="A137" s="5" t="s">
        <v>583</v>
      </c>
      <c r="B137" s="5" t="s">
        <v>584</v>
      </c>
      <c r="C137" s="6" t="s">
        <v>585</v>
      </c>
      <c r="D137" s="5" t="s">
        <v>575</v>
      </c>
      <c r="E137" s="11"/>
      <c r="F137" s="8"/>
      <c r="G137" s="9"/>
      <c r="H137" s="10"/>
      <c r="I137" s="10" t="n">
        <v>337.42</v>
      </c>
      <c r="J137" s="5" t="s">
        <v>60</v>
      </c>
      <c r="K137" s="5" t="n">
        <f aca="false">COUNTIF('Full Log'!$A:$A,$A137)</f>
        <v>0</v>
      </c>
      <c r="L137" s="5"/>
      <c r="M137" s="5"/>
      <c r="N137" s="6" t="s">
        <v>118</v>
      </c>
    </row>
    <row r="138" customFormat="false" ht="35.05" hidden="false" customHeight="false" outlineLevel="0" collapsed="false">
      <c r="A138" s="5" t="s">
        <v>586</v>
      </c>
      <c r="B138" s="5" t="s">
        <v>587</v>
      </c>
      <c r="C138" s="6" t="s">
        <v>588</v>
      </c>
      <c r="D138" s="5" t="s">
        <v>575</v>
      </c>
      <c r="E138" s="11"/>
      <c r="F138" s="8"/>
      <c r="G138" s="9"/>
      <c r="H138" s="10"/>
      <c r="I138" s="10" t="n">
        <v>84.65</v>
      </c>
      <c r="J138" s="5" t="s">
        <v>60</v>
      </c>
      <c r="K138" s="5" t="n">
        <f aca="false">COUNTIF('Full Log'!$A:$A,$A138)</f>
        <v>3</v>
      </c>
      <c r="L138" s="5" t="s">
        <v>229</v>
      </c>
      <c r="M138" s="5" t="s">
        <v>62</v>
      </c>
      <c r="N138" s="6" t="s">
        <v>513</v>
      </c>
    </row>
    <row r="139" customFormat="false" ht="102.2" hidden="false" customHeight="false" outlineLevel="0" collapsed="false">
      <c r="A139" s="5" t="s">
        <v>589</v>
      </c>
      <c r="B139" s="5" t="s">
        <v>590</v>
      </c>
      <c r="C139" s="6" t="s">
        <v>591</v>
      </c>
      <c r="D139" s="5" t="s">
        <v>575</v>
      </c>
      <c r="E139" s="11"/>
      <c r="F139" s="8"/>
      <c r="G139" s="9"/>
      <c r="H139" s="10"/>
      <c r="I139" s="10" t="n">
        <v>118.13</v>
      </c>
      <c r="J139" s="5" t="s">
        <v>60</v>
      </c>
      <c r="K139" s="5" t="n">
        <f aca="false">COUNTIF('Full Log'!$A:$A,$A139)</f>
        <v>1</v>
      </c>
      <c r="L139" s="5" t="s">
        <v>60</v>
      </c>
      <c r="M139" s="5" t="s">
        <v>60</v>
      </c>
      <c r="N139" s="6" t="s">
        <v>592</v>
      </c>
    </row>
    <row r="140" customFormat="false" ht="46.25" hidden="false" customHeight="false" outlineLevel="0" collapsed="false">
      <c r="A140" s="5" t="s">
        <v>593</v>
      </c>
      <c r="B140" s="5" t="s">
        <v>594</v>
      </c>
      <c r="C140" s="6" t="s">
        <v>595</v>
      </c>
      <c r="D140" s="5" t="s">
        <v>575</v>
      </c>
      <c r="E140" s="7" t="s">
        <v>59</v>
      </c>
      <c r="F140" s="8" t="n">
        <v>14</v>
      </c>
      <c r="G140" s="9" t="n">
        <v>3524.44</v>
      </c>
      <c r="H140" s="10" t="n">
        <v>10000</v>
      </c>
      <c r="I140" s="10" t="n">
        <v>272.4</v>
      </c>
      <c r="J140" s="5" t="s">
        <v>60</v>
      </c>
      <c r="K140" s="5" t="n">
        <f aca="false">COUNTIF('Full Log'!$A:$A,$A140)</f>
        <v>4</v>
      </c>
      <c r="L140" s="5" t="s">
        <v>86</v>
      </c>
      <c r="M140" s="5" t="s">
        <v>62</v>
      </c>
      <c r="N140" s="6" t="s">
        <v>596</v>
      </c>
    </row>
    <row r="141" customFormat="false" ht="46.25" hidden="false" customHeight="false" outlineLevel="0" collapsed="false">
      <c r="A141" s="5" t="s">
        <v>597</v>
      </c>
      <c r="B141" s="5" t="s">
        <v>598</v>
      </c>
      <c r="C141" s="6" t="s">
        <v>599</v>
      </c>
      <c r="D141" s="5" t="s">
        <v>600</v>
      </c>
      <c r="E141" s="11"/>
      <c r="F141" s="8"/>
      <c r="G141" s="9"/>
      <c r="H141" s="10"/>
      <c r="I141" s="10" t="n">
        <v>79.56</v>
      </c>
      <c r="J141" s="5" t="s">
        <v>62</v>
      </c>
      <c r="K141" s="5" t="n">
        <f aca="false">COUNTIF('Full Log'!$A:$A,$A141)</f>
        <v>2</v>
      </c>
      <c r="L141" s="5" t="s">
        <v>229</v>
      </c>
      <c r="M141" s="5" t="s">
        <v>229</v>
      </c>
      <c r="N141" s="6" t="s">
        <v>601</v>
      </c>
    </row>
    <row r="142" customFormat="false" ht="23.85" hidden="false" customHeight="false" outlineLevel="0" collapsed="false">
      <c r="A142" s="5" t="s">
        <v>602</v>
      </c>
      <c r="B142" s="5" t="s">
        <v>603</v>
      </c>
      <c r="C142" s="6" t="s">
        <v>604</v>
      </c>
      <c r="D142" s="5" t="s">
        <v>600</v>
      </c>
      <c r="E142" s="11"/>
      <c r="F142" s="8"/>
      <c r="G142" s="9"/>
      <c r="H142" s="10"/>
      <c r="I142" s="10" t="n">
        <v>214.42</v>
      </c>
      <c r="J142" s="5" t="s">
        <v>60</v>
      </c>
      <c r="K142" s="5" t="n">
        <f aca="false">COUNTIF('Full Log'!$A:$A,$A142)</f>
        <v>0</v>
      </c>
      <c r="L142" s="5"/>
      <c r="M142" s="5"/>
      <c r="N142" s="6" t="s">
        <v>118</v>
      </c>
    </row>
    <row r="143" customFormat="false" ht="35.05" hidden="false" customHeight="false" outlineLevel="0" collapsed="false">
      <c r="A143" s="5" t="s">
        <v>605</v>
      </c>
      <c r="B143" s="5" t="s">
        <v>606</v>
      </c>
      <c r="C143" s="6" t="s">
        <v>607</v>
      </c>
      <c r="D143" s="5" t="s">
        <v>600</v>
      </c>
      <c r="E143" s="11"/>
      <c r="F143" s="8"/>
      <c r="G143" s="9"/>
      <c r="H143" s="10"/>
      <c r="I143" s="10" t="n">
        <v>1820.69</v>
      </c>
      <c r="J143" s="5" t="s">
        <v>60</v>
      </c>
      <c r="K143" s="5" t="n">
        <f aca="false">COUNTIF('Full Log'!$A:$A,$A143)</f>
        <v>5</v>
      </c>
      <c r="L143" s="5" t="s">
        <v>95</v>
      </c>
      <c r="M143" s="5" t="s">
        <v>80</v>
      </c>
      <c r="N143" s="6" t="s">
        <v>608</v>
      </c>
    </row>
    <row r="144" customFormat="false" ht="15" hidden="false" customHeight="false" outlineLevel="0" collapsed="false">
      <c r="A144" s="5" t="s">
        <v>609</v>
      </c>
      <c r="B144" s="5" t="s">
        <v>610</v>
      </c>
      <c r="C144" s="6" t="s">
        <v>611</v>
      </c>
      <c r="D144" s="5" t="s">
        <v>600</v>
      </c>
      <c r="E144" s="11"/>
      <c r="F144" s="8"/>
      <c r="G144" s="9"/>
      <c r="H144" s="10"/>
      <c r="I144" s="10" t="n">
        <v>74.14</v>
      </c>
      <c r="J144" s="5" t="s">
        <v>60</v>
      </c>
      <c r="K144" s="5" t="n">
        <f aca="false">COUNTIF('Full Log'!$A:$A,$A144)</f>
        <v>0</v>
      </c>
      <c r="L144" s="5"/>
      <c r="M144" s="5"/>
      <c r="N144" s="6" t="s">
        <v>118</v>
      </c>
    </row>
    <row r="145" customFormat="false" ht="23.85" hidden="false" customHeight="false" outlineLevel="0" collapsed="false">
      <c r="A145" s="5" t="s">
        <v>612</v>
      </c>
      <c r="B145" s="5" t="s">
        <v>613</v>
      </c>
      <c r="C145" s="6" t="s">
        <v>614</v>
      </c>
      <c r="D145" s="5" t="s">
        <v>600</v>
      </c>
      <c r="E145" s="11"/>
      <c r="F145" s="8"/>
      <c r="G145" s="9"/>
      <c r="H145" s="10"/>
      <c r="I145" s="10" t="n">
        <v>113.43</v>
      </c>
      <c r="J145" s="5" t="s">
        <v>60</v>
      </c>
      <c r="K145" s="5" t="n">
        <f aca="false">COUNTIF('Full Log'!$A:$A,$A145)</f>
        <v>0</v>
      </c>
      <c r="L145" s="5"/>
      <c r="M145" s="5"/>
      <c r="N145" s="6" t="s">
        <v>118</v>
      </c>
    </row>
    <row r="146" customFormat="false" ht="46.25" hidden="false" customHeight="false" outlineLevel="0" collapsed="false">
      <c r="A146" s="5" t="s">
        <v>615</v>
      </c>
      <c r="B146" s="5" t="s">
        <v>616</v>
      </c>
      <c r="C146" s="6" t="s">
        <v>617</v>
      </c>
      <c r="D146" s="5" t="s">
        <v>600</v>
      </c>
      <c r="E146" s="11"/>
      <c r="F146" s="8"/>
      <c r="G146" s="9"/>
      <c r="H146" s="10"/>
      <c r="I146" s="10" t="n">
        <v>151.57</v>
      </c>
      <c r="J146" s="5" t="s">
        <v>60</v>
      </c>
      <c r="K146" s="5" t="n">
        <f aca="false">COUNTIF('Full Log'!$A:$A,$A146)</f>
        <v>2</v>
      </c>
      <c r="L146" s="5" t="s">
        <v>229</v>
      </c>
      <c r="M146" s="5" t="s">
        <v>229</v>
      </c>
      <c r="N146" s="6" t="s">
        <v>601</v>
      </c>
    </row>
    <row r="147" customFormat="false" ht="102.2" hidden="false" customHeight="false" outlineLevel="0" collapsed="false">
      <c r="A147" s="5" t="s">
        <v>618</v>
      </c>
      <c r="B147" s="5" t="s">
        <v>619</v>
      </c>
      <c r="C147" s="6" t="s">
        <v>620</v>
      </c>
      <c r="D147" s="5" t="s">
        <v>600</v>
      </c>
      <c r="E147" s="11"/>
      <c r="F147" s="8"/>
      <c r="G147" s="9"/>
      <c r="H147" s="10"/>
      <c r="I147" s="10" t="n">
        <v>8.02</v>
      </c>
      <c r="J147" s="5" t="s">
        <v>60</v>
      </c>
      <c r="K147" s="5" t="n">
        <f aca="false">COUNTIF('Full Log'!$A:$A,$A147)</f>
        <v>1</v>
      </c>
      <c r="L147" s="5" t="s">
        <v>60</v>
      </c>
      <c r="M147" s="5" t="s">
        <v>60</v>
      </c>
      <c r="N147" s="6" t="s">
        <v>592</v>
      </c>
    </row>
    <row r="148" customFormat="false" ht="35.05" hidden="false" customHeight="false" outlineLevel="0" collapsed="false">
      <c r="A148" s="5" t="s">
        <v>621</v>
      </c>
      <c r="B148" s="5" t="s">
        <v>622</v>
      </c>
      <c r="C148" s="6" t="s">
        <v>623</v>
      </c>
      <c r="D148" s="5" t="s">
        <v>600</v>
      </c>
      <c r="E148" s="11"/>
      <c r="F148" s="8"/>
      <c r="G148" s="9"/>
      <c r="H148" s="10"/>
      <c r="I148" s="10" t="n">
        <v>75.02</v>
      </c>
      <c r="J148" s="5" t="s">
        <v>60</v>
      </c>
      <c r="K148" s="5" t="n">
        <f aca="false">COUNTIF('Full Log'!$A:$A,$A148)</f>
        <v>3</v>
      </c>
      <c r="L148" s="5" t="s">
        <v>146</v>
      </c>
      <c r="M148" s="5" t="s">
        <v>99</v>
      </c>
      <c r="N148" s="6" t="s">
        <v>624</v>
      </c>
    </row>
    <row r="149" customFormat="false" ht="15" hidden="false" customHeight="false" outlineLevel="0" collapsed="false">
      <c r="A149" s="5" t="s">
        <v>625</v>
      </c>
      <c r="B149" s="5" t="s">
        <v>626</v>
      </c>
      <c r="C149" s="6" t="s">
        <v>627</v>
      </c>
      <c r="D149" s="5" t="s">
        <v>600</v>
      </c>
      <c r="E149" s="11"/>
      <c r="F149" s="8"/>
      <c r="G149" s="9"/>
      <c r="H149" s="10"/>
      <c r="I149" s="10" t="n">
        <v>179.64</v>
      </c>
      <c r="J149" s="5" t="s">
        <v>60</v>
      </c>
      <c r="K149" s="5" t="n">
        <f aca="false">COUNTIF('Full Log'!$A:$A,$A149)</f>
        <v>0</v>
      </c>
      <c r="L149" s="5"/>
      <c r="M149" s="5"/>
      <c r="N149" s="6" t="s">
        <v>118</v>
      </c>
    </row>
    <row r="150" customFormat="false" ht="23.85" hidden="false" customHeight="false" outlineLevel="0" collapsed="false">
      <c r="A150" s="5" t="s">
        <v>628</v>
      </c>
      <c r="B150" s="5" t="s">
        <v>629</v>
      </c>
      <c r="C150" s="6" t="s">
        <v>630</v>
      </c>
      <c r="D150" s="5" t="s">
        <v>631</v>
      </c>
      <c r="E150" s="11"/>
      <c r="F150" s="8"/>
      <c r="G150" s="9"/>
      <c r="H150" s="10"/>
      <c r="I150" s="10" t="n">
        <v>842.19</v>
      </c>
      <c r="J150" s="5" t="s">
        <v>60</v>
      </c>
      <c r="K150" s="5" t="n">
        <f aca="false">COUNTIF('Full Log'!$A:$A,$A150)</f>
        <v>0</v>
      </c>
      <c r="L150" s="5"/>
      <c r="M150" s="5"/>
      <c r="N150" s="6" t="s">
        <v>118</v>
      </c>
    </row>
    <row r="151" customFormat="false" ht="15" hidden="false" customHeight="false" outlineLevel="0" collapsed="false">
      <c r="A151" s="5" t="s">
        <v>632</v>
      </c>
      <c r="B151" s="5" t="s">
        <v>633</v>
      </c>
      <c r="C151" s="6" t="s">
        <v>634</v>
      </c>
      <c r="D151" s="5" t="s">
        <v>631</v>
      </c>
      <c r="E151" s="11"/>
      <c r="F151" s="8"/>
      <c r="G151" s="9"/>
      <c r="H151" s="10"/>
      <c r="I151" s="10" t="n">
        <v>620.83</v>
      </c>
      <c r="J151" s="5" t="s">
        <v>60</v>
      </c>
      <c r="K151" s="5" t="n">
        <f aca="false">COUNTIF('Full Log'!$A:$A,$A151)</f>
        <v>0</v>
      </c>
      <c r="L151" s="5"/>
      <c r="M151" s="5"/>
      <c r="N151" s="6" t="s">
        <v>118</v>
      </c>
    </row>
    <row r="152" customFormat="false" ht="15" hidden="false" customHeight="false" outlineLevel="0" collapsed="false">
      <c r="A152" s="5" t="s">
        <v>635</v>
      </c>
      <c r="B152" s="5" t="s">
        <v>636</v>
      </c>
      <c r="C152" s="6" t="s">
        <v>637</v>
      </c>
      <c r="D152" s="5" t="s">
        <v>631</v>
      </c>
      <c r="E152" s="11"/>
      <c r="F152" s="8"/>
      <c r="G152" s="9"/>
      <c r="H152" s="10"/>
      <c r="I152" s="10" t="n">
        <v>370.08</v>
      </c>
      <c r="J152" s="5" t="s">
        <v>60</v>
      </c>
      <c r="K152" s="5" t="n">
        <f aca="false">COUNTIF('Full Log'!$A:$A,$A152)</f>
        <v>0</v>
      </c>
      <c r="L152" s="5"/>
      <c r="M152" s="5"/>
      <c r="N152" s="6" t="s">
        <v>118</v>
      </c>
    </row>
    <row r="153" customFormat="false" ht="15" hidden="false" customHeight="false" outlineLevel="0" collapsed="false">
      <c r="A153" s="5" t="s">
        <v>638</v>
      </c>
      <c r="B153" s="5" t="s">
        <v>639</v>
      </c>
      <c r="C153" s="6" t="s">
        <v>640</v>
      </c>
      <c r="D153" s="5" t="s">
        <v>631</v>
      </c>
      <c r="E153" s="11"/>
      <c r="F153" s="8"/>
      <c r="G153" s="9"/>
      <c r="H153" s="10"/>
      <c r="I153" s="10" t="n">
        <v>182.9</v>
      </c>
      <c r="J153" s="5" t="s">
        <v>60</v>
      </c>
      <c r="K153" s="5" t="n">
        <f aca="false">COUNTIF('Full Log'!$A:$A,$A153)</f>
        <v>0</v>
      </c>
      <c r="L153" s="5"/>
      <c r="M153" s="5"/>
      <c r="N153" s="6" t="s">
        <v>118</v>
      </c>
    </row>
  </sheetData>
  <autoFilter ref="A1:N1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8"/>
    <col collapsed="false" customWidth="true" hidden="false" outlineLevel="0" max="4" min="4" style="0" width="130"/>
  </cols>
  <sheetData>
    <row r="1" customFormat="false" ht="27.75" hidden="false" customHeight="true" outlineLevel="0" collapsed="false">
      <c r="A1" s="4" t="s">
        <v>41</v>
      </c>
      <c r="B1" s="4" t="s">
        <v>641</v>
      </c>
      <c r="C1" s="4" t="s">
        <v>642</v>
      </c>
      <c r="D1" s="4" t="s">
        <v>643</v>
      </c>
    </row>
    <row r="2" customFormat="false" ht="46.25" hidden="false" customHeight="false" outlineLevel="0" collapsed="false">
      <c r="A2" s="6" t="s">
        <v>55</v>
      </c>
      <c r="B2" s="6" t="s">
        <v>644</v>
      </c>
      <c r="C2" s="12" t="s">
        <v>645</v>
      </c>
      <c r="D2" s="13" t="s">
        <v>646</v>
      </c>
    </row>
    <row r="3" customFormat="false" ht="23.85" hidden="false" customHeight="false" outlineLevel="0" collapsed="false">
      <c r="A3" s="6" t="s">
        <v>55</v>
      </c>
      <c r="B3" s="6" t="s">
        <v>647</v>
      </c>
      <c r="C3" s="12" t="s">
        <v>645</v>
      </c>
      <c r="D3" s="13" t="s">
        <v>648</v>
      </c>
    </row>
    <row r="4" customFormat="false" ht="23.85" hidden="false" customHeight="false" outlineLevel="0" collapsed="false">
      <c r="A4" s="6" t="s">
        <v>55</v>
      </c>
      <c r="B4" s="6" t="s">
        <v>649</v>
      </c>
      <c r="C4" s="14" t="s">
        <v>650</v>
      </c>
      <c r="D4" s="15" t="s">
        <v>651</v>
      </c>
    </row>
    <row r="5" customFormat="false" ht="46.25" hidden="false" customHeight="false" outlineLevel="0" collapsed="false">
      <c r="A5" s="6" t="s">
        <v>64</v>
      </c>
      <c r="B5" s="6" t="s">
        <v>644</v>
      </c>
      <c r="C5" s="14" t="s">
        <v>652</v>
      </c>
      <c r="D5" s="16" t="s">
        <v>653</v>
      </c>
    </row>
    <row r="6" customFormat="false" ht="46.25" hidden="false" customHeight="false" outlineLevel="0" collapsed="false">
      <c r="A6" s="6" t="s">
        <v>64</v>
      </c>
      <c r="B6" s="6" t="s">
        <v>647</v>
      </c>
      <c r="C6" s="14" t="s">
        <v>652</v>
      </c>
      <c r="D6" s="17" t="s">
        <v>654</v>
      </c>
    </row>
    <row r="7" customFormat="false" ht="68.65" hidden="false" customHeight="false" outlineLevel="0" collapsed="false">
      <c r="A7" s="6" t="s">
        <v>64</v>
      </c>
      <c r="B7" s="6" t="s">
        <v>649</v>
      </c>
      <c r="C7" s="14" t="s">
        <v>652</v>
      </c>
      <c r="D7" s="13" t="s">
        <v>655</v>
      </c>
    </row>
    <row r="8" customFormat="false" ht="113.4" hidden="false" customHeight="false" outlineLevel="0" collapsed="false">
      <c r="A8" s="6" t="s">
        <v>68</v>
      </c>
      <c r="B8" s="6" t="s">
        <v>644</v>
      </c>
      <c r="C8" s="14" t="s">
        <v>652</v>
      </c>
      <c r="D8" s="16" t="s">
        <v>656</v>
      </c>
    </row>
    <row r="9" customFormat="false" ht="23.85" hidden="false" customHeight="false" outlineLevel="0" collapsed="false">
      <c r="A9" s="6" t="s">
        <v>68</v>
      </c>
      <c r="B9" s="6" t="s">
        <v>647</v>
      </c>
      <c r="C9" s="14" t="s">
        <v>650</v>
      </c>
      <c r="D9" s="15" t="s">
        <v>657</v>
      </c>
    </row>
    <row r="10" customFormat="false" ht="46.25" hidden="false" customHeight="false" outlineLevel="0" collapsed="false">
      <c r="A10" s="6" t="s">
        <v>68</v>
      </c>
      <c r="B10" s="6" t="s">
        <v>649</v>
      </c>
      <c r="C10" s="14" t="s">
        <v>652</v>
      </c>
      <c r="D10" s="13" t="s">
        <v>658</v>
      </c>
    </row>
    <row r="11" customFormat="false" ht="46.25" hidden="false" customHeight="false" outlineLevel="0" collapsed="false">
      <c r="A11" s="6" t="s">
        <v>72</v>
      </c>
      <c r="B11" s="6" t="s">
        <v>644</v>
      </c>
      <c r="C11" s="14" t="s">
        <v>652</v>
      </c>
      <c r="D11" s="16" t="s">
        <v>659</v>
      </c>
    </row>
    <row r="12" customFormat="false" ht="91" hidden="false" customHeight="false" outlineLevel="0" collapsed="false">
      <c r="A12" s="6" t="s">
        <v>72</v>
      </c>
      <c r="B12" s="6" t="s">
        <v>647</v>
      </c>
      <c r="C12" s="14" t="s">
        <v>652</v>
      </c>
      <c r="D12" s="13" t="s">
        <v>660</v>
      </c>
    </row>
    <row r="13" customFormat="false" ht="113.4" hidden="false" customHeight="false" outlineLevel="0" collapsed="false">
      <c r="A13" s="6" t="s">
        <v>72</v>
      </c>
      <c r="B13" s="6" t="s">
        <v>649</v>
      </c>
      <c r="C13" s="14" t="s">
        <v>652</v>
      </c>
      <c r="D13" s="16" t="s">
        <v>661</v>
      </c>
    </row>
    <row r="14" customFormat="false" ht="46.25" hidden="false" customHeight="false" outlineLevel="0" collapsed="false">
      <c r="A14" s="6" t="s">
        <v>77</v>
      </c>
      <c r="B14" s="6" t="s">
        <v>644</v>
      </c>
      <c r="C14" s="12" t="s">
        <v>645</v>
      </c>
      <c r="D14" s="13" t="s">
        <v>662</v>
      </c>
    </row>
    <row r="15" customFormat="false" ht="79.85" hidden="false" customHeight="false" outlineLevel="0" collapsed="false">
      <c r="A15" s="6" t="s">
        <v>77</v>
      </c>
      <c r="B15" s="6" t="s">
        <v>647</v>
      </c>
      <c r="C15" s="14" t="s">
        <v>652</v>
      </c>
      <c r="D15" s="16" t="s">
        <v>663</v>
      </c>
    </row>
    <row r="16" customFormat="false" ht="57.45" hidden="false" customHeight="false" outlineLevel="0" collapsed="false">
      <c r="A16" s="6" t="s">
        <v>77</v>
      </c>
      <c r="B16" s="6" t="s">
        <v>649</v>
      </c>
      <c r="C16" s="14" t="s">
        <v>652</v>
      </c>
      <c r="D16" s="16" t="s">
        <v>664</v>
      </c>
    </row>
    <row r="17" customFormat="false" ht="23.85" hidden="false" customHeight="false" outlineLevel="0" collapsed="false">
      <c r="A17" s="6" t="s">
        <v>82</v>
      </c>
      <c r="B17" s="6" t="s">
        <v>644</v>
      </c>
      <c r="C17" s="18" t="s">
        <v>665</v>
      </c>
      <c r="D17" s="15" t="s">
        <v>666</v>
      </c>
    </row>
    <row r="18" customFormat="false" ht="23.85" hidden="false" customHeight="false" outlineLevel="0" collapsed="false">
      <c r="A18" s="6" t="s">
        <v>82</v>
      </c>
      <c r="B18" s="6" t="s">
        <v>647</v>
      </c>
      <c r="C18" s="14" t="s">
        <v>650</v>
      </c>
      <c r="D18" s="15" t="s">
        <v>667</v>
      </c>
    </row>
    <row r="19" customFormat="false" ht="46.25" hidden="false" customHeight="false" outlineLevel="0" collapsed="false">
      <c r="A19" s="6" t="s">
        <v>82</v>
      </c>
      <c r="B19" s="6" t="s">
        <v>649</v>
      </c>
      <c r="C19" s="14" t="s">
        <v>652</v>
      </c>
      <c r="D19" s="17" t="s">
        <v>668</v>
      </c>
    </row>
    <row r="20" customFormat="false" ht="91" hidden="false" customHeight="false" outlineLevel="0" collapsed="false">
      <c r="A20" s="6" t="s">
        <v>88</v>
      </c>
      <c r="B20" s="6" t="s">
        <v>644</v>
      </c>
      <c r="C20" s="12" t="s">
        <v>645</v>
      </c>
      <c r="D20" s="13" t="s">
        <v>669</v>
      </c>
    </row>
    <row r="21" customFormat="false" ht="35.05" hidden="false" customHeight="false" outlineLevel="0" collapsed="false">
      <c r="A21" s="6" t="s">
        <v>88</v>
      </c>
      <c r="B21" s="6" t="s">
        <v>647</v>
      </c>
      <c r="C21" s="12" t="s">
        <v>645</v>
      </c>
      <c r="D21" s="13" t="s">
        <v>670</v>
      </c>
    </row>
    <row r="22" customFormat="false" ht="23.85" hidden="false" customHeight="false" outlineLevel="0" collapsed="false">
      <c r="A22" s="6" t="s">
        <v>88</v>
      </c>
      <c r="B22" s="6" t="s">
        <v>649</v>
      </c>
      <c r="C22" s="18" t="s">
        <v>665</v>
      </c>
      <c r="D22" s="16" t="s">
        <v>671</v>
      </c>
    </row>
    <row r="23" customFormat="false" ht="23.85" hidden="false" customHeight="false" outlineLevel="0" collapsed="false">
      <c r="A23" s="6" t="s">
        <v>92</v>
      </c>
      <c r="B23" s="6" t="s">
        <v>644</v>
      </c>
      <c r="C23" s="14" t="s">
        <v>650</v>
      </c>
      <c r="D23" s="15" t="s">
        <v>672</v>
      </c>
    </row>
    <row r="24" customFormat="false" ht="35.05" hidden="false" customHeight="false" outlineLevel="0" collapsed="false">
      <c r="A24" s="6" t="s">
        <v>92</v>
      </c>
      <c r="B24" s="6" t="s">
        <v>647</v>
      </c>
      <c r="C24" s="12" t="s">
        <v>645</v>
      </c>
      <c r="D24" s="13" t="s">
        <v>673</v>
      </c>
    </row>
    <row r="25" customFormat="false" ht="23.85" hidden="false" customHeight="false" outlineLevel="0" collapsed="false">
      <c r="A25" s="6" t="s">
        <v>92</v>
      </c>
      <c r="B25" s="6" t="s">
        <v>649</v>
      </c>
      <c r="C25" s="18" t="s">
        <v>665</v>
      </c>
      <c r="D25" s="16" t="s">
        <v>674</v>
      </c>
    </row>
    <row r="26" customFormat="false" ht="23.85" hidden="false" customHeight="false" outlineLevel="0" collapsed="false">
      <c r="A26" s="6" t="s">
        <v>96</v>
      </c>
      <c r="B26" s="6" t="s">
        <v>644</v>
      </c>
      <c r="C26" s="12" t="s">
        <v>645</v>
      </c>
      <c r="D26" s="17" t="s">
        <v>675</v>
      </c>
    </row>
    <row r="27" customFormat="false" ht="23.85" hidden="false" customHeight="false" outlineLevel="0" collapsed="false">
      <c r="A27" s="6" t="s">
        <v>96</v>
      </c>
      <c r="B27" s="6" t="s">
        <v>649</v>
      </c>
      <c r="C27" s="14" t="s">
        <v>650</v>
      </c>
      <c r="D27" s="15" t="s">
        <v>676</v>
      </c>
    </row>
    <row r="28" customFormat="false" ht="102.2" hidden="false" customHeight="false" outlineLevel="0" collapsed="false">
      <c r="A28" s="6" t="s">
        <v>101</v>
      </c>
      <c r="B28" s="6" t="s">
        <v>649</v>
      </c>
      <c r="C28" s="14" t="s">
        <v>652</v>
      </c>
      <c r="D28" s="15" t="s">
        <v>677</v>
      </c>
    </row>
    <row r="29" customFormat="false" ht="46.25" hidden="false" customHeight="false" outlineLevel="0" collapsed="false">
      <c r="A29" s="6" t="s">
        <v>106</v>
      </c>
      <c r="B29" s="6" t="s">
        <v>644</v>
      </c>
      <c r="C29" s="14" t="s">
        <v>650</v>
      </c>
      <c r="D29" s="15" t="s">
        <v>678</v>
      </c>
    </row>
    <row r="30" customFormat="false" ht="113.4" hidden="false" customHeight="false" outlineLevel="0" collapsed="false">
      <c r="A30" s="6" t="s">
        <v>111</v>
      </c>
      <c r="B30" s="6" t="s">
        <v>644</v>
      </c>
      <c r="C30" s="14" t="s">
        <v>652</v>
      </c>
      <c r="D30" s="16" t="s">
        <v>679</v>
      </c>
    </row>
    <row r="31" customFormat="false" ht="68.65" hidden="false" customHeight="false" outlineLevel="0" collapsed="false">
      <c r="A31" s="6" t="s">
        <v>111</v>
      </c>
      <c r="B31" s="6" t="s">
        <v>647</v>
      </c>
      <c r="C31" s="12" t="s">
        <v>645</v>
      </c>
      <c r="D31" s="13" t="s">
        <v>680</v>
      </c>
    </row>
    <row r="32" customFormat="false" ht="113.4" hidden="false" customHeight="false" outlineLevel="0" collapsed="false">
      <c r="A32" s="6" t="s">
        <v>111</v>
      </c>
      <c r="B32" s="6" t="s">
        <v>649</v>
      </c>
      <c r="C32" s="14" t="s">
        <v>652</v>
      </c>
      <c r="D32" s="16" t="s">
        <v>681</v>
      </c>
    </row>
    <row r="33" customFormat="false" ht="68.65" hidden="false" customHeight="false" outlineLevel="0" collapsed="false">
      <c r="A33" s="6" t="s">
        <v>115</v>
      </c>
      <c r="B33" s="6" t="s">
        <v>649</v>
      </c>
      <c r="C33" s="14" t="s">
        <v>652</v>
      </c>
      <c r="D33" s="15" t="s">
        <v>682</v>
      </c>
    </row>
    <row r="34" customFormat="false" ht="57.45" hidden="false" customHeight="false" outlineLevel="0" collapsed="false">
      <c r="A34" s="6" t="s">
        <v>122</v>
      </c>
      <c r="B34" s="6" t="s">
        <v>644</v>
      </c>
      <c r="C34" s="18" t="s">
        <v>665</v>
      </c>
      <c r="D34" s="16" t="s">
        <v>683</v>
      </c>
    </row>
    <row r="35" customFormat="false" ht="23.85" hidden="false" customHeight="false" outlineLevel="0" collapsed="false">
      <c r="A35" s="6" t="s">
        <v>122</v>
      </c>
      <c r="B35" s="6" t="s">
        <v>647</v>
      </c>
      <c r="C35" s="12" t="s">
        <v>645</v>
      </c>
      <c r="D35" s="15" t="s">
        <v>684</v>
      </c>
    </row>
    <row r="36" customFormat="false" ht="79.85" hidden="false" customHeight="false" outlineLevel="0" collapsed="false">
      <c r="A36" s="6" t="s">
        <v>122</v>
      </c>
      <c r="B36" s="6" t="s">
        <v>649</v>
      </c>
      <c r="C36" s="14" t="s">
        <v>652</v>
      </c>
      <c r="D36" s="16" t="s">
        <v>685</v>
      </c>
    </row>
    <row r="37" customFormat="false" ht="35.05" hidden="false" customHeight="false" outlineLevel="0" collapsed="false">
      <c r="A37" s="6" t="s">
        <v>126</v>
      </c>
      <c r="B37" s="6" t="s">
        <v>644</v>
      </c>
      <c r="C37" s="12" t="s">
        <v>645</v>
      </c>
      <c r="D37" s="15" t="s">
        <v>686</v>
      </c>
    </row>
    <row r="38" customFormat="false" ht="68.65" hidden="false" customHeight="false" outlineLevel="0" collapsed="false">
      <c r="A38" s="6" t="s">
        <v>126</v>
      </c>
      <c r="B38" s="6" t="s">
        <v>647</v>
      </c>
      <c r="C38" s="12" t="s">
        <v>645</v>
      </c>
      <c r="D38" s="13" t="s">
        <v>687</v>
      </c>
    </row>
    <row r="39" customFormat="false" ht="23.85" hidden="false" customHeight="false" outlineLevel="0" collapsed="false">
      <c r="A39" s="6" t="s">
        <v>126</v>
      </c>
      <c r="B39" s="6" t="s">
        <v>649</v>
      </c>
      <c r="C39" s="12" t="s">
        <v>645</v>
      </c>
      <c r="D39" s="15" t="s">
        <v>688</v>
      </c>
    </row>
    <row r="40" customFormat="false" ht="57.45" hidden="false" customHeight="false" outlineLevel="0" collapsed="false">
      <c r="A40" s="6" t="s">
        <v>131</v>
      </c>
      <c r="B40" s="6" t="s">
        <v>644</v>
      </c>
      <c r="C40" s="14" t="s">
        <v>652</v>
      </c>
      <c r="D40" s="16" t="s">
        <v>689</v>
      </c>
    </row>
    <row r="41" customFormat="false" ht="46.25" hidden="false" customHeight="false" outlineLevel="0" collapsed="false">
      <c r="A41" s="6" t="s">
        <v>131</v>
      </c>
      <c r="B41" s="6" t="s">
        <v>647</v>
      </c>
      <c r="C41" s="12" t="s">
        <v>645</v>
      </c>
      <c r="D41" s="15" t="s">
        <v>690</v>
      </c>
    </row>
    <row r="42" customFormat="false" ht="23.85" hidden="false" customHeight="false" outlineLevel="0" collapsed="false">
      <c r="A42" s="6" t="s">
        <v>131</v>
      </c>
      <c r="B42" s="6" t="s">
        <v>649</v>
      </c>
      <c r="C42" s="18" t="s">
        <v>665</v>
      </c>
      <c r="D42" s="16" t="s">
        <v>691</v>
      </c>
    </row>
    <row r="43" customFormat="false" ht="23.85" hidden="false" customHeight="false" outlineLevel="0" collapsed="false">
      <c r="A43" s="6" t="s">
        <v>135</v>
      </c>
      <c r="B43" s="6" t="s">
        <v>644</v>
      </c>
      <c r="C43" s="14" t="s">
        <v>650</v>
      </c>
      <c r="D43" s="15" t="s">
        <v>692</v>
      </c>
    </row>
    <row r="44" customFormat="false" ht="23.85" hidden="false" customHeight="false" outlineLevel="0" collapsed="false">
      <c r="A44" s="6" t="s">
        <v>135</v>
      </c>
      <c r="B44" s="6" t="s">
        <v>647</v>
      </c>
      <c r="C44" s="12" t="s">
        <v>645</v>
      </c>
      <c r="D44" s="13" t="s">
        <v>693</v>
      </c>
    </row>
    <row r="45" customFormat="false" ht="23.85" hidden="false" customHeight="false" outlineLevel="0" collapsed="false">
      <c r="A45" s="6" t="s">
        <v>135</v>
      </c>
      <c r="B45" s="6" t="s">
        <v>649</v>
      </c>
      <c r="C45" s="14" t="s">
        <v>650</v>
      </c>
      <c r="D45" s="15" t="s">
        <v>694</v>
      </c>
    </row>
    <row r="46" customFormat="false" ht="35.05" hidden="false" customHeight="false" outlineLevel="0" collapsed="false">
      <c r="A46" s="6" t="s">
        <v>139</v>
      </c>
      <c r="B46" s="6" t="s">
        <v>644</v>
      </c>
      <c r="C46" s="12" t="s">
        <v>645</v>
      </c>
      <c r="D46" s="15" t="s">
        <v>695</v>
      </c>
    </row>
    <row r="47" customFormat="false" ht="91" hidden="false" customHeight="false" outlineLevel="0" collapsed="false">
      <c r="A47" s="6" t="s">
        <v>139</v>
      </c>
      <c r="B47" s="6" t="s">
        <v>647</v>
      </c>
      <c r="C47" s="12" t="s">
        <v>645</v>
      </c>
      <c r="D47" s="17" t="s">
        <v>696</v>
      </c>
    </row>
    <row r="48" customFormat="false" ht="23.85" hidden="false" customHeight="false" outlineLevel="0" collapsed="false">
      <c r="A48" s="6" t="s">
        <v>139</v>
      </c>
      <c r="B48" s="6" t="s">
        <v>649</v>
      </c>
      <c r="C48" s="14" t="s">
        <v>650</v>
      </c>
      <c r="D48" s="15" t="s">
        <v>697</v>
      </c>
    </row>
    <row r="49" customFormat="false" ht="23.85" hidden="false" customHeight="false" outlineLevel="0" collapsed="false">
      <c r="A49" s="6" t="s">
        <v>143</v>
      </c>
      <c r="B49" s="6" t="s">
        <v>644</v>
      </c>
      <c r="C49" s="12" t="s">
        <v>645</v>
      </c>
      <c r="D49" s="15" t="s">
        <v>698</v>
      </c>
    </row>
    <row r="50" customFormat="false" ht="23.85" hidden="false" customHeight="false" outlineLevel="0" collapsed="false">
      <c r="A50" s="6" t="s">
        <v>143</v>
      </c>
      <c r="B50" s="6" t="s">
        <v>647</v>
      </c>
      <c r="C50" s="14" t="s">
        <v>650</v>
      </c>
      <c r="D50" s="15" t="s">
        <v>699</v>
      </c>
    </row>
    <row r="51" customFormat="false" ht="23.85" hidden="false" customHeight="false" outlineLevel="0" collapsed="false">
      <c r="A51" s="6" t="s">
        <v>148</v>
      </c>
      <c r="B51" s="6" t="s">
        <v>644</v>
      </c>
      <c r="C51" s="14" t="s">
        <v>650</v>
      </c>
      <c r="D51" s="15" t="s">
        <v>700</v>
      </c>
    </row>
    <row r="52" customFormat="false" ht="23.85" hidden="false" customHeight="false" outlineLevel="0" collapsed="false">
      <c r="A52" s="6" t="s">
        <v>148</v>
      </c>
      <c r="B52" s="6" t="s">
        <v>647</v>
      </c>
      <c r="C52" s="14" t="s">
        <v>650</v>
      </c>
      <c r="D52" s="15" t="s">
        <v>701</v>
      </c>
    </row>
    <row r="53" customFormat="false" ht="23.85" hidden="false" customHeight="false" outlineLevel="0" collapsed="false">
      <c r="A53" s="6" t="s">
        <v>148</v>
      </c>
      <c r="B53" s="6" t="s">
        <v>649</v>
      </c>
      <c r="C53" s="14" t="s">
        <v>650</v>
      </c>
      <c r="D53" s="15" t="s">
        <v>702</v>
      </c>
    </row>
    <row r="54" customFormat="false" ht="91" hidden="false" customHeight="false" outlineLevel="0" collapsed="false">
      <c r="A54" s="6" t="s">
        <v>152</v>
      </c>
      <c r="B54" s="6" t="s">
        <v>644</v>
      </c>
      <c r="C54" s="14" t="s">
        <v>652</v>
      </c>
      <c r="D54" s="16" t="s">
        <v>703</v>
      </c>
    </row>
    <row r="55" customFormat="false" ht="102.2" hidden="false" customHeight="false" outlineLevel="0" collapsed="false">
      <c r="A55" s="6" t="s">
        <v>152</v>
      </c>
      <c r="B55" s="6" t="s">
        <v>647</v>
      </c>
      <c r="C55" s="14" t="s">
        <v>652</v>
      </c>
      <c r="D55" s="16" t="s">
        <v>704</v>
      </c>
    </row>
    <row r="56" customFormat="false" ht="57.45" hidden="false" customHeight="false" outlineLevel="0" collapsed="false">
      <c r="A56" s="6" t="s">
        <v>152</v>
      </c>
      <c r="B56" s="6" t="s">
        <v>649</v>
      </c>
      <c r="C56" s="14" t="s">
        <v>652</v>
      </c>
      <c r="D56" s="13" t="s">
        <v>705</v>
      </c>
    </row>
    <row r="57" customFormat="false" ht="35.05" hidden="false" customHeight="false" outlineLevel="0" collapsed="false">
      <c r="A57" s="6" t="s">
        <v>157</v>
      </c>
      <c r="B57" s="6" t="s">
        <v>644</v>
      </c>
      <c r="C57" s="18" t="s">
        <v>665</v>
      </c>
      <c r="D57" s="15" t="s">
        <v>706</v>
      </c>
    </row>
    <row r="58" customFormat="false" ht="113.4" hidden="false" customHeight="false" outlineLevel="0" collapsed="false">
      <c r="A58" s="6" t="s">
        <v>157</v>
      </c>
      <c r="B58" s="6" t="s">
        <v>647</v>
      </c>
      <c r="C58" s="12" t="s">
        <v>645</v>
      </c>
      <c r="D58" s="17" t="s">
        <v>707</v>
      </c>
    </row>
    <row r="59" customFormat="false" ht="46.25" hidden="false" customHeight="false" outlineLevel="0" collapsed="false">
      <c r="A59" s="6" t="s">
        <v>161</v>
      </c>
      <c r="B59" s="6" t="s">
        <v>644</v>
      </c>
      <c r="C59" s="12" t="s">
        <v>645</v>
      </c>
      <c r="D59" s="15" t="s">
        <v>708</v>
      </c>
    </row>
    <row r="60" customFormat="false" ht="35.05" hidden="false" customHeight="false" outlineLevel="0" collapsed="false">
      <c r="A60" s="6" t="s">
        <v>161</v>
      </c>
      <c r="B60" s="6" t="s">
        <v>647</v>
      </c>
      <c r="C60" s="12" t="s">
        <v>645</v>
      </c>
      <c r="D60" s="13" t="s">
        <v>709</v>
      </c>
    </row>
    <row r="61" customFormat="false" ht="23.85" hidden="false" customHeight="false" outlineLevel="0" collapsed="false">
      <c r="A61" s="6" t="s">
        <v>161</v>
      </c>
      <c r="B61" s="6" t="s">
        <v>649</v>
      </c>
      <c r="C61" s="12" t="s">
        <v>645</v>
      </c>
      <c r="D61" s="15" t="s">
        <v>710</v>
      </c>
    </row>
    <row r="62" customFormat="false" ht="35.05" hidden="false" customHeight="false" outlineLevel="0" collapsed="false">
      <c r="A62" s="6" t="s">
        <v>165</v>
      </c>
      <c r="B62" s="6" t="s">
        <v>647</v>
      </c>
      <c r="C62" s="18" t="s">
        <v>665</v>
      </c>
      <c r="D62" s="16" t="s">
        <v>711</v>
      </c>
    </row>
    <row r="63" customFormat="false" ht="35.05" hidden="false" customHeight="false" outlineLevel="0" collapsed="false">
      <c r="A63" s="6" t="s">
        <v>171</v>
      </c>
      <c r="B63" s="6" t="s">
        <v>644</v>
      </c>
      <c r="C63" s="12" t="s">
        <v>645</v>
      </c>
      <c r="D63" s="15" t="s">
        <v>712</v>
      </c>
    </row>
    <row r="64" customFormat="false" ht="23.85" hidden="false" customHeight="false" outlineLevel="0" collapsed="false">
      <c r="A64" s="6" t="s">
        <v>171</v>
      </c>
      <c r="B64" s="6" t="s">
        <v>647</v>
      </c>
      <c r="C64" s="12" t="s">
        <v>645</v>
      </c>
      <c r="D64" s="13" t="s">
        <v>713</v>
      </c>
    </row>
    <row r="65" customFormat="false" ht="23.85" hidden="false" customHeight="false" outlineLevel="0" collapsed="false">
      <c r="A65" s="6" t="s">
        <v>171</v>
      </c>
      <c r="B65" s="6" t="s">
        <v>649</v>
      </c>
      <c r="C65" s="14" t="s">
        <v>650</v>
      </c>
      <c r="D65" s="15" t="s">
        <v>714</v>
      </c>
    </row>
    <row r="66" customFormat="false" ht="35.05" hidden="false" customHeight="false" outlineLevel="0" collapsed="false">
      <c r="A66" s="6" t="s">
        <v>175</v>
      </c>
      <c r="B66" s="6" t="s">
        <v>644</v>
      </c>
      <c r="C66" s="12" t="s">
        <v>645</v>
      </c>
      <c r="D66" s="15" t="s">
        <v>715</v>
      </c>
    </row>
    <row r="67" customFormat="false" ht="23.85" hidden="false" customHeight="false" outlineLevel="0" collapsed="false">
      <c r="A67" s="6" t="s">
        <v>175</v>
      </c>
      <c r="B67" s="6" t="s">
        <v>647</v>
      </c>
      <c r="C67" s="14" t="s">
        <v>650</v>
      </c>
      <c r="D67" s="15" t="s">
        <v>716</v>
      </c>
    </row>
    <row r="68" customFormat="false" ht="35.05" hidden="false" customHeight="false" outlineLevel="0" collapsed="false">
      <c r="A68" s="6" t="s">
        <v>175</v>
      </c>
      <c r="B68" s="6" t="s">
        <v>649</v>
      </c>
      <c r="C68" s="18" t="s">
        <v>665</v>
      </c>
      <c r="D68" s="16" t="s">
        <v>717</v>
      </c>
    </row>
    <row r="69" customFormat="false" ht="23.85" hidden="false" customHeight="false" outlineLevel="0" collapsed="false">
      <c r="A69" s="6" t="s">
        <v>179</v>
      </c>
      <c r="B69" s="6" t="s">
        <v>644</v>
      </c>
      <c r="C69" s="14" t="s">
        <v>650</v>
      </c>
      <c r="D69" s="15" t="s">
        <v>718</v>
      </c>
    </row>
    <row r="70" customFormat="false" ht="35.05" hidden="false" customHeight="false" outlineLevel="0" collapsed="false">
      <c r="A70" s="6" t="s">
        <v>179</v>
      </c>
      <c r="B70" s="6" t="s">
        <v>647</v>
      </c>
      <c r="C70" s="12" t="s">
        <v>645</v>
      </c>
      <c r="D70" s="15" t="s">
        <v>719</v>
      </c>
    </row>
    <row r="71" customFormat="false" ht="23.85" hidden="false" customHeight="false" outlineLevel="0" collapsed="false">
      <c r="A71" s="6" t="s">
        <v>183</v>
      </c>
      <c r="B71" s="6" t="s">
        <v>644</v>
      </c>
      <c r="C71" s="14" t="s">
        <v>650</v>
      </c>
      <c r="D71" s="15" t="s">
        <v>720</v>
      </c>
    </row>
    <row r="72" customFormat="false" ht="35.05" hidden="false" customHeight="false" outlineLevel="0" collapsed="false">
      <c r="A72" s="6" t="s">
        <v>183</v>
      </c>
      <c r="B72" s="6" t="s">
        <v>647</v>
      </c>
      <c r="C72" s="12" t="s">
        <v>645</v>
      </c>
      <c r="D72" s="15" t="s">
        <v>721</v>
      </c>
    </row>
    <row r="73" customFormat="false" ht="23.85" hidden="false" customHeight="false" outlineLevel="0" collapsed="false">
      <c r="A73" s="6" t="s">
        <v>187</v>
      </c>
      <c r="B73" s="6" t="s">
        <v>644</v>
      </c>
      <c r="C73" s="14" t="s">
        <v>650</v>
      </c>
      <c r="D73" s="15" t="s">
        <v>722</v>
      </c>
    </row>
    <row r="74" customFormat="false" ht="68.65" hidden="false" customHeight="false" outlineLevel="0" collapsed="false">
      <c r="A74" s="6" t="s">
        <v>187</v>
      </c>
      <c r="B74" s="6" t="s">
        <v>647</v>
      </c>
      <c r="C74" s="14" t="s">
        <v>652</v>
      </c>
      <c r="D74" s="16" t="s">
        <v>723</v>
      </c>
    </row>
    <row r="75" customFormat="false" ht="147" hidden="false" customHeight="false" outlineLevel="0" collapsed="false">
      <c r="A75" s="6" t="s">
        <v>192</v>
      </c>
      <c r="B75" s="6" t="s">
        <v>649</v>
      </c>
      <c r="C75" s="14" t="s">
        <v>652</v>
      </c>
      <c r="D75" s="15" t="s">
        <v>724</v>
      </c>
    </row>
    <row r="76" customFormat="false" ht="46.25" hidden="false" customHeight="false" outlineLevel="0" collapsed="false">
      <c r="A76" s="6" t="s">
        <v>196</v>
      </c>
      <c r="B76" s="6" t="s">
        <v>649</v>
      </c>
      <c r="C76" s="14" t="s">
        <v>652</v>
      </c>
      <c r="D76" s="15" t="s">
        <v>725</v>
      </c>
    </row>
    <row r="77" customFormat="false" ht="91" hidden="false" customHeight="false" outlineLevel="0" collapsed="false">
      <c r="A77" s="6" t="s">
        <v>200</v>
      </c>
      <c r="B77" s="6" t="s">
        <v>644</v>
      </c>
      <c r="C77" s="14" t="s">
        <v>652</v>
      </c>
      <c r="D77" s="16" t="s">
        <v>726</v>
      </c>
    </row>
    <row r="78" customFormat="false" ht="23.85" hidden="false" customHeight="false" outlineLevel="0" collapsed="false">
      <c r="A78" s="6" t="s">
        <v>200</v>
      </c>
      <c r="B78" s="6" t="s">
        <v>647</v>
      </c>
      <c r="C78" s="12" t="s">
        <v>645</v>
      </c>
      <c r="D78" s="15" t="s">
        <v>727</v>
      </c>
    </row>
    <row r="79" customFormat="false" ht="35.05" hidden="false" customHeight="false" outlineLevel="0" collapsed="false">
      <c r="A79" s="6" t="s">
        <v>203</v>
      </c>
      <c r="B79" s="6" t="s">
        <v>644</v>
      </c>
      <c r="C79" s="18" t="s">
        <v>665</v>
      </c>
      <c r="D79" s="15" t="s">
        <v>728</v>
      </c>
    </row>
    <row r="80" customFormat="false" ht="23.85" hidden="false" customHeight="false" outlineLevel="0" collapsed="false">
      <c r="A80" s="6" t="s">
        <v>203</v>
      </c>
      <c r="B80" s="6" t="s">
        <v>647</v>
      </c>
      <c r="C80" s="14" t="s">
        <v>650</v>
      </c>
      <c r="D80" s="15" t="s">
        <v>729</v>
      </c>
    </row>
    <row r="81" customFormat="false" ht="23.85" hidden="false" customHeight="false" outlineLevel="0" collapsed="false">
      <c r="A81" s="6" t="s">
        <v>203</v>
      </c>
      <c r="B81" s="6" t="s">
        <v>649</v>
      </c>
      <c r="C81" s="18" t="s">
        <v>665</v>
      </c>
      <c r="D81" s="15" t="s">
        <v>730</v>
      </c>
    </row>
    <row r="82" customFormat="false" ht="35.05" hidden="false" customHeight="false" outlineLevel="0" collapsed="false">
      <c r="A82" s="6" t="s">
        <v>206</v>
      </c>
      <c r="B82" s="6" t="s">
        <v>644</v>
      </c>
      <c r="C82" s="14" t="s">
        <v>650</v>
      </c>
      <c r="D82" s="15" t="s">
        <v>731</v>
      </c>
    </row>
    <row r="83" customFormat="false" ht="23.85" hidden="false" customHeight="false" outlineLevel="0" collapsed="false">
      <c r="A83" s="6" t="s">
        <v>206</v>
      </c>
      <c r="B83" s="6" t="s">
        <v>647</v>
      </c>
      <c r="C83" s="14" t="s">
        <v>650</v>
      </c>
      <c r="D83" s="15" t="s">
        <v>732</v>
      </c>
    </row>
    <row r="84" customFormat="false" ht="23.85" hidden="false" customHeight="false" outlineLevel="0" collapsed="false">
      <c r="A84" s="6" t="s">
        <v>210</v>
      </c>
      <c r="B84" s="6" t="s">
        <v>644</v>
      </c>
      <c r="C84" s="14" t="s">
        <v>650</v>
      </c>
      <c r="D84" s="15" t="s">
        <v>733</v>
      </c>
    </row>
    <row r="85" customFormat="false" ht="68.65" hidden="false" customHeight="false" outlineLevel="0" collapsed="false">
      <c r="A85" s="6" t="s">
        <v>210</v>
      </c>
      <c r="B85" s="6" t="s">
        <v>647</v>
      </c>
      <c r="C85" s="12" t="s">
        <v>645</v>
      </c>
      <c r="D85" s="13" t="s">
        <v>734</v>
      </c>
    </row>
    <row r="86" customFormat="false" ht="46.25" hidden="false" customHeight="false" outlineLevel="0" collapsed="false">
      <c r="A86" s="6" t="s">
        <v>210</v>
      </c>
      <c r="B86" s="6" t="s">
        <v>649</v>
      </c>
      <c r="C86" s="12" t="s">
        <v>645</v>
      </c>
      <c r="D86" s="13" t="s">
        <v>735</v>
      </c>
    </row>
    <row r="87" customFormat="false" ht="113.4" hidden="false" customHeight="false" outlineLevel="0" collapsed="false">
      <c r="A87" s="6" t="s">
        <v>213</v>
      </c>
      <c r="B87" s="6" t="s">
        <v>649</v>
      </c>
      <c r="C87" s="12" t="s">
        <v>645</v>
      </c>
      <c r="D87" s="15" t="s">
        <v>736</v>
      </c>
    </row>
    <row r="88" customFormat="false" ht="23.85" hidden="false" customHeight="false" outlineLevel="0" collapsed="false">
      <c r="A88" s="6" t="s">
        <v>217</v>
      </c>
      <c r="B88" s="6" t="s">
        <v>647</v>
      </c>
      <c r="C88" s="14" t="s">
        <v>650</v>
      </c>
      <c r="D88" s="15" t="s">
        <v>737</v>
      </c>
    </row>
    <row r="89" customFormat="false" ht="46.25" hidden="false" customHeight="false" outlineLevel="0" collapsed="false">
      <c r="A89" s="6" t="s">
        <v>217</v>
      </c>
      <c r="B89" s="6" t="s">
        <v>649</v>
      </c>
      <c r="C89" s="12" t="s">
        <v>645</v>
      </c>
      <c r="D89" s="15" t="s">
        <v>738</v>
      </c>
    </row>
    <row r="90" customFormat="false" ht="23.85" hidden="false" customHeight="false" outlineLevel="0" collapsed="false">
      <c r="A90" s="6" t="s">
        <v>221</v>
      </c>
      <c r="B90" s="6" t="s">
        <v>647</v>
      </c>
      <c r="C90" s="14" t="s">
        <v>650</v>
      </c>
      <c r="D90" s="15" t="s">
        <v>739</v>
      </c>
    </row>
    <row r="91" customFormat="false" ht="35.05" hidden="false" customHeight="false" outlineLevel="0" collapsed="false">
      <c r="A91" s="6" t="s">
        <v>221</v>
      </c>
      <c r="B91" s="6" t="s">
        <v>649</v>
      </c>
      <c r="C91" s="12" t="s">
        <v>645</v>
      </c>
      <c r="D91" s="15" t="s">
        <v>740</v>
      </c>
    </row>
    <row r="92" customFormat="false" ht="23.85" hidden="false" customHeight="false" outlineLevel="0" collapsed="false">
      <c r="A92" s="6" t="s">
        <v>226</v>
      </c>
      <c r="B92" s="6" t="s">
        <v>644</v>
      </c>
      <c r="C92" s="14" t="s">
        <v>650</v>
      </c>
      <c r="D92" s="15" t="s">
        <v>741</v>
      </c>
    </row>
    <row r="93" customFormat="false" ht="35.05" hidden="false" customHeight="false" outlineLevel="0" collapsed="false">
      <c r="A93" s="6" t="s">
        <v>231</v>
      </c>
      <c r="B93" s="6" t="s">
        <v>644</v>
      </c>
      <c r="C93" s="12" t="s">
        <v>645</v>
      </c>
      <c r="D93" s="13" t="s">
        <v>742</v>
      </c>
    </row>
    <row r="94" customFormat="false" ht="35.05" hidden="false" customHeight="false" outlineLevel="0" collapsed="false">
      <c r="A94" s="6" t="s">
        <v>231</v>
      </c>
      <c r="B94" s="6" t="s">
        <v>647</v>
      </c>
      <c r="C94" s="12" t="s">
        <v>645</v>
      </c>
      <c r="D94" s="17" t="s">
        <v>743</v>
      </c>
    </row>
    <row r="95" customFormat="false" ht="23.85" hidden="false" customHeight="false" outlineLevel="0" collapsed="false">
      <c r="A95" s="6" t="s">
        <v>231</v>
      </c>
      <c r="B95" s="6" t="s">
        <v>649</v>
      </c>
      <c r="C95" s="14" t="s">
        <v>650</v>
      </c>
      <c r="D95" s="15" t="s">
        <v>744</v>
      </c>
    </row>
    <row r="96" customFormat="false" ht="113.4" hidden="false" customHeight="false" outlineLevel="0" collapsed="false">
      <c r="A96" s="6" t="s">
        <v>235</v>
      </c>
      <c r="B96" s="6" t="s">
        <v>649</v>
      </c>
      <c r="C96" s="14" t="s">
        <v>652</v>
      </c>
      <c r="D96" s="15" t="s">
        <v>745</v>
      </c>
    </row>
    <row r="97" customFormat="false" ht="23.85" hidden="false" customHeight="false" outlineLevel="0" collapsed="false">
      <c r="A97" s="6" t="s">
        <v>243</v>
      </c>
      <c r="B97" s="6" t="s">
        <v>644</v>
      </c>
      <c r="C97" s="14" t="s">
        <v>650</v>
      </c>
      <c r="D97" s="15" t="s">
        <v>746</v>
      </c>
    </row>
    <row r="98" customFormat="false" ht="23.85" hidden="false" customHeight="false" outlineLevel="0" collapsed="false">
      <c r="A98" s="6" t="s">
        <v>243</v>
      </c>
      <c r="B98" s="6" t="s">
        <v>647</v>
      </c>
      <c r="C98" s="12" t="s">
        <v>645</v>
      </c>
      <c r="D98" s="13" t="s">
        <v>747</v>
      </c>
    </row>
    <row r="99" customFormat="false" ht="68.65" hidden="false" customHeight="false" outlineLevel="0" collapsed="false">
      <c r="A99" s="6" t="s">
        <v>243</v>
      </c>
      <c r="B99" s="6" t="s">
        <v>649</v>
      </c>
      <c r="C99" s="14" t="s">
        <v>650</v>
      </c>
      <c r="D99" s="15" t="s">
        <v>748</v>
      </c>
    </row>
    <row r="100" customFormat="false" ht="23.85" hidden="false" customHeight="false" outlineLevel="0" collapsed="false">
      <c r="A100" s="6" t="s">
        <v>247</v>
      </c>
      <c r="B100" s="6" t="s">
        <v>644</v>
      </c>
      <c r="C100" s="14" t="s">
        <v>650</v>
      </c>
      <c r="D100" s="15" t="s">
        <v>749</v>
      </c>
    </row>
    <row r="101" customFormat="false" ht="68.65" hidden="false" customHeight="false" outlineLevel="0" collapsed="false">
      <c r="A101" s="6" t="s">
        <v>252</v>
      </c>
      <c r="B101" s="6" t="s">
        <v>644</v>
      </c>
      <c r="C101" s="14" t="s">
        <v>652</v>
      </c>
      <c r="D101" s="13" t="s">
        <v>750</v>
      </c>
    </row>
    <row r="102" customFormat="false" ht="35.05" hidden="false" customHeight="false" outlineLevel="0" collapsed="false">
      <c r="A102" s="6" t="s">
        <v>252</v>
      </c>
      <c r="B102" s="6" t="s">
        <v>647</v>
      </c>
      <c r="C102" s="12" t="s">
        <v>645</v>
      </c>
      <c r="D102" s="15" t="s">
        <v>751</v>
      </c>
    </row>
    <row r="103" customFormat="false" ht="57.45" hidden="false" customHeight="false" outlineLevel="0" collapsed="false">
      <c r="A103" s="6" t="s">
        <v>252</v>
      </c>
      <c r="B103" s="6" t="s">
        <v>649</v>
      </c>
      <c r="C103" s="14" t="s">
        <v>650</v>
      </c>
      <c r="D103" s="15" t="s">
        <v>752</v>
      </c>
    </row>
    <row r="104" customFormat="false" ht="35.05" hidden="false" customHeight="false" outlineLevel="0" collapsed="false">
      <c r="A104" s="6" t="s">
        <v>256</v>
      </c>
      <c r="B104" s="6" t="s">
        <v>644</v>
      </c>
      <c r="C104" s="14" t="s">
        <v>650</v>
      </c>
      <c r="D104" s="15" t="s">
        <v>753</v>
      </c>
    </row>
    <row r="105" customFormat="false" ht="23.85" hidden="false" customHeight="false" outlineLevel="0" collapsed="false">
      <c r="A105" s="6" t="s">
        <v>260</v>
      </c>
      <c r="B105" s="6" t="s">
        <v>644</v>
      </c>
      <c r="C105" s="14" t="s">
        <v>650</v>
      </c>
      <c r="D105" s="15" t="s">
        <v>754</v>
      </c>
    </row>
    <row r="106" customFormat="false" ht="23.85" hidden="false" customHeight="false" outlineLevel="0" collapsed="false">
      <c r="A106" s="6" t="s">
        <v>260</v>
      </c>
      <c r="B106" s="6" t="s">
        <v>647</v>
      </c>
      <c r="C106" s="14" t="s">
        <v>650</v>
      </c>
      <c r="D106" s="15" t="s">
        <v>755</v>
      </c>
    </row>
    <row r="107" customFormat="false" ht="23.85" hidden="false" customHeight="false" outlineLevel="0" collapsed="false">
      <c r="A107" s="6" t="s">
        <v>264</v>
      </c>
      <c r="B107" s="6" t="s">
        <v>644</v>
      </c>
      <c r="C107" s="14" t="s">
        <v>650</v>
      </c>
      <c r="D107" s="15" t="s">
        <v>756</v>
      </c>
    </row>
    <row r="108" customFormat="false" ht="23.85" hidden="false" customHeight="false" outlineLevel="0" collapsed="false">
      <c r="A108" s="6" t="s">
        <v>264</v>
      </c>
      <c r="B108" s="6" t="s">
        <v>647</v>
      </c>
      <c r="C108" s="18" t="s">
        <v>665</v>
      </c>
      <c r="D108" s="15" t="s">
        <v>757</v>
      </c>
    </row>
    <row r="109" customFormat="false" ht="23.85" hidden="false" customHeight="false" outlineLevel="0" collapsed="false">
      <c r="A109" s="6" t="s">
        <v>268</v>
      </c>
      <c r="B109" s="6" t="s">
        <v>644</v>
      </c>
      <c r="C109" s="14" t="s">
        <v>650</v>
      </c>
      <c r="D109" s="15" t="s">
        <v>758</v>
      </c>
    </row>
    <row r="110" customFormat="false" ht="23.85" hidden="false" customHeight="false" outlineLevel="0" collapsed="false">
      <c r="A110" s="6" t="s">
        <v>268</v>
      </c>
      <c r="B110" s="6" t="s">
        <v>647</v>
      </c>
      <c r="C110" s="12" t="s">
        <v>645</v>
      </c>
      <c r="D110" s="13" t="s">
        <v>759</v>
      </c>
    </row>
    <row r="111" customFormat="false" ht="46.25" hidden="false" customHeight="false" outlineLevel="0" collapsed="false">
      <c r="A111" s="6" t="s">
        <v>273</v>
      </c>
      <c r="B111" s="6" t="s">
        <v>644</v>
      </c>
      <c r="C111" s="14" t="s">
        <v>652</v>
      </c>
      <c r="D111" s="15" t="s">
        <v>760</v>
      </c>
    </row>
    <row r="112" customFormat="false" ht="23.85" hidden="false" customHeight="false" outlineLevel="0" collapsed="false">
      <c r="A112" s="6" t="s">
        <v>277</v>
      </c>
      <c r="B112" s="6" t="s">
        <v>649</v>
      </c>
      <c r="C112" s="12" t="s">
        <v>645</v>
      </c>
      <c r="D112" s="15" t="s">
        <v>761</v>
      </c>
    </row>
    <row r="113" customFormat="false" ht="46.25" hidden="false" customHeight="false" outlineLevel="0" collapsed="false">
      <c r="A113" s="6" t="s">
        <v>281</v>
      </c>
      <c r="B113" s="6" t="s">
        <v>644</v>
      </c>
      <c r="C113" s="12" t="s">
        <v>645</v>
      </c>
      <c r="D113" s="15" t="s">
        <v>762</v>
      </c>
    </row>
    <row r="114" customFormat="false" ht="23.85" hidden="false" customHeight="false" outlineLevel="0" collapsed="false">
      <c r="A114" s="6" t="s">
        <v>281</v>
      </c>
      <c r="B114" s="6" t="s">
        <v>647</v>
      </c>
      <c r="C114" s="14" t="s">
        <v>650</v>
      </c>
      <c r="D114" s="15" t="s">
        <v>763</v>
      </c>
    </row>
    <row r="115" customFormat="false" ht="23.85" hidden="false" customHeight="false" outlineLevel="0" collapsed="false">
      <c r="A115" s="6" t="s">
        <v>281</v>
      </c>
      <c r="B115" s="6" t="s">
        <v>649</v>
      </c>
      <c r="C115" s="14" t="s">
        <v>650</v>
      </c>
      <c r="D115" s="15" t="s">
        <v>764</v>
      </c>
    </row>
    <row r="116" customFormat="false" ht="46.25" hidden="false" customHeight="false" outlineLevel="0" collapsed="false">
      <c r="A116" s="6" t="s">
        <v>285</v>
      </c>
      <c r="B116" s="6" t="s">
        <v>649</v>
      </c>
      <c r="C116" s="14" t="s">
        <v>652</v>
      </c>
      <c r="D116" s="15" t="s">
        <v>765</v>
      </c>
    </row>
    <row r="117" customFormat="false" ht="46.25" hidden="false" customHeight="false" outlineLevel="0" collapsed="false">
      <c r="A117" s="6" t="s">
        <v>288</v>
      </c>
      <c r="B117" s="6" t="s">
        <v>644</v>
      </c>
      <c r="C117" s="14" t="s">
        <v>650</v>
      </c>
      <c r="D117" s="15" t="s">
        <v>766</v>
      </c>
    </row>
    <row r="118" customFormat="false" ht="23.85" hidden="false" customHeight="false" outlineLevel="0" collapsed="false">
      <c r="A118" s="6" t="s">
        <v>288</v>
      </c>
      <c r="B118" s="6" t="s">
        <v>649</v>
      </c>
      <c r="C118" s="18" t="s">
        <v>665</v>
      </c>
      <c r="D118" s="16" t="s">
        <v>767</v>
      </c>
    </row>
    <row r="119" customFormat="false" ht="23.85" hidden="false" customHeight="false" outlineLevel="0" collapsed="false">
      <c r="A119" s="6" t="s">
        <v>291</v>
      </c>
      <c r="B119" s="6" t="s">
        <v>644</v>
      </c>
      <c r="C119" s="12" t="s">
        <v>645</v>
      </c>
      <c r="D119" s="13" t="s">
        <v>768</v>
      </c>
    </row>
    <row r="120" customFormat="false" ht="169.4" hidden="false" customHeight="false" outlineLevel="0" collapsed="false">
      <c r="A120" s="6" t="s">
        <v>296</v>
      </c>
      <c r="B120" s="6" t="s">
        <v>649</v>
      </c>
      <c r="C120" s="14" t="s">
        <v>652</v>
      </c>
      <c r="D120" s="15" t="s">
        <v>769</v>
      </c>
    </row>
    <row r="121" customFormat="false" ht="68.65" hidden="false" customHeight="false" outlineLevel="0" collapsed="false">
      <c r="A121" s="6" t="s">
        <v>300</v>
      </c>
      <c r="B121" s="6" t="s">
        <v>649</v>
      </c>
      <c r="C121" s="14" t="s">
        <v>652</v>
      </c>
      <c r="D121" s="15" t="s">
        <v>770</v>
      </c>
    </row>
    <row r="122" customFormat="false" ht="57.45" hidden="false" customHeight="false" outlineLevel="0" collapsed="false">
      <c r="A122" s="6" t="s">
        <v>303</v>
      </c>
      <c r="B122" s="6" t="s">
        <v>649</v>
      </c>
      <c r="C122" s="14" t="s">
        <v>652</v>
      </c>
      <c r="D122" s="15" t="s">
        <v>771</v>
      </c>
    </row>
    <row r="123" customFormat="false" ht="35.05" hidden="false" customHeight="false" outlineLevel="0" collapsed="false">
      <c r="A123" s="6" t="s">
        <v>306</v>
      </c>
      <c r="B123" s="6" t="s">
        <v>644</v>
      </c>
      <c r="C123" s="12" t="s">
        <v>645</v>
      </c>
      <c r="D123" s="13" t="s">
        <v>772</v>
      </c>
    </row>
    <row r="124" customFormat="false" ht="35.05" hidden="false" customHeight="false" outlineLevel="0" collapsed="false">
      <c r="A124" s="6" t="s">
        <v>306</v>
      </c>
      <c r="B124" s="6" t="s">
        <v>647</v>
      </c>
      <c r="C124" s="12" t="s">
        <v>645</v>
      </c>
      <c r="D124" s="13" t="s">
        <v>773</v>
      </c>
    </row>
    <row r="125" customFormat="false" ht="23.85" hidden="false" customHeight="false" outlineLevel="0" collapsed="false">
      <c r="A125" s="6" t="s">
        <v>306</v>
      </c>
      <c r="B125" s="6" t="s">
        <v>649</v>
      </c>
      <c r="C125" s="12" t="s">
        <v>645</v>
      </c>
      <c r="D125" s="15" t="s">
        <v>774</v>
      </c>
    </row>
    <row r="126" customFormat="false" ht="23.85" hidden="false" customHeight="false" outlineLevel="0" collapsed="false">
      <c r="A126" s="6" t="s">
        <v>310</v>
      </c>
      <c r="B126" s="6" t="s">
        <v>644</v>
      </c>
      <c r="C126" s="18" t="s">
        <v>665</v>
      </c>
      <c r="D126" s="16" t="s">
        <v>775</v>
      </c>
    </row>
    <row r="127" customFormat="false" ht="23.85" hidden="false" customHeight="false" outlineLevel="0" collapsed="false">
      <c r="A127" s="6" t="s">
        <v>310</v>
      </c>
      <c r="B127" s="6" t="s">
        <v>647</v>
      </c>
      <c r="C127" s="14" t="s">
        <v>650</v>
      </c>
      <c r="D127" s="15" t="s">
        <v>776</v>
      </c>
    </row>
    <row r="128" customFormat="false" ht="46.25" hidden="false" customHeight="false" outlineLevel="0" collapsed="false">
      <c r="A128" s="6" t="s">
        <v>310</v>
      </c>
      <c r="B128" s="6" t="s">
        <v>649</v>
      </c>
      <c r="C128" s="14" t="s">
        <v>652</v>
      </c>
      <c r="D128" s="16" t="s">
        <v>777</v>
      </c>
    </row>
    <row r="129" customFormat="false" ht="46.25" hidden="false" customHeight="false" outlineLevel="0" collapsed="false">
      <c r="A129" s="6" t="s">
        <v>313</v>
      </c>
      <c r="B129" s="6" t="s">
        <v>649</v>
      </c>
      <c r="C129" s="14" t="s">
        <v>652</v>
      </c>
      <c r="D129" s="15" t="s">
        <v>778</v>
      </c>
    </row>
    <row r="130" customFormat="false" ht="57.45" hidden="false" customHeight="false" outlineLevel="0" collapsed="false">
      <c r="A130" s="6" t="s">
        <v>316</v>
      </c>
      <c r="B130" s="6" t="s">
        <v>649</v>
      </c>
      <c r="C130" s="14" t="s">
        <v>652</v>
      </c>
      <c r="D130" s="15" t="s">
        <v>779</v>
      </c>
    </row>
    <row r="131" customFormat="false" ht="35.05" hidden="false" customHeight="false" outlineLevel="0" collapsed="false">
      <c r="A131" s="6" t="s">
        <v>319</v>
      </c>
      <c r="B131" s="6" t="s">
        <v>644</v>
      </c>
      <c r="C131" s="14" t="s">
        <v>650</v>
      </c>
      <c r="D131" s="15" t="s">
        <v>780</v>
      </c>
    </row>
    <row r="132" customFormat="false" ht="46.25" hidden="false" customHeight="false" outlineLevel="0" collapsed="false">
      <c r="A132" s="6" t="s">
        <v>319</v>
      </c>
      <c r="B132" s="6" t="s">
        <v>649</v>
      </c>
      <c r="C132" s="12" t="s">
        <v>645</v>
      </c>
      <c r="D132" s="13" t="s">
        <v>781</v>
      </c>
    </row>
    <row r="133" customFormat="false" ht="68.65" hidden="false" customHeight="false" outlineLevel="0" collapsed="false">
      <c r="A133" s="6" t="s">
        <v>323</v>
      </c>
      <c r="B133" s="6" t="s">
        <v>644</v>
      </c>
      <c r="C133" s="12" t="s">
        <v>645</v>
      </c>
      <c r="D133" s="13" t="s">
        <v>782</v>
      </c>
    </row>
    <row r="134" customFormat="false" ht="23.85" hidden="false" customHeight="false" outlineLevel="0" collapsed="false">
      <c r="A134" s="6" t="s">
        <v>323</v>
      </c>
      <c r="B134" s="6" t="s">
        <v>649</v>
      </c>
      <c r="C134" s="14" t="s">
        <v>650</v>
      </c>
      <c r="D134" s="15" t="s">
        <v>783</v>
      </c>
    </row>
    <row r="135" customFormat="false" ht="23.85" hidden="false" customHeight="false" outlineLevel="0" collapsed="false">
      <c r="A135" s="6" t="s">
        <v>326</v>
      </c>
      <c r="B135" s="6" t="s">
        <v>647</v>
      </c>
      <c r="C135" s="14" t="s">
        <v>650</v>
      </c>
      <c r="D135" s="15" t="s">
        <v>784</v>
      </c>
    </row>
    <row r="136" customFormat="false" ht="68.65" hidden="false" customHeight="false" outlineLevel="0" collapsed="false">
      <c r="A136" s="6" t="s">
        <v>326</v>
      </c>
      <c r="B136" s="6" t="s">
        <v>649</v>
      </c>
      <c r="C136" s="12" t="s">
        <v>645</v>
      </c>
      <c r="D136" s="13" t="s">
        <v>785</v>
      </c>
    </row>
    <row r="137" customFormat="false" ht="68.65" hidden="false" customHeight="false" outlineLevel="0" collapsed="false">
      <c r="A137" s="6" t="s">
        <v>332</v>
      </c>
      <c r="B137" s="6" t="s">
        <v>649</v>
      </c>
      <c r="C137" s="12" t="s">
        <v>645</v>
      </c>
      <c r="D137" s="15" t="s">
        <v>786</v>
      </c>
    </row>
    <row r="138" customFormat="false" ht="35.05" hidden="false" customHeight="false" outlineLevel="0" collapsed="false">
      <c r="A138" s="6" t="s">
        <v>336</v>
      </c>
      <c r="B138" s="6" t="s">
        <v>644</v>
      </c>
      <c r="C138" s="14" t="s">
        <v>650</v>
      </c>
      <c r="D138" s="15" t="s">
        <v>787</v>
      </c>
    </row>
    <row r="139" customFormat="false" ht="23.85" hidden="false" customHeight="false" outlineLevel="0" collapsed="false">
      <c r="A139" s="6" t="s">
        <v>336</v>
      </c>
      <c r="B139" s="6" t="s">
        <v>647</v>
      </c>
      <c r="C139" s="14" t="s">
        <v>650</v>
      </c>
      <c r="D139" s="15" t="s">
        <v>788</v>
      </c>
    </row>
    <row r="140" customFormat="false" ht="23.85" hidden="false" customHeight="false" outlineLevel="0" collapsed="false">
      <c r="A140" s="6" t="s">
        <v>336</v>
      </c>
      <c r="B140" s="6" t="s">
        <v>649</v>
      </c>
      <c r="C140" s="14" t="s">
        <v>650</v>
      </c>
      <c r="D140" s="15" t="s">
        <v>789</v>
      </c>
    </row>
    <row r="141" customFormat="false" ht="23.85" hidden="false" customHeight="false" outlineLevel="0" collapsed="false">
      <c r="A141" s="6" t="s">
        <v>340</v>
      </c>
      <c r="B141" s="6" t="s">
        <v>644</v>
      </c>
      <c r="C141" s="14" t="s">
        <v>650</v>
      </c>
      <c r="D141" s="15" t="s">
        <v>790</v>
      </c>
    </row>
    <row r="142" customFormat="false" ht="23.85" hidden="false" customHeight="false" outlineLevel="0" collapsed="false">
      <c r="A142" s="6" t="s">
        <v>340</v>
      </c>
      <c r="B142" s="6" t="s">
        <v>647</v>
      </c>
      <c r="C142" s="14" t="s">
        <v>650</v>
      </c>
      <c r="D142" s="15" t="s">
        <v>791</v>
      </c>
    </row>
    <row r="143" customFormat="false" ht="91" hidden="false" customHeight="false" outlineLevel="0" collapsed="false">
      <c r="A143" s="6" t="s">
        <v>340</v>
      </c>
      <c r="B143" s="6" t="s">
        <v>649</v>
      </c>
      <c r="C143" s="14" t="s">
        <v>652</v>
      </c>
      <c r="D143" s="16" t="s">
        <v>792</v>
      </c>
    </row>
    <row r="144" customFormat="false" ht="23.85" hidden="false" customHeight="false" outlineLevel="0" collapsed="false">
      <c r="A144" s="6" t="s">
        <v>344</v>
      </c>
      <c r="B144" s="6" t="s">
        <v>647</v>
      </c>
      <c r="C144" s="14" t="s">
        <v>650</v>
      </c>
      <c r="D144" s="15" t="s">
        <v>793</v>
      </c>
    </row>
    <row r="145" customFormat="false" ht="91" hidden="false" customHeight="false" outlineLevel="0" collapsed="false">
      <c r="A145" s="6" t="s">
        <v>344</v>
      </c>
      <c r="B145" s="6" t="s">
        <v>649</v>
      </c>
      <c r="C145" s="14" t="s">
        <v>652</v>
      </c>
      <c r="D145" s="16" t="s">
        <v>794</v>
      </c>
    </row>
    <row r="146" customFormat="false" ht="23.85" hidden="false" customHeight="false" outlineLevel="0" collapsed="false">
      <c r="A146" s="6" t="s">
        <v>348</v>
      </c>
      <c r="B146" s="6" t="s">
        <v>644</v>
      </c>
      <c r="C146" s="12" t="s">
        <v>645</v>
      </c>
      <c r="D146" s="15" t="s">
        <v>795</v>
      </c>
    </row>
    <row r="147" customFormat="false" ht="23.85" hidden="false" customHeight="false" outlineLevel="0" collapsed="false">
      <c r="A147" s="6" t="s">
        <v>348</v>
      </c>
      <c r="B147" s="6" t="s">
        <v>647</v>
      </c>
      <c r="C147" s="14" t="s">
        <v>650</v>
      </c>
      <c r="D147" s="15" t="s">
        <v>796</v>
      </c>
    </row>
    <row r="148" customFormat="false" ht="23.85" hidden="false" customHeight="false" outlineLevel="0" collapsed="false">
      <c r="A148" s="6" t="s">
        <v>352</v>
      </c>
      <c r="B148" s="6" t="s">
        <v>647</v>
      </c>
      <c r="C148" s="14" t="s">
        <v>650</v>
      </c>
      <c r="D148" s="15" t="s">
        <v>797</v>
      </c>
    </row>
    <row r="149" customFormat="false" ht="23.85" hidden="false" customHeight="false" outlineLevel="0" collapsed="false">
      <c r="A149" s="6" t="s">
        <v>352</v>
      </c>
      <c r="B149" s="6" t="s">
        <v>649</v>
      </c>
      <c r="C149" s="12" t="s">
        <v>645</v>
      </c>
      <c r="D149" s="13" t="s">
        <v>798</v>
      </c>
    </row>
    <row r="150" customFormat="false" ht="68.65" hidden="false" customHeight="false" outlineLevel="0" collapsed="false">
      <c r="A150" s="6" t="s">
        <v>355</v>
      </c>
      <c r="B150" s="6" t="s">
        <v>644</v>
      </c>
      <c r="C150" s="12" t="s">
        <v>645</v>
      </c>
      <c r="D150" s="17" t="s">
        <v>799</v>
      </c>
    </row>
    <row r="151" customFormat="false" ht="35.05" hidden="false" customHeight="false" outlineLevel="0" collapsed="false">
      <c r="A151" s="6" t="s">
        <v>355</v>
      </c>
      <c r="B151" s="6" t="s">
        <v>647</v>
      </c>
      <c r="C151" s="12" t="s">
        <v>645</v>
      </c>
      <c r="D151" s="15" t="s">
        <v>800</v>
      </c>
    </row>
    <row r="152" customFormat="false" ht="57.45" hidden="false" customHeight="false" outlineLevel="0" collapsed="false">
      <c r="A152" s="6" t="s">
        <v>355</v>
      </c>
      <c r="B152" s="6" t="s">
        <v>649</v>
      </c>
      <c r="C152" s="12" t="s">
        <v>645</v>
      </c>
      <c r="D152" s="17" t="s">
        <v>801</v>
      </c>
    </row>
    <row r="153" customFormat="false" ht="23.85" hidden="false" customHeight="false" outlineLevel="0" collapsed="false">
      <c r="A153" s="6" t="s">
        <v>359</v>
      </c>
      <c r="B153" s="6" t="s">
        <v>647</v>
      </c>
      <c r="C153" s="14" t="s">
        <v>650</v>
      </c>
      <c r="D153" s="15" t="s">
        <v>802</v>
      </c>
    </row>
    <row r="154" customFormat="false" ht="23.85" hidden="false" customHeight="false" outlineLevel="0" collapsed="false">
      <c r="A154" s="6" t="s">
        <v>359</v>
      </c>
      <c r="B154" s="6" t="s">
        <v>649</v>
      </c>
      <c r="C154" s="12" t="s">
        <v>645</v>
      </c>
      <c r="D154" s="13" t="s">
        <v>803</v>
      </c>
    </row>
    <row r="155" customFormat="false" ht="147" hidden="false" customHeight="false" outlineLevel="0" collapsed="false">
      <c r="A155" s="6" t="s">
        <v>363</v>
      </c>
      <c r="B155" s="6" t="s">
        <v>649</v>
      </c>
      <c r="C155" s="14" t="s">
        <v>652</v>
      </c>
      <c r="D155" s="15" t="s">
        <v>804</v>
      </c>
    </row>
    <row r="156" customFormat="false" ht="23.85" hidden="false" customHeight="false" outlineLevel="0" collapsed="false">
      <c r="A156" s="6" t="s">
        <v>366</v>
      </c>
      <c r="B156" s="6" t="s">
        <v>649</v>
      </c>
      <c r="C156" s="14" t="s">
        <v>650</v>
      </c>
      <c r="D156" s="15" t="s">
        <v>805</v>
      </c>
    </row>
    <row r="157" customFormat="false" ht="23.85" hidden="false" customHeight="false" outlineLevel="0" collapsed="false">
      <c r="A157" s="6" t="s">
        <v>369</v>
      </c>
      <c r="B157" s="6" t="s">
        <v>644</v>
      </c>
      <c r="C157" s="12" t="s">
        <v>645</v>
      </c>
      <c r="D157" s="15" t="s">
        <v>806</v>
      </c>
    </row>
    <row r="158" customFormat="false" ht="23.85" hidden="false" customHeight="false" outlineLevel="0" collapsed="false">
      <c r="A158" s="6" t="s">
        <v>369</v>
      </c>
      <c r="B158" s="6" t="s">
        <v>647</v>
      </c>
      <c r="C158" s="12" t="s">
        <v>645</v>
      </c>
      <c r="D158" s="13" t="s">
        <v>807</v>
      </c>
    </row>
    <row r="159" customFormat="false" ht="57.45" hidden="false" customHeight="false" outlineLevel="0" collapsed="false">
      <c r="A159" s="6" t="s">
        <v>369</v>
      </c>
      <c r="B159" s="6" t="s">
        <v>649</v>
      </c>
      <c r="C159" s="18" t="s">
        <v>665</v>
      </c>
      <c r="D159" s="16" t="s">
        <v>808</v>
      </c>
    </row>
    <row r="160" customFormat="false" ht="35.05" hidden="false" customHeight="false" outlineLevel="0" collapsed="false">
      <c r="A160" s="6" t="s">
        <v>373</v>
      </c>
      <c r="B160" s="6" t="s">
        <v>644</v>
      </c>
      <c r="C160" s="14" t="s">
        <v>652</v>
      </c>
      <c r="D160" s="16" t="s">
        <v>809</v>
      </c>
    </row>
    <row r="161" customFormat="false" ht="57.45" hidden="false" customHeight="false" outlineLevel="0" collapsed="false">
      <c r="A161" s="6" t="s">
        <v>373</v>
      </c>
      <c r="B161" s="6" t="s">
        <v>647</v>
      </c>
      <c r="C161" s="12" t="s">
        <v>645</v>
      </c>
      <c r="D161" s="17" t="s">
        <v>810</v>
      </c>
    </row>
    <row r="162" customFormat="false" ht="35.05" hidden="false" customHeight="false" outlineLevel="0" collapsed="false">
      <c r="A162" s="6" t="s">
        <v>378</v>
      </c>
      <c r="B162" s="6" t="s">
        <v>644</v>
      </c>
      <c r="C162" s="14" t="s">
        <v>650</v>
      </c>
      <c r="D162" s="15" t="s">
        <v>811</v>
      </c>
    </row>
    <row r="163" customFormat="false" ht="57.45" hidden="false" customHeight="false" outlineLevel="0" collapsed="false">
      <c r="A163" s="6" t="s">
        <v>382</v>
      </c>
      <c r="B163" s="6" t="s">
        <v>644</v>
      </c>
      <c r="C163" s="14" t="s">
        <v>652</v>
      </c>
      <c r="D163" s="15" t="s">
        <v>812</v>
      </c>
    </row>
    <row r="164" customFormat="false" ht="46.25" hidden="false" customHeight="false" outlineLevel="0" collapsed="false">
      <c r="A164" s="6" t="s">
        <v>385</v>
      </c>
      <c r="B164" s="6" t="s">
        <v>644</v>
      </c>
      <c r="C164" s="14" t="s">
        <v>650</v>
      </c>
      <c r="D164" s="15" t="s">
        <v>813</v>
      </c>
    </row>
    <row r="165" customFormat="false" ht="23.85" hidden="false" customHeight="false" outlineLevel="0" collapsed="false">
      <c r="A165" s="6" t="s">
        <v>385</v>
      </c>
      <c r="B165" s="6" t="s">
        <v>647</v>
      </c>
      <c r="C165" s="14" t="s">
        <v>650</v>
      </c>
      <c r="D165" s="15" t="s">
        <v>814</v>
      </c>
    </row>
    <row r="166" customFormat="false" ht="23.85" hidden="false" customHeight="false" outlineLevel="0" collapsed="false">
      <c r="A166" s="6" t="s">
        <v>385</v>
      </c>
      <c r="B166" s="6" t="s">
        <v>649</v>
      </c>
      <c r="C166" s="14" t="s">
        <v>650</v>
      </c>
      <c r="D166" s="15" t="s">
        <v>815</v>
      </c>
    </row>
    <row r="167" customFormat="false" ht="135.8" hidden="false" customHeight="false" outlineLevel="0" collapsed="false">
      <c r="A167" s="6" t="s">
        <v>389</v>
      </c>
      <c r="B167" s="6" t="s">
        <v>649</v>
      </c>
      <c r="C167" s="14" t="s">
        <v>652</v>
      </c>
      <c r="D167" s="15" t="s">
        <v>816</v>
      </c>
    </row>
    <row r="168" customFormat="false" ht="57.45" hidden="false" customHeight="false" outlineLevel="0" collapsed="false">
      <c r="A168" s="6" t="s">
        <v>394</v>
      </c>
      <c r="B168" s="6" t="s">
        <v>649</v>
      </c>
      <c r="C168" s="14" t="s">
        <v>652</v>
      </c>
      <c r="D168" s="15" t="s">
        <v>817</v>
      </c>
    </row>
    <row r="169" customFormat="false" ht="57.45" hidden="false" customHeight="false" outlineLevel="0" collapsed="false">
      <c r="A169" s="6" t="s">
        <v>398</v>
      </c>
      <c r="B169" s="6" t="s">
        <v>644</v>
      </c>
      <c r="C169" s="18" t="s">
        <v>665</v>
      </c>
      <c r="D169" s="15" t="s">
        <v>818</v>
      </c>
    </row>
    <row r="170" customFormat="false" ht="23.85" hidden="false" customHeight="false" outlineLevel="0" collapsed="false">
      <c r="A170" s="6" t="s">
        <v>402</v>
      </c>
      <c r="B170" s="6" t="s">
        <v>644</v>
      </c>
      <c r="C170" s="14" t="s">
        <v>650</v>
      </c>
      <c r="D170" s="15" t="s">
        <v>819</v>
      </c>
    </row>
    <row r="171" customFormat="false" ht="23.85" hidden="false" customHeight="false" outlineLevel="0" collapsed="false">
      <c r="A171" s="6" t="s">
        <v>402</v>
      </c>
      <c r="B171" s="6" t="s">
        <v>647</v>
      </c>
      <c r="C171" s="12" t="s">
        <v>645</v>
      </c>
      <c r="D171" s="13" t="s">
        <v>820</v>
      </c>
    </row>
    <row r="172" customFormat="false" ht="135.8" hidden="false" customHeight="false" outlineLevel="0" collapsed="false">
      <c r="A172" s="6" t="s">
        <v>405</v>
      </c>
      <c r="B172" s="6" t="s">
        <v>649</v>
      </c>
      <c r="C172" s="14" t="s">
        <v>652</v>
      </c>
      <c r="D172" s="15" t="s">
        <v>821</v>
      </c>
    </row>
    <row r="173" customFormat="false" ht="46.25" hidden="false" customHeight="false" outlineLevel="0" collapsed="false">
      <c r="A173" s="6" t="s">
        <v>408</v>
      </c>
      <c r="B173" s="6" t="s">
        <v>644</v>
      </c>
      <c r="C173" s="18" t="s">
        <v>665</v>
      </c>
      <c r="D173" s="15" t="s">
        <v>822</v>
      </c>
    </row>
    <row r="174" customFormat="false" ht="46.25" hidden="false" customHeight="false" outlineLevel="0" collapsed="false">
      <c r="A174" s="6" t="s">
        <v>412</v>
      </c>
      <c r="B174" s="6" t="s">
        <v>644</v>
      </c>
      <c r="C174" s="12" t="s">
        <v>645</v>
      </c>
      <c r="D174" s="15" t="s">
        <v>823</v>
      </c>
    </row>
    <row r="175" customFormat="false" ht="23.85" hidden="false" customHeight="false" outlineLevel="0" collapsed="false">
      <c r="A175" s="6" t="s">
        <v>412</v>
      </c>
      <c r="B175" s="6" t="s">
        <v>647</v>
      </c>
      <c r="C175" s="14" t="s">
        <v>650</v>
      </c>
      <c r="D175" s="15" t="s">
        <v>824</v>
      </c>
    </row>
    <row r="176" customFormat="false" ht="46.25" hidden="false" customHeight="false" outlineLevel="0" collapsed="false">
      <c r="A176" s="6" t="s">
        <v>412</v>
      </c>
      <c r="B176" s="6" t="s">
        <v>649</v>
      </c>
      <c r="C176" s="14" t="s">
        <v>650</v>
      </c>
      <c r="D176" s="15" t="s">
        <v>825</v>
      </c>
    </row>
    <row r="177" customFormat="false" ht="57.45" hidden="false" customHeight="false" outlineLevel="0" collapsed="false">
      <c r="A177" s="6" t="s">
        <v>416</v>
      </c>
      <c r="B177" s="6" t="s">
        <v>644</v>
      </c>
      <c r="C177" s="12" t="s">
        <v>645</v>
      </c>
      <c r="D177" s="15" t="s">
        <v>826</v>
      </c>
    </row>
    <row r="178" customFormat="false" ht="23.85" hidden="false" customHeight="false" outlineLevel="0" collapsed="false">
      <c r="A178" s="6" t="s">
        <v>416</v>
      </c>
      <c r="B178" s="6" t="s">
        <v>649</v>
      </c>
      <c r="C178" s="14" t="s">
        <v>650</v>
      </c>
      <c r="D178" s="15" t="s">
        <v>827</v>
      </c>
    </row>
    <row r="179" customFormat="false" ht="23.85" hidden="false" customHeight="false" outlineLevel="0" collapsed="false">
      <c r="A179" s="6" t="s">
        <v>420</v>
      </c>
      <c r="B179" s="6" t="s">
        <v>647</v>
      </c>
      <c r="C179" s="12" t="s">
        <v>645</v>
      </c>
      <c r="D179" s="15" t="s">
        <v>828</v>
      </c>
    </row>
    <row r="180" customFormat="false" ht="102.2" hidden="false" customHeight="false" outlineLevel="0" collapsed="false">
      <c r="A180" s="6" t="s">
        <v>420</v>
      </c>
      <c r="B180" s="6" t="s">
        <v>649</v>
      </c>
      <c r="C180" s="12" t="s">
        <v>645</v>
      </c>
      <c r="D180" s="15" t="s">
        <v>829</v>
      </c>
    </row>
    <row r="181" customFormat="false" ht="46.25" hidden="false" customHeight="false" outlineLevel="0" collapsed="false">
      <c r="A181" s="6" t="s">
        <v>423</v>
      </c>
      <c r="B181" s="6" t="s">
        <v>644</v>
      </c>
      <c r="C181" s="12" t="s">
        <v>645</v>
      </c>
      <c r="D181" s="15" t="s">
        <v>830</v>
      </c>
    </row>
    <row r="182" customFormat="false" ht="23.85" hidden="false" customHeight="false" outlineLevel="0" collapsed="false">
      <c r="A182" s="6" t="s">
        <v>423</v>
      </c>
      <c r="B182" s="6" t="s">
        <v>647</v>
      </c>
      <c r="C182" s="14" t="s">
        <v>650</v>
      </c>
      <c r="D182" s="15" t="s">
        <v>831</v>
      </c>
    </row>
    <row r="183" customFormat="false" ht="46.25" hidden="false" customHeight="false" outlineLevel="0" collapsed="false">
      <c r="A183" s="6" t="s">
        <v>423</v>
      </c>
      <c r="B183" s="6" t="s">
        <v>649</v>
      </c>
      <c r="C183" s="14" t="s">
        <v>650</v>
      </c>
      <c r="D183" s="15" t="s">
        <v>832</v>
      </c>
    </row>
    <row r="184" customFormat="false" ht="35.05" hidden="false" customHeight="false" outlineLevel="0" collapsed="false">
      <c r="A184" s="6" t="s">
        <v>426</v>
      </c>
      <c r="B184" s="6" t="s">
        <v>644</v>
      </c>
      <c r="C184" s="18" t="s">
        <v>665</v>
      </c>
      <c r="D184" s="15" t="s">
        <v>833</v>
      </c>
    </row>
    <row r="185" customFormat="false" ht="23.85" hidden="false" customHeight="false" outlineLevel="0" collapsed="false">
      <c r="A185" s="6" t="s">
        <v>426</v>
      </c>
      <c r="B185" s="6" t="s">
        <v>647</v>
      </c>
      <c r="C185" s="14" t="s">
        <v>650</v>
      </c>
      <c r="D185" s="15" t="s">
        <v>834</v>
      </c>
    </row>
    <row r="186" customFormat="false" ht="23.85" hidden="false" customHeight="false" outlineLevel="0" collapsed="false">
      <c r="A186" s="6" t="s">
        <v>426</v>
      </c>
      <c r="B186" s="6" t="s">
        <v>649</v>
      </c>
      <c r="C186" s="14" t="s">
        <v>650</v>
      </c>
      <c r="D186" s="15" t="s">
        <v>835</v>
      </c>
    </row>
    <row r="187" customFormat="false" ht="46.25" hidden="false" customHeight="false" outlineLevel="0" collapsed="false">
      <c r="A187" s="6" t="s">
        <v>429</v>
      </c>
      <c r="B187" s="6" t="s">
        <v>644</v>
      </c>
      <c r="C187" s="18" t="s">
        <v>665</v>
      </c>
      <c r="D187" s="15" t="s">
        <v>836</v>
      </c>
    </row>
    <row r="188" customFormat="false" ht="23.85" hidden="false" customHeight="false" outlineLevel="0" collapsed="false">
      <c r="A188" s="6" t="s">
        <v>429</v>
      </c>
      <c r="B188" s="6" t="s">
        <v>647</v>
      </c>
      <c r="C188" s="14" t="s">
        <v>650</v>
      </c>
      <c r="D188" s="15" t="s">
        <v>837</v>
      </c>
    </row>
    <row r="189" customFormat="false" ht="23.85" hidden="false" customHeight="false" outlineLevel="0" collapsed="false">
      <c r="A189" s="6" t="s">
        <v>429</v>
      </c>
      <c r="B189" s="6" t="s">
        <v>649</v>
      </c>
      <c r="C189" s="14" t="s">
        <v>650</v>
      </c>
      <c r="D189" s="15" t="s">
        <v>838</v>
      </c>
    </row>
    <row r="190" customFormat="false" ht="35.05" hidden="false" customHeight="false" outlineLevel="0" collapsed="false">
      <c r="A190" s="6" t="s">
        <v>433</v>
      </c>
      <c r="B190" s="6" t="s">
        <v>644</v>
      </c>
      <c r="C190" s="14" t="s">
        <v>652</v>
      </c>
      <c r="D190" s="15" t="s">
        <v>839</v>
      </c>
    </row>
    <row r="191" customFormat="false" ht="23.85" hidden="false" customHeight="false" outlineLevel="0" collapsed="false">
      <c r="A191" s="6" t="s">
        <v>433</v>
      </c>
      <c r="B191" s="6" t="s">
        <v>649</v>
      </c>
      <c r="C191" s="14" t="s">
        <v>650</v>
      </c>
      <c r="D191" s="15" t="s">
        <v>840</v>
      </c>
    </row>
    <row r="192" customFormat="false" ht="68.65" hidden="false" customHeight="false" outlineLevel="0" collapsed="false">
      <c r="A192" s="6" t="s">
        <v>436</v>
      </c>
      <c r="B192" s="6" t="s">
        <v>644</v>
      </c>
      <c r="C192" s="14" t="s">
        <v>652</v>
      </c>
      <c r="D192" s="13" t="s">
        <v>841</v>
      </c>
    </row>
    <row r="193" customFormat="false" ht="46.25" hidden="false" customHeight="false" outlineLevel="0" collapsed="false">
      <c r="A193" s="6" t="s">
        <v>436</v>
      </c>
      <c r="B193" s="6" t="s">
        <v>647</v>
      </c>
      <c r="C193" s="12" t="s">
        <v>645</v>
      </c>
      <c r="D193" s="13" t="s">
        <v>842</v>
      </c>
    </row>
    <row r="194" customFormat="false" ht="57.45" hidden="false" customHeight="false" outlineLevel="0" collapsed="false">
      <c r="A194" s="6" t="s">
        <v>436</v>
      </c>
      <c r="B194" s="6" t="s">
        <v>649</v>
      </c>
      <c r="C194" s="18" t="s">
        <v>665</v>
      </c>
      <c r="D194" s="16" t="s">
        <v>843</v>
      </c>
    </row>
    <row r="195" customFormat="false" ht="68.65" hidden="false" customHeight="false" outlineLevel="0" collapsed="false">
      <c r="A195" s="6" t="s">
        <v>439</v>
      </c>
      <c r="B195" s="6" t="s">
        <v>649</v>
      </c>
      <c r="C195" s="14" t="s">
        <v>652</v>
      </c>
      <c r="D195" s="15" t="s">
        <v>844</v>
      </c>
    </row>
    <row r="196" customFormat="false" ht="57.45" hidden="false" customHeight="false" outlineLevel="0" collapsed="false">
      <c r="A196" s="6" t="s">
        <v>442</v>
      </c>
      <c r="B196" s="6" t="s">
        <v>644</v>
      </c>
      <c r="C196" s="18" t="s">
        <v>665</v>
      </c>
      <c r="D196" s="15" t="s">
        <v>845</v>
      </c>
    </row>
    <row r="197" customFormat="false" ht="23.85" hidden="false" customHeight="false" outlineLevel="0" collapsed="false">
      <c r="A197" s="6" t="s">
        <v>442</v>
      </c>
      <c r="B197" s="6" t="s">
        <v>647</v>
      </c>
      <c r="C197" s="14" t="s">
        <v>650</v>
      </c>
      <c r="D197" s="15" t="s">
        <v>846</v>
      </c>
    </row>
    <row r="198" customFormat="false" ht="46.25" hidden="false" customHeight="false" outlineLevel="0" collapsed="false">
      <c r="A198" s="6" t="s">
        <v>442</v>
      </c>
      <c r="B198" s="6" t="s">
        <v>649</v>
      </c>
      <c r="C198" s="14" t="s">
        <v>650</v>
      </c>
      <c r="D198" s="15" t="s">
        <v>847</v>
      </c>
    </row>
    <row r="199" customFormat="false" ht="35.05" hidden="false" customHeight="false" outlineLevel="0" collapsed="false">
      <c r="A199" s="6" t="s">
        <v>445</v>
      </c>
      <c r="B199" s="6" t="s">
        <v>649</v>
      </c>
      <c r="C199" s="12" t="s">
        <v>645</v>
      </c>
      <c r="D199" s="17" t="s">
        <v>848</v>
      </c>
    </row>
    <row r="200" customFormat="false" ht="46.25" hidden="false" customHeight="false" outlineLevel="0" collapsed="false">
      <c r="A200" s="6" t="s">
        <v>449</v>
      </c>
      <c r="B200" s="6" t="s">
        <v>644</v>
      </c>
      <c r="C200" s="12" t="s">
        <v>645</v>
      </c>
      <c r="D200" s="15" t="s">
        <v>849</v>
      </c>
    </row>
    <row r="201" customFormat="false" ht="23.85" hidden="false" customHeight="false" outlineLevel="0" collapsed="false">
      <c r="A201" s="6" t="s">
        <v>449</v>
      </c>
      <c r="B201" s="6" t="s">
        <v>647</v>
      </c>
      <c r="C201" s="14" t="s">
        <v>650</v>
      </c>
      <c r="D201" s="15" t="s">
        <v>850</v>
      </c>
    </row>
    <row r="202" customFormat="false" ht="23.85" hidden="false" customHeight="false" outlineLevel="0" collapsed="false">
      <c r="A202" s="6" t="s">
        <v>449</v>
      </c>
      <c r="B202" s="6" t="s">
        <v>649</v>
      </c>
      <c r="C202" s="14" t="s">
        <v>650</v>
      </c>
      <c r="D202" s="15" t="s">
        <v>851</v>
      </c>
    </row>
    <row r="203" customFormat="false" ht="124.6" hidden="false" customHeight="false" outlineLevel="0" collapsed="false">
      <c r="A203" s="6" t="s">
        <v>452</v>
      </c>
      <c r="B203" s="6" t="s">
        <v>649</v>
      </c>
      <c r="C203" s="14" t="s">
        <v>652</v>
      </c>
      <c r="D203" s="15" t="s">
        <v>852</v>
      </c>
    </row>
    <row r="204" customFormat="false" ht="35.05" hidden="false" customHeight="false" outlineLevel="0" collapsed="false">
      <c r="A204" s="6" t="s">
        <v>456</v>
      </c>
      <c r="B204" s="6" t="s">
        <v>644</v>
      </c>
      <c r="C204" s="12" t="s">
        <v>645</v>
      </c>
      <c r="D204" s="15" t="s">
        <v>853</v>
      </c>
    </row>
    <row r="205" customFormat="false" ht="23.85" hidden="false" customHeight="false" outlineLevel="0" collapsed="false">
      <c r="A205" s="6" t="s">
        <v>456</v>
      </c>
      <c r="B205" s="6" t="s">
        <v>647</v>
      </c>
      <c r="C205" s="14" t="s">
        <v>650</v>
      </c>
      <c r="D205" s="15" t="s">
        <v>854</v>
      </c>
    </row>
    <row r="206" customFormat="false" ht="147" hidden="false" customHeight="false" outlineLevel="0" collapsed="false">
      <c r="A206" s="6" t="s">
        <v>456</v>
      </c>
      <c r="B206" s="6" t="s">
        <v>649</v>
      </c>
      <c r="C206" s="14" t="s">
        <v>652</v>
      </c>
      <c r="D206" s="16" t="s">
        <v>855</v>
      </c>
    </row>
    <row r="207" customFormat="false" ht="91" hidden="false" customHeight="false" outlineLevel="0" collapsed="false">
      <c r="A207" s="6" t="s">
        <v>461</v>
      </c>
      <c r="B207" s="6" t="s">
        <v>649</v>
      </c>
      <c r="C207" s="18" t="s">
        <v>665</v>
      </c>
      <c r="D207" s="16" t="s">
        <v>856</v>
      </c>
    </row>
    <row r="208" customFormat="false" ht="23.85" hidden="false" customHeight="false" outlineLevel="0" collapsed="false">
      <c r="A208" s="6" t="s">
        <v>464</v>
      </c>
      <c r="B208" s="6" t="s">
        <v>644</v>
      </c>
      <c r="C208" s="18" t="s">
        <v>665</v>
      </c>
      <c r="D208" s="16" t="s">
        <v>857</v>
      </c>
    </row>
    <row r="209" customFormat="false" ht="23.85" hidden="false" customHeight="false" outlineLevel="0" collapsed="false">
      <c r="A209" s="6" t="s">
        <v>471</v>
      </c>
      <c r="B209" s="6" t="s">
        <v>644</v>
      </c>
      <c r="C209" s="18" t="s">
        <v>665</v>
      </c>
      <c r="D209" s="16" t="s">
        <v>858</v>
      </c>
    </row>
    <row r="210" customFormat="false" ht="35.05" hidden="false" customHeight="false" outlineLevel="0" collapsed="false">
      <c r="A210" s="6" t="s">
        <v>471</v>
      </c>
      <c r="B210" s="6" t="s">
        <v>647</v>
      </c>
      <c r="C210" s="12" t="s">
        <v>645</v>
      </c>
      <c r="D210" s="17" t="s">
        <v>859</v>
      </c>
    </row>
    <row r="211" customFormat="false" ht="57.45" hidden="false" customHeight="false" outlineLevel="0" collapsed="false">
      <c r="A211" s="6" t="s">
        <v>471</v>
      </c>
      <c r="B211" s="6" t="s">
        <v>649</v>
      </c>
      <c r="C211" s="14" t="s">
        <v>650</v>
      </c>
      <c r="D211" s="15" t="s">
        <v>860</v>
      </c>
    </row>
    <row r="212" customFormat="false" ht="35.05" hidden="false" customHeight="false" outlineLevel="0" collapsed="false">
      <c r="A212" s="6" t="s">
        <v>474</v>
      </c>
      <c r="B212" s="6" t="s">
        <v>644</v>
      </c>
      <c r="C212" s="14" t="s">
        <v>650</v>
      </c>
      <c r="D212" s="15" t="s">
        <v>861</v>
      </c>
    </row>
    <row r="213" customFormat="false" ht="23.85" hidden="false" customHeight="false" outlineLevel="0" collapsed="false">
      <c r="A213" s="6" t="s">
        <v>474</v>
      </c>
      <c r="B213" s="6" t="s">
        <v>647</v>
      </c>
      <c r="C213" s="14" t="s">
        <v>650</v>
      </c>
      <c r="D213" s="15" t="s">
        <v>862</v>
      </c>
    </row>
    <row r="214" customFormat="false" ht="68.65" hidden="false" customHeight="false" outlineLevel="0" collapsed="false">
      <c r="A214" s="6" t="s">
        <v>474</v>
      </c>
      <c r="B214" s="6" t="s">
        <v>649</v>
      </c>
      <c r="C214" s="12" t="s">
        <v>645</v>
      </c>
      <c r="D214" s="13" t="s">
        <v>863</v>
      </c>
    </row>
    <row r="215" customFormat="false" ht="23.85" hidden="false" customHeight="false" outlineLevel="0" collapsed="false">
      <c r="A215" s="6" t="s">
        <v>478</v>
      </c>
      <c r="B215" s="6" t="s">
        <v>644</v>
      </c>
      <c r="C215" s="14" t="s">
        <v>650</v>
      </c>
      <c r="D215" s="15" t="s">
        <v>864</v>
      </c>
    </row>
    <row r="216" customFormat="false" ht="79.85" hidden="false" customHeight="false" outlineLevel="0" collapsed="false">
      <c r="A216" s="6" t="s">
        <v>482</v>
      </c>
      <c r="B216" s="6" t="s">
        <v>644</v>
      </c>
      <c r="C216" s="14" t="s">
        <v>652</v>
      </c>
      <c r="D216" s="13" t="s">
        <v>865</v>
      </c>
    </row>
    <row r="217" customFormat="false" ht="23.85" hidden="false" customHeight="false" outlineLevel="0" collapsed="false">
      <c r="A217" s="6" t="s">
        <v>482</v>
      </c>
      <c r="B217" s="6" t="s">
        <v>649</v>
      </c>
      <c r="C217" s="18" t="s">
        <v>665</v>
      </c>
      <c r="D217" s="16" t="s">
        <v>866</v>
      </c>
    </row>
    <row r="218" customFormat="false" ht="35.05" hidden="false" customHeight="false" outlineLevel="0" collapsed="false">
      <c r="A218" s="6" t="s">
        <v>486</v>
      </c>
      <c r="B218" s="6" t="s">
        <v>644</v>
      </c>
      <c r="C218" s="18" t="s">
        <v>665</v>
      </c>
      <c r="D218" s="15" t="s">
        <v>867</v>
      </c>
    </row>
    <row r="219" customFormat="false" ht="23.85" hidden="false" customHeight="false" outlineLevel="0" collapsed="false">
      <c r="A219" s="6" t="s">
        <v>486</v>
      </c>
      <c r="B219" s="6" t="s">
        <v>647</v>
      </c>
      <c r="C219" s="14" t="s">
        <v>650</v>
      </c>
      <c r="D219" s="15" t="s">
        <v>868</v>
      </c>
    </row>
    <row r="220" customFormat="false" ht="57.45" hidden="false" customHeight="false" outlineLevel="0" collapsed="false">
      <c r="A220" s="6" t="s">
        <v>486</v>
      </c>
      <c r="B220" s="6" t="s">
        <v>649</v>
      </c>
      <c r="C220" s="14" t="s">
        <v>652</v>
      </c>
      <c r="D220" s="13" t="s">
        <v>869</v>
      </c>
    </row>
    <row r="221" customFormat="false" ht="35.05" hidden="false" customHeight="false" outlineLevel="0" collapsed="false">
      <c r="A221" s="6" t="s">
        <v>490</v>
      </c>
      <c r="B221" s="6" t="s">
        <v>644</v>
      </c>
      <c r="C221" s="14" t="s">
        <v>652</v>
      </c>
      <c r="D221" s="13" t="s">
        <v>870</v>
      </c>
    </row>
    <row r="222" customFormat="false" ht="23.85" hidden="false" customHeight="false" outlineLevel="0" collapsed="false">
      <c r="A222" s="6" t="s">
        <v>490</v>
      </c>
      <c r="B222" s="6" t="s">
        <v>649</v>
      </c>
      <c r="C222" s="14" t="s">
        <v>650</v>
      </c>
      <c r="D222" s="15" t="s">
        <v>871</v>
      </c>
    </row>
    <row r="223" customFormat="false" ht="35.05" hidden="false" customHeight="false" outlineLevel="0" collapsed="false">
      <c r="A223" s="6" t="s">
        <v>494</v>
      </c>
      <c r="B223" s="6" t="s">
        <v>644</v>
      </c>
      <c r="C223" s="18" t="s">
        <v>665</v>
      </c>
      <c r="D223" s="15" t="s">
        <v>872</v>
      </c>
    </row>
    <row r="224" customFormat="false" ht="46.25" hidden="false" customHeight="false" outlineLevel="0" collapsed="false">
      <c r="A224" s="6" t="s">
        <v>498</v>
      </c>
      <c r="B224" s="6" t="s">
        <v>649</v>
      </c>
      <c r="C224" s="14" t="s">
        <v>652</v>
      </c>
      <c r="D224" s="15" t="s">
        <v>873</v>
      </c>
    </row>
    <row r="225" customFormat="false" ht="35.05" hidden="false" customHeight="false" outlineLevel="0" collapsed="false">
      <c r="A225" s="6" t="s">
        <v>502</v>
      </c>
      <c r="B225" s="6" t="s">
        <v>644</v>
      </c>
      <c r="C225" s="18" t="s">
        <v>665</v>
      </c>
      <c r="D225" s="15" t="s">
        <v>874</v>
      </c>
    </row>
    <row r="226" customFormat="false" ht="57.45" hidden="false" customHeight="false" outlineLevel="0" collapsed="false">
      <c r="A226" s="6" t="s">
        <v>505</v>
      </c>
      <c r="B226" s="6" t="s">
        <v>649</v>
      </c>
      <c r="C226" s="14" t="s">
        <v>650</v>
      </c>
      <c r="D226" s="15" t="s">
        <v>875</v>
      </c>
    </row>
    <row r="227" customFormat="false" ht="46.25" hidden="false" customHeight="false" outlineLevel="0" collapsed="false">
      <c r="A227" s="6" t="s">
        <v>510</v>
      </c>
      <c r="B227" s="6" t="s">
        <v>644</v>
      </c>
      <c r="C227" s="14" t="s">
        <v>652</v>
      </c>
      <c r="D227" s="16" t="s">
        <v>876</v>
      </c>
    </row>
    <row r="228" customFormat="false" ht="23.85" hidden="false" customHeight="false" outlineLevel="0" collapsed="false">
      <c r="A228" s="6" t="s">
        <v>510</v>
      </c>
      <c r="B228" s="6" t="s">
        <v>647</v>
      </c>
      <c r="C228" s="14" t="s">
        <v>650</v>
      </c>
      <c r="D228" s="15" t="s">
        <v>877</v>
      </c>
    </row>
    <row r="229" customFormat="false" ht="35.05" hidden="false" customHeight="false" outlineLevel="0" collapsed="false">
      <c r="A229" s="6" t="s">
        <v>514</v>
      </c>
      <c r="B229" s="6" t="s">
        <v>649</v>
      </c>
      <c r="C229" s="18" t="s">
        <v>665</v>
      </c>
      <c r="D229" s="15" t="s">
        <v>878</v>
      </c>
    </row>
    <row r="230" customFormat="false" ht="68.65" hidden="false" customHeight="false" outlineLevel="0" collapsed="false">
      <c r="A230" s="6" t="s">
        <v>518</v>
      </c>
      <c r="B230" s="6" t="s">
        <v>649</v>
      </c>
      <c r="C230" s="14" t="s">
        <v>652</v>
      </c>
      <c r="D230" s="15" t="s">
        <v>879</v>
      </c>
    </row>
    <row r="231" customFormat="false" ht="23.85" hidden="false" customHeight="false" outlineLevel="0" collapsed="false">
      <c r="A231" s="6" t="s">
        <v>521</v>
      </c>
      <c r="B231" s="6" t="s">
        <v>644</v>
      </c>
      <c r="C231" s="12" t="s">
        <v>645</v>
      </c>
      <c r="D231" s="13" t="s">
        <v>880</v>
      </c>
    </row>
    <row r="232" customFormat="false" ht="23.85" hidden="false" customHeight="false" outlineLevel="0" collapsed="false">
      <c r="A232" s="6" t="s">
        <v>521</v>
      </c>
      <c r="B232" s="6" t="s">
        <v>647</v>
      </c>
      <c r="C232" s="12" t="s">
        <v>645</v>
      </c>
      <c r="D232" s="13" t="s">
        <v>881</v>
      </c>
    </row>
    <row r="233" customFormat="false" ht="68.65" hidden="false" customHeight="false" outlineLevel="0" collapsed="false">
      <c r="A233" s="6" t="s">
        <v>525</v>
      </c>
      <c r="B233" s="6" t="s">
        <v>644</v>
      </c>
      <c r="C233" s="12" t="s">
        <v>645</v>
      </c>
      <c r="D233" s="15" t="s">
        <v>882</v>
      </c>
    </row>
    <row r="234" customFormat="false" ht="23.85" hidden="false" customHeight="false" outlineLevel="0" collapsed="false">
      <c r="A234" s="6" t="s">
        <v>525</v>
      </c>
      <c r="B234" s="6" t="s">
        <v>647</v>
      </c>
      <c r="C234" s="14" t="s">
        <v>650</v>
      </c>
      <c r="D234" s="15" t="s">
        <v>883</v>
      </c>
    </row>
    <row r="235" customFormat="false" ht="46.25" hidden="false" customHeight="false" outlineLevel="0" collapsed="false">
      <c r="A235" s="6" t="s">
        <v>529</v>
      </c>
      <c r="B235" s="6" t="s">
        <v>644</v>
      </c>
      <c r="C235" s="12" t="s">
        <v>645</v>
      </c>
      <c r="D235" s="13" t="s">
        <v>884</v>
      </c>
    </row>
    <row r="236" customFormat="false" ht="68.65" hidden="false" customHeight="false" outlineLevel="0" collapsed="false">
      <c r="A236" s="6" t="s">
        <v>533</v>
      </c>
      <c r="B236" s="6" t="s">
        <v>649</v>
      </c>
      <c r="C236" s="14" t="s">
        <v>652</v>
      </c>
      <c r="D236" s="15" t="s">
        <v>885</v>
      </c>
    </row>
    <row r="237" customFormat="false" ht="23.85" hidden="false" customHeight="false" outlineLevel="0" collapsed="false">
      <c r="A237" s="6" t="s">
        <v>536</v>
      </c>
      <c r="B237" s="6" t="s">
        <v>644</v>
      </c>
      <c r="C237" s="18" t="s">
        <v>665</v>
      </c>
      <c r="D237" s="16" t="s">
        <v>886</v>
      </c>
    </row>
    <row r="238" customFormat="false" ht="68.65" hidden="false" customHeight="false" outlineLevel="0" collapsed="false">
      <c r="A238" s="6" t="s">
        <v>536</v>
      </c>
      <c r="B238" s="6" t="s">
        <v>649</v>
      </c>
      <c r="C238" s="12" t="s">
        <v>645</v>
      </c>
      <c r="D238" s="13" t="s">
        <v>887</v>
      </c>
    </row>
    <row r="239" customFormat="false" ht="35.05" hidden="false" customHeight="false" outlineLevel="0" collapsed="false">
      <c r="A239" s="6" t="s">
        <v>539</v>
      </c>
      <c r="B239" s="6" t="s">
        <v>649</v>
      </c>
      <c r="C239" s="14" t="s">
        <v>650</v>
      </c>
      <c r="D239" s="15" t="s">
        <v>888</v>
      </c>
    </row>
    <row r="240" customFormat="false" ht="23.85" hidden="false" customHeight="false" outlineLevel="0" collapsed="false">
      <c r="A240" s="6" t="s">
        <v>542</v>
      </c>
      <c r="B240" s="6" t="s">
        <v>644</v>
      </c>
      <c r="C240" s="14" t="s">
        <v>650</v>
      </c>
      <c r="D240" s="15" t="s">
        <v>889</v>
      </c>
    </row>
    <row r="241" customFormat="false" ht="35.05" hidden="false" customHeight="false" outlineLevel="0" collapsed="false">
      <c r="A241" s="6" t="s">
        <v>542</v>
      </c>
      <c r="B241" s="6" t="s">
        <v>647</v>
      </c>
      <c r="C241" s="12" t="s">
        <v>645</v>
      </c>
      <c r="D241" s="13" t="s">
        <v>890</v>
      </c>
    </row>
    <row r="242" customFormat="false" ht="23.85" hidden="false" customHeight="false" outlineLevel="0" collapsed="false">
      <c r="A242" s="6" t="s">
        <v>542</v>
      </c>
      <c r="B242" s="6" t="s">
        <v>649</v>
      </c>
      <c r="C242" s="14" t="s">
        <v>650</v>
      </c>
      <c r="D242" s="15" t="s">
        <v>891</v>
      </c>
    </row>
    <row r="243" customFormat="false" ht="23.85" hidden="false" customHeight="false" outlineLevel="0" collapsed="false">
      <c r="A243" s="6" t="s">
        <v>547</v>
      </c>
      <c r="B243" s="6" t="s">
        <v>647</v>
      </c>
      <c r="C243" s="14" t="s">
        <v>650</v>
      </c>
      <c r="D243" s="15" t="s">
        <v>892</v>
      </c>
    </row>
    <row r="244" customFormat="false" ht="35.05" hidden="false" customHeight="false" outlineLevel="0" collapsed="false">
      <c r="A244" s="6" t="s">
        <v>547</v>
      </c>
      <c r="B244" s="6" t="s">
        <v>649</v>
      </c>
      <c r="C244" s="12" t="s">
        <v>645</v>
      </c>
      <c r="D244" s="15" t="s">
        <v>893</v>
      </c>
    </row>
    <row r="245" customFormat="false" ht="35.05" hidden="false" customHeight="false" outlineLevel="0" collapsed="false">
      <c r="A245" s="6" t="s">
        <v>550</v>
      </c>
      <c r="B245" s="6" t="s">
        <v>649</v>
      </c>
      <c r="C245" s="18" t="s">
        <v>665</v>
      </c>
      <c r="D245" s="15" t="s">
        <v>894</v>
      </c>
    </row>
    <row r="246" customFormat="false" ht="57.45" hidden="false" customHeight="false" outlineLevel="0" collapsed="false">
      <c r="A246" s="6" t="s">
        <v>553</v>
      </c>
      <c r="B246" s="6" t="s">
        <v>649</v>
      </c>
      <c r="C246" s="14" t="s">
        <v>652</v>
      </c>
      <c r="D246" s="15" t="s">
        <v>895</v>
      </c>
    </row>
    <row r="247" customFormat="false" ht="23.85" hidden="false" customHeight="false" outlineLevel="0" collapsed="false">
      <c r="A247" s="6" t="s">
        <v>556</v>
      </c>
      <c r="B247" s="6" t="s">
        <v>644</v>
      </c>
      <c r="C247" s="14" t="s">
        <v>650</v>
      </c>
      <c r="D247" s="15" t="s">
        <v>896</v>
      </c>
    </row>
    <row r="248" customFormat="false" ht="35.05" hidden="false" customHeight="false" outlineLevel="0" collapsed="false">
      <c r="A248" s="6" t="s">
        <v>556</v>
      </c>
      <c r="B248" s="6" t="s">
        <v>647</v>
      </c>
      <c r="C248" s="12" t="s">
        <v>645</v>
      </c>
      <c r="D248" s="17" t="s">
        <v>897</v>
      </c>
    </row>
    <row r="249" customFormat="false" ht="68.65" hidden="false" customHeight="false" outlineLevel="0" collapsed="false">
      <c r="A249" s="6" t="s">
        <v>556</v>
      </c>
      <c r="B249" s="6" t="s">
        <v>649</v>
      </c>
      <c r="C249" s="14" t="s">
        <v>650</v>
      </c>
      <c r="D249" s="15" t="s">
        <v>898</v>
      </c>
    </row>
    <row r="250" customFormat="false" ht="46.25" hidden="false" customHeight="false" outlineLevel="0" collapsed="false">
      <c r="A250" s="6" t="s">
        <v>560</v>
      </c>
      <c r="B250" s="6" t="s">
        <v>649</v>
      </c>
      <c r="C250" s="18" t="s">
        <v>665</v>
      </c>
      <c r="D250" s="15" t="s">
        <v>899</v>
      </c>
    </row>
    <row r="251" customFormat="false" ht="68.65" hidden="false" customHeight="false" outlineLevel="0" collapsed="false">
      <c r="A251" s="6" t="s">
        <v>563</v>
      </c>
      <c r="B251" s="6" t="s">
        <v>649</v>
      </c>
      <c r="C251" s="14" t="s">
        <v>652</v>
      </c>
      <c r="D251" s="15" t="s">
        <v>900</v>
      </c>
    </row>
    <row r="252" customFormat="false" ht="46.25" hidden="false" customHeight="false" outlineLevel="0" collapsed="false">
      <c r="A252" s="6" t="s">
        <v>566</v>
      </c>
      <c r="B252" s="6" t="s">
        <v>649</v>
      </c>
      <c r="C252" s="14" t="s">
        <v>652</v>
      </c>
      <c r="D252" s="13" t="s">
        <v>901</v>
      </c>
    </row>
    <row r="253" customFormat="false" ht="23.85" hidden="false" customHeight="false" outlineLevel="0" collapsed="false">
      <c r="A253" s="6" t="s">
        <v>569</v>
      </c>
      <c r="B253" s="6" t="s">
        <v>649</v>
      </c>
      <c r="C253" s="18" t="s">
        <v>665</v>
      </c>
      <c r="D253" s="15" t="s">
        <v>902</v>
      </c>
    </row>
    <row r="254" customFormat="false" ht="102.2" hidden="false" customHeight="false" outlineLevel="0" collapsed="false">
      <c r="A254" s="6" t="s">
        <v>572</v>
      </c>
      <c r="B254" s="6" t="s">
        <v>649</v>
      </c>
      <c r="C254" s="14" t="s">
        <v>652</v>
      </c>
      <c r="D254" s="13" t="s">
        <v>903</v>
      </c>
    </row>
    <row r="255" customFormat="false" ht="23.85" hidden="false" customHeight="false" outlineLevel="0" collapsed="false">
      <c r="A255" s="6" t="s">
        <v>576</v>
      </c>
      <c r="B255" s="6" t="s">
        <v>649</v>
      </c>
      <c r="C255" s="14" t="s">
        <v>650</v>
      </c>
      <c r="D255" s="15" t="s">
        <v>904</v>
      </c>
    </row>
    <row r="256" customFormat="false" ht="79.85" hidden="false" customHeight="false" outlineLevel="0" collapsed="false">
      <c r="A256" s="6" t="s">
        <v>579</v>
      </c>
      <c r="B256" s="6" t="s">
        <v>649</v>
      </c>
      <c r="C256" s="12" t="s">
        <v>645</v>
      </c>
      <c r="D256" s="17" t="s">
        <v>905</v>
      </c>
    </row>
    <row r="257" customFormat="false" ht="79.85" hidden="false" customHeight="false" outlineLevel="0" collapsed="false">
      <c r="A257" s="6" t="s">
        <v>583</v>
      </c>
      <c r="B257" s="6" t="s">
        <v>649</v>
      </c>
      <c r="C257" s="14" t="s">
        <v>652</v>
      </c>
      <c r="D257" s="15" t="s">
        <v>906</v>
      </c>
    </row>
    <row r="258" customFormat="false" ht="35.05" hidden="false" customHeight="false" outlineLevel="0" collapsed="false">
      <c r="A258" s="6" t="s">
        <v>586</v>
      </c>
      <c r="B258" s="6" t="s">
        <v>644</v>
      </c>
      <c r="C258" s="18" t="s">
        <v>665</v>
      </c>
      <c r="D258" s="16" t="s">
        <v>907</v>
      </c>
    </row>
    <row r="259" customFormat="false" ht="35.05" hidden="false" customHeight="false" outlineLevel="0" collapsed="false">
      <c r="A259" s="6" t="s">
        <v>586</v>
      </c>
      <c r="B259" s="6" t="s">
        <v>649</v>
      </c>
      <c r="C259" s="14" t="s">
        <v>650</v>
      </c>
      <c r="D259" s="15" t="s">
        <v>908</v>
      </c>
    </row>
    <row r="260" customFormat="false" ht="158.2" hidden="false" customHeight="false" outlineLevel="0" collapsed="false">
      <c r="A260" s="6" t="s">
        <v>589</v>
      </c>
      <c r="B260" s="6" t="s">
        <v>649</v>
      </c>
      <c r="C260" s="14" t="s">
        <v>652</v>
      </c>
      <c r="D260" s="15" t="s">
        <v>909</v>
      </c>
    </row>
    <row r="261" customFormat="false" ht="23.85" hidden="false" customHeight="false" outlineLevel="0" collapsed="false">
      <c r="A261" s="6" t="s">
        <v>593</v>
      </c>
      <c r="B261" s="6" t="s">
        <v>644</v>
      </c>
      <c r="C261" s="12" t="s">
        <v>645</v>
      </c>
      <c r="D261" s="13" t="s">
        <v>910</v>
      </c>
    </row>
    <row r="262" customFormat="false" ht="23.85" hidden="false" customHeight="false" outlineLevel="0" collapsed="false">
      <c r="A262" s="6" t="s">
        <v>593</v>
      </c>
      <c r="B262" s="6" t="s">
        <v>647</v>
      </c>
      <c r="C262" s="14" t="s">
        <v>650</v>
      </c>
      <c r="D262" s="15" t="s">
        <v>911</v>
      </c>
    </row>
    <row r="263" customFormat="false" ht="23.85" hidden="false" customHeight="false" outlineLevel="0" collapsed="false">
      <c r="A263" s="6" t="s">
        <v>593</v>
      </c>
      <c r="B263" s="6" t="s">
        <v>649</v>
      </c>
      <c r="C263" s="14" t="s">
        <v>650</v>
      </c>
      <c r="D263" s="15" t="s">
        <v>912</v>
      </c>
    </row>
    <row r="264" customFormat="false" ht="35.05" hidden="false" customHeight="false" outlineLevel="0" collapsed="false">
      <c r="A264" s="6" t="s">
        <v>597</v>
      </c>
      <c r="B264" s="6" t="s">
        <v>644</v>
      </c>
      <c r="C264" s="12" t="s">
        <v>645</v>
      </c>
      <c r="D264" s="15" t="s">
        <v>913</v>
      </c>
    </row>
    <row r="265" customFormat="false" ht="23.85" hidden="false" customHeight="false" outlineLevel="0" collapsed="false">
      <c r="A265" s="6" t="s">
        <v>597</v>
      </c>
      <c r="B265" s="6" t="s">
        <v>649</v>
      </c>
      <c r="C265" s="14" t="s">
        <v>650</v>
      </c>
      <c r="D265" s="15" t="s">
        <v>914</v>
      </c>
    </row>
    <row r="266" customFormat="false" ht="57.45" hidden="false" customHeight="false" outlineLevel="0" collapsed="false">
      <c r="A266" s="6" t="s">
        <v>602</v>
      </c>
      <c r="B266" s="6" t="s">
        <v>649</v>
      </c>
      <c r="C266" s="14" t="s">
        <v>652</v>
      </c>
      <c r="D266" s="15" t="s">
        <v>915</v>
      </c>
    </row>
    <row r="267" customFormat="false" ht="23.85" hidden="false" customHeight="false" outlineLevel="0" collapsed="false">
      <c r="A267" s="6" t="s">
        <v>605</v>
      </c>
      <c r="B267" s="6" t="s">
        <v>644</v>
      </c>
      <c r="C267" s="14" t="s">
        <v>650</v>
      </c>
      <c r="D267" s="15" t="s">
        <v>916</v>
      </c>
    </row>
    <row r="268" customFormat="false" ht="46.25" hidden="false" customHeight="false" outlineLevel="0" collapsed="false">
      <c r="A268" s="6" t="s">
        <v>605</v>
      </c>
      <c r="B268" s="6" t="s">
        <v>649</v>
      </c>
      <c r="C268" s="14" t="s">
        <v>652</v>
      </c>
      <c r="D268" s="15" t="s">
        <v>917</v>
      </c>
    </row>
    <row r="269" customFormat="false" ht="46.25" hidden="false" customHeight="false" outlineLevel="0" collapsed="false">
      <c r="A269" s="6" t="s">
        <v>609</v>
      </c>
      <c r="B269" s="6" t="s">
        <v>649</v>
      </c>
      <c r="C269" s="14" t="s">
        <v>652</v>
      </c>
      <c r="D269" s="15" t="s">
        <v>918</v>
      </c>
    </row>
    <row r="270" customFormat="false" ht="23.85" hidden="false" customHeight="false" outlineLevel="0" collapsed="false">
      <c r="A270" s="6" t="s">
        <v>612</v>
      </c>
      <c r="B270" s="6" t="s">
        <v>649</v>
      </c>
      <c r="C270" s="14" t="s">
        <v>650</v>
      </c>
      <c r="D270" s="15" t="s">
        <v>919</v>
      </c>
    </row>
    <row r="271" customFormat="false" ht="23.85" hidden="false" customHeight="false" outlineLevel="0" collapsed="false">
      <c r="A271" s="6" t="s">
        <v>615</v>
      </c>
      <c r="B271" s="6" t="s">
        <v>644</v>
      </c>
      <c r="C271" s="12" t="s">
        <v>645</v>
      </c>
      <c r="D271" s="13" t="s">
        <v>920</v>
      </c>
    </row>
    <row r="272" customFormat="false" ht="23.85" hidden="false" customHeight="false" outlineLevel="0" collapsed="false">
      <c r="A272" s="6" t="s">
        <v>615</v>
      </c>
      <c r="B272" s="6" t="s">
        <v>649</v>
      </c>
      <c r="C272" s="14" t="s">
        <v>650</v>
      </c>
      <c r="D272" s="15" t="s">
        <v>914</v>
      </c>
    </row>
    <row r="273" customFormat="false" ht="135.8" hidden="false" customHeight="false" outlineLevel="0" collapsed="false">
      <c r="A273" s="6" t="s">
        <v>618</v>
      </c>
      <c r="B273" s="6" t="s">
        <v>649</v>
      </c>
      <c r="C273" s="14" t="s">
        <v>652</v>
      </c>
      <c r="D273" s="15" t="s">
        <v>921</v>
      </c>
    </row>
    <row r="274" customFormat="false" ht="23.85" hidden="false" customHeight="false" outlineLevel="0" collapsed="false">
      <c r="A274" s="6" t="s">
        <v>621</v>
      </c>
      <c r="B274" s="6" t="s">
        <v>647</v>
      </c>
      <c r="C274" s="14" t="s">
        <v>650</v>
      </c>
      <c r="D274" s="15" t="s">
        <v>922</v>
      </c>
    </row>
    <row r="275" customFormat="false" ht="35.05" hidden="false" customHeight="false" outlineLevel="0" collapsed="false">
      <c r="A275" s="6" t="s">
        <v>621</v>
      </c>
      <c r="B275" s="6" t="s">
        <v>649</v>
      </c>
      <c r="C275" s="12" t="s">
        <v>645</v>
      </c>
      <c r="D275" s="13" t="s">
        <v>923</v>
      </c>
    </row>
    <row r="276" customFormat="false" ht="46.25" hidden="false" customHeight="false" outlineLevel="0" collapsed="false">
      <c r="A276" s="6" t="s">
        <v>625</v>
      </c>
      <c r="B276" s="6" t="s">
        <v>649</v>
      </c>
      <c r="C276" s="14" t="s">
        <v>652</v>
      </c>
      <c r="D276" s="15" t="s">
        <v>924</v>
      </c>
    </row>
    <row r="277" customFormat="false" ht="46.25" hidden="false" customHeight="false" outlineLevel="0" collapsed="false">
      <c r="A277" s="6" t="s">
        <v>628</v>
      </c>
      <c r="B277" s="6" t="s">
        <v>649</v>
      </c>
      <c r="C277" s="14" t="s">
        <v>652</v>
      </c>
      <c r="D277" s="15" t="s">
        <v>925</v>
      </c>
    </row>
    <row r="278" customFormat="false" ht="35.05" hidden="false" customHeight="false" outlineLevel="0" collapsed="false">
      <c r="A278" s="6" t="s">
        <v>632</v>
      </c>
      <c r="B278" s="6" t="s">
        <v>649</v>
      </c>
      <c r="C278" s="14" t="s">
        <v>652</v>
      </c>
      <c r="D278" s="15" t="s">
        <v>926</v>
      </c>
    </row>
    <row r="279" customFormat="false" ht="57.45" hidden="false" customHeight="false" outlineLevel="0" collapsed="false">
      <c r="A279" s="6" t="s">
        <v>635</v>
      </c>
      <c r="B279" s="6" t="s">
        <v>649</v>
      </c>
      <c r="C279" s="14" t="s">
        <v>652</v>
      </c>
      <c r="D279" s="15" t="s">
        <v>927</v>
      </c>
    </row>
    <row r="280" customFormat="false" ht="57.45" hidden="false" customHeight="false" outlineLevel="0" collapsed="false">
      <c r="A280" s="6" t="s">
        <v>638</v>
      </c>
      <c r="B280" s="6" t="s">
        <v>649</v>
      </c>
      <c r="C280" s="14" t="s">
        <v>652</v>
      </c>
      <c r="D280" s="15" t="s">
        <v>928</v>
      </c>
    </row>
  </sheetData>
  <autoFilter ref="A1:D28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2"/>
    <col collapsed="false" customWidth="true" hidden="false" outlineLevel="0" max="4" min="4" style="0" width="150"/>
  </cols>
  <sheetData>
    <row r="1" customFormat="false" ht="27.75" hidden="false" customHeight="true" outlineLevel="0" collapsed="false">
      <c r="A1" s="4" t="s">
        <v>41</v>
      </c>
      <c r="B1" s="4" t="s">
        <v>929</v>
      </c>
      <c r="C1" s="4" t="s">
        <v>930</v>
      </c>
      <c r="D1" s="4" t="s">
        <v>931</v>
      </c>
    </row>
    <row r="2" customFormat="false" ht="23.85" hidden="false" customHeight="false" outlineLevel="0" collapsed="false">
      <c r="A2" s="6" t="s">
        <v>175</v>
      </c>
      <c r="B2" s="6" t="s">
        <v>109</v>
      </c>
      <c r="C2" s="6" t="s">
        <v>932</v>
      </c>
      <c r="D2" s="6" t="s">
        <v>933</v>
      </c>
    </row>
    <row r="3" customFormat="false" ht="35.05" hidden="false" customHeight="false" outlineLevel="0" collapsed="false">
      <c r="A3" s="6" t="s">
        <v>175</v>
      </c>
      <c r="B3" s="6" t="s">
        <v>109</v>
      </c>
      <c r="C3" s="6" t="s">
        <v>932</v>
      </c>
      <c r="D3" s="6" t="s">
        <v>934</v>
      </c>
    </row>
    <row r="4" customFormat="false" ht="35.05" hidden="false" customHeight="false" outlineLevel="0" collapsed="false">
      <c r="A4" s="6" t="s">
        <v>175</v>
      </c>
      <c r="B4" s="6" t="s">
        <v>109</v>
      </c>
      <c r="C4" s="6" t="s">
        <v>932</v>
      </c>
      <c r="D4" s="6" t="s">
        <v>935</v>
      </c>
    </row>
    <row r="5" customFormat="false" ht="15" hidden="false" customHeight="false" outlineLevel="0" collapsed="false">
      <c r="A5" s="6" t="s">
        <v>175</v>
      </c>
      <c r="B5" s="6" t="s">
        <v>109</v>
      </c>
      <c r="C5" s="6" t="s">
        <v>932</v>
      </c>
      <c r="D5" s="6" t="s">
        <v>936</v>
      </c>
    </row>
    <row r="6" customFormat="false" ht="15" hidden="false" customHeight="false" outlineLevel="0" collapsed="false">
      <c r="A6" s="6" t="s">
        <v>175</v>
      </c>
      <c r="B6" s="6" t="s">
        <v>95</v>
      </c>
      <c r="C6" s="6" t="s">
        <v>932</v>
      </c>
      <c r="D6" s="6" t="s">
        <v>937</v>
      </c>
    </row>
    <row r="7" customFormat="false" ht="23.85" hidden="false" customHeight="false" outlineLevel="0" collapsed="false">
      <c r="A7" s="6" t="s">
        <v>175</v>
      </c>
      <c r="B7" s="6" t="s">
        <v>229</v>
      </c>
      <c r="C7" s="6" t="s">
        <v>932</v>
      </c>
      <c r="D7" s="6" t="s">
        <v>938</v>
      </c>
    </row>
    <row r="8" customFormat="false" ht="23.85" hidden="false" customHeight="false" outlineLevel="0" collapsed="false">
      <c r="A8" s="6" t="s">
        <v>175</v>
      </c>
      <c r="B8" s="6" t="s">
        <v>229</v>
      </c>
      <c r="C8" s="6" t="s">
        <v>932</v>
      </c>
      <c r="D8" s="6" t="s">
        <v>939</v>
      </c>
    </row>
    <row r="9" customFormat="false" ht="15" hidden="false" customHeight="false" outlineLevel="0" collapsed="false">
      <c r="A9" s="6" t="s">
        <v>175</v>
      </c>
      <c r="B9" s="6" t="s">
        <v>229</v>
      </c>
      <c r="C9" s="6" t="s">
        <v>932</v>
      </c>
      <c r="D9" s="6" t="s">
        <v>940</v>
      </c>
    </row>
    <row r="10" customFormat="false" ht="15" hidden="false" customHeight="false" outlineLevel="0" collapsed="false">
      <c r="A10" s="6" t="s">
        <v>175</v>
      </c>
      <c r="B10" s="6" t="s">
        <v>146</v>
      </c>
      <c r="C10" s="6" t="s">
        <v>932</v>
      </c>
      <c r="D10" s="6" t="s">
        <v>941</v>
      </c>
    </row>
    <row r="11" customFormat="false" ht="23.85" hidden="false" customHeight="false" outlineLevel="0" collapsed="false">
      <c r="A11" s="6" t="s">
        <v>175</v>
      </c>
      <c r="B11" s="6" t="s">
        <v>99</v>
      </c>
      <c r="C11" s="6" t="s">
        <v>932</v>
      </c>
      <c r="D11" s="6" t="s">
        <v>942</v>
      </c>
    </row>
    <row r="12" customFormat="false" ht="35.05" hidden="false" customHeight="false" outlineLevel="0" collapsed="false">
      <c r="A12" s="6" t="s">
        <v>175</v>
      </c>
      <c r="B12" s="6" t="s">
        <v>75</v>
      </c>
      <c r="C12" s="6" t="s">
        <v>932</v>
      </c>
      <c r="D12" s="6" t="s">
        <v>76</v>
      </c>
    </row>
    <row r="13" customFormat="false" ht="35.05" hidden="false" customHeight="false" outlineLevel="0" collapsed="false">
      <c r="A13" s="6" t="s">
        <v>175</v>
      </c>
      <c r="B13" s="6" t="s">
        <v>75</v>
      </c>
      <c r="C13" s="6" t="s">
        <v>932</v>
      </c>
      <c r="D13" s="6" t="s">
        <v>943</v>
      </c>
    </row>
    <row r="14" customFormat="false" ht="23.85" hidden="false" customHeight="false" outlineLevel="0" collapsed="false">
      <c r="A14" s="6" t="s">
        <v>175</v>
      </c>
      <c r="B14" s="6" t="s">
        <v>75</v>
      </c>
      <c r="C14" s="6" t="s">
        <v>932</v>
      </c>
      <c r="D14" s="6" t="s">
        <v>91</v>
      </c>
    </row>
    <row r="15" customFormat="false" ht="23.85" hidden="false" customHeight="false" outlineLevel="0" collapsed="false">
      <c r="A15" s="6" t="s">
        <v>175</v>
      </c>
      <c r="B15" s="6" t="s">
        <v>80</v>
      </c>
      <c r="C15" s="6" t="s">
        <v>932</v>
      </c>
      <c r="D15" s="6" t="s">
        <v>220</v>
      </c>
    </row>
    <row r="16" customFormat="false" ht="35.05" hidden="false" customHeight="false" outlineLevel="0" collapsed="false">
      <c r="A16" s="6" t="s">
        <v>175</v>
      </c>
      <c r="B16" s="6" t="s">
        <v>80</v>
      </c>
      <c r="C16" s="6" t="s">
        <v>932</v>
      </c>
      <c r="D16" s="6" t="s">
        <v>195</v>
      </c>
    </row>
    <row r="17" customFormat="false" ht="35.05" hidden="false" customHeight="false" outlineLevel="0" collapsed="false">
      <c r="A17" s="6" t="s">
        <v>175</v>
      </c>
      <c r="B17" s="6" t="s">
        <v>80</v>
      </c>
      <c r="C17" s="6" t="s">
        <v>932</v>
      </c>
      <c r="D17" s="6" t="s">
        <v>134</v>
      </c>
    </row>
    <row r="18" customFormat="false" ht="247.75" hidden="false" customHeight="false" outlineLevel="0" collapsed="false">
      <c r="A18" s="6" t="s">
        <v>175</v>
      </c>
      <c r="B18" s="6" t="s">
        <v>80</v>
      </c>
      <c r="C18" s="6" t="s">
        <v>944</v>
      </c>
      <c r="D18" s="6" t="s">
        <v>945</v>
      </c>
    </row>
    <row r="19" customFormat="false" ht="23.85" hidden="false" customHeight="false" outlineLevel="0" collapsed="false">
      <c r="A19" s="6" t="s">
        <v>55</v>
      </c>
      <c r="B19" s="6" t="s">
        <v>61</v>
      </c>
      <c r="C19" s="6" t="s">
        <v>932</v>
      </c>
      <c r="D19" s="6" t="s">
        <v>946</v>
      </c>
    </row>
    <row r="20" customFormat="false" ht="35.05" hidden="false" customHeight="false" outlineLevel="0" collapsed="false">
      <c r="A20" s="6" t="s">
        <v>55</v>
      </c>
      <c r="B20" s="6" t="s">
        <v>61</v>
      </c>
      <c r="C20" s="6" t="s">
        <v>932</v>
      </c>
      <c r="D20" s="6" t="s">
        <v>947</v>
      </c>
    </row>
    <row r="21" customFormat="false" ht="15" hidden="false" customHeight="false" outlineLevel="0" collapsed="false">
      <c r="A21" s="6" t="s">
        <v>55</v>
      </c>
      <c r="B21" s="6" t="s">
        <v>61</v>
      </c>
      <c r="C21" s="6" t="s">
        <v>932</v>
      </c>
      <c r="D21" s="6" t="s">
        <v>948</v>
      </c>
    </row>
    <row r="22" customFormat="false" ht="35.05" hidden="false" customHeight="false" outlineLevel="0" collapsed="false">
      <c r="A22" s="6" t="s">
        <v>55</v>
      </c>
      <c r="B22" s="6" t="s">
        <v>61</v>
      </c>
      <c r="C22" s="6" t="s">
        <v>932</v>
      </c>
      <c r="D22" s="6" t="s">
        <v>949</v>
      </c>
    </row>
    <row r="23" customFormat="false" ht="23.85" hidden="false" customHeight="false" outlineLevel="0" collapsed="false">
      <c r="A23" s="6" t="s">
        <v>55</v>
      </c>
      <c r="B23" s="6" t="s">
        <v>86</v>
      </c>
      <c r="C23" s="6" t="s">
        <v>932</v>
      </c>
      <c r="D23" s="6" t="s">
        <v>950</v>
      </c>
    </row>
    <row r="24" customFormat="false" ht="15" hidden="false" customHeight="false" outlineLevel="0" collapsed="false">
      <c r="A24" s="6" t="s">
        <v>55</v>
      </c>
      <c r="B24" s="6" t="s">
        <v>86</v>
      </c>
      <c r="C24" s="6" t="s">
        <v>932</v>
      </c>
      <c r="D24" s="6" t="s">
        <v>951</v>
      </c>
    </row>
    <row r="25" customFormat="false" ht="35.05" hidden="false" customHeight="false" outlineLevel="0" collapsed="false">
      <c r="A25" s="6" t="s">
        <v>55</v>
      </c>
      <c r="B25" s="6" t="s">
        <v>186</v>
      </c>
      <c r="C25" s="6" t="s">
        <v>932</v>
      </c>
      <c r="D25" s="6" t="s">
        <v>952</v>
      </c>
    </row>
    <row r="26" customFormat="false" ht="15" hidden="false" customHeight="false" outlineLevel="0" collapsed="false">
      <c r="A26" s="6" t="s">
        <v>55</v>
      </c>
      <c r="B26" s="6" t="s">
        <v>190</v>
      </c>
      <c r="C26" s="6" t="s">
        <v>932</v>
      </c>
      <c r="D26" s="6" t="s">
        <v>953</v>
      </c>
    </row>
    <row r="27" customFormat="false" ht="35.05" hidden="false" customHeight="false" outlineLevel="0" collapsed="false">
      <c r="A27" s="6" t="s">
        <v>55</v>
      </c>
      <c r="B27" s="6" t="s">
        <v>146</v>
      </c>
      <c r="C27" s="6" t="s">
        <v>932</v>
      </c>
      <c r="D27" s="6" t="s">
        <v>147</v>
      </c>
    </row>
    <row r="28" customFormat="false" ht="23.85" hidden="false" customHeight="false" outlineLevel="0" collapsed="false">
      <c r="A28" s="6" t="s">
        <v>55</v>
      </c>
      <c r="B28" s="6" t="s">
        <v>146</v>
      </c>
      <c r="C28" s="6" t="s">
        <v>932</v>
      </c>
      <c r="D28" s="6" t="s">
        <v>954</v>
      </c>
    </row>
    <row r="29" customFormat="false" ht="23.85" hidden="false" customHeight="false" outlineLevel="0" collapsed="false">
      <c r="A29" s="6" t="s">
        <v>55</v>
      </c>
      <c r="B29" s="6" t="s">
        <v>146</v>
      </c>
      <c r="C29" s="6" t="s">
        <v>955</v>
      </c>
      <c r="D29" s="6" t="s">
        <v>956</v>
      </c>
    </row>
    <row r="30" customFormat="false" ht="23.85" hidden="false" customHeight="false" outlineLevel="0" collapsed="false">
      <c r="A30" s="6" t="s">
        <v>55</v>
      </c>
      <c r="B30" s="6" t="s">
        <v>99</v>
      </c>
      <c r="C30" s="6" t="s">
        <v>932</v>
      </c>
      <c r="D30" s="6" t="s">
        <v>957</v>
      </c>
    </row>
    <row r="31" customFormat="false" ht="35.05" hidden="false" customHeight="false" outlineLevel="0" collapsed="false">
      <c r="A31" s="6" t="s">
        <v>55</v>
      </c>
      <c r="B31" s="6" t="s">
        <v>62</v>
      </c>
      <c r="C31" s="6" t="s">
        <v>932</v>
      </c>
      <c r="D31" s="6" t="s">
        <v>63</v>
      </c>
    </row>
    <row r="32" customFormat="false" ht="23.85" hidden="false" customHeight="false" outlineLevel="0" collapsed="false">
      <c r="A32" s="6" t="s">
        <v>326</v>
      </c>
      <c r="B32" s="6" t="s">
        <v>330</v>
      </c>
      <c r="C32" s="6" t="s">
        <v>932</v>
      </c>
      <c r="D32" s="6" t="s">
        <v>351</v>
      </c>
    </row>
    <row r="33" customFormat="false" ht="23.85" hidden="false" customHeight="false" outlineLevel="0" collapsed="false">
      <c r="A33" s="6" t="s">
        <v>326</v>
      </c>
      <c r="B33" s="6" t="s">
        <v>190</v>
      </c>
      <c r="C33" s="6" t="s">
        <v>932</v>
      </c>
      <c r="D33" s="6" t="s">
        <v>362</v>
      </c>
    </row>
    <row r="34" customFormat="false" ht="23.85" hidden="false" customHeight="false" outlineLevel="0" collapsed="false">
      <c r="A34" s="6" t="s">
        <v>326</v>
      </c>
      <c r="B34" s="6" t="s">
        <v>80</v>
      </c>
      <c r="C34" s="6" t="s">
        <v>932</v>
      </c>
      <c r="D34" s="6" t="s">
        <v>958</v>
      </c>
    </row>
    <row r="35" customFormat="false" ht="46.25" hidden="false" customHeight="false" outlineLevel="0" collapsed="false">
      <c r="A35" s="6" t="s">
        <v>326</v>
      </c>
      <c r="B35" s="6" t="s">
        <v>80</v>
      </c>
      <c r="C35" s="6" t="s">
        <v>932</v>
      </c>
      <c r="D35" s="6" t="s">
        <v>335</v>
      </c>
    </row>
    <row r="36" customFormat="false" ht="15" hidden="false" customHeight="false" outlineLevel="0" collapsed="false">
      <c r="A36" s="6" t="s">
        <v>326</v>
      </c>
      <c r="B36" s="6" t="s">
        <v>80</v>
      </c>
      <c r="C36" s="6" t="s">
        <v>932</v>
      </c>
      <c r="D36" s="6" t="s">
        <v>959</v>
      </c>
    </row>
    <row r="37" customFormat="false" ht="23.85" hidden="false" customHeight="false" outlineLevel="0" collapsed="false">
      <c r="A37" s="6" t="s">
        <v>326</v>
      </c>
      <c r="B37" s="6" t="s">
        <v>80</v>
      </c>
      <c r="C37" s="6" t="s">
        <v>932</v>
      </c>
      <c r="D37" s="6" t="s">
        <v>960</v>
      </c>
    </row>
    <row r="38" customFormat="false" ht="23.85" hidden="false" customHeight="false" outlineLevel="0" collapsed="false">
      <c r="A38" s="6" t="s">
        <v>326</v>
      </c>
      <c r="B38" s="6" t="s">
        <v>80</v>
      </c>
      <c r="C38" s="6" t="s">
        <v>932</v>
      </c>
      <c r="D38" s="6" t="s">
        <v>961</v>
      </c>
    </row>
    <row r="39" customFormat="false" ht="35.05" hidden="false" customHeight="false" outlineLevel="0" collapsed="false">
      <c r="A39" s="6" t="s">
        <v>326</v>
      </c>
      <c r="B39" s="6" t="s">
        <v>80</v>
      </c>
      <c r="C39" s="6" t="s">
        <v>932</v>
      </c>
      <c r="D39" s="6" t="s">
        <v>331</v>
      </c>
    </row>
    <row r="40" customFormat="false" ht="68.65" hidden="false" customHeight="false" outlineLevel="0" collapsed="false">
      <c r="A40" s="6" t="s">
        <v>326</v>
      </c>
      <c r="B40" s="6" t="s">
        <v>80</v>
      </c>
      <c r="C40" s="6" t="s">
        <v>962</v>
      </c>
      <c r="D40" s="6" t="s">
        <v>963</v>
      </c>
    </row>
    <row r="41" customFormat="false" ht="35.05" hidden="false" customHeight="false" outlineLevel="0" collapsed="false">
      <c r="A41" s="6" t="s">
        <v>126</v>
      </c>
      <c r="B41" s="6" t="s">
        <v>86</v>
      </c>
      <c r="C41" s="6" t="s">
        <v>932</v>
      </c>
      <c r="D41" s="6" t="s">
        <v>964</v>
      </c>
    </row>
    <row r="42" customFormat="false" ht="15" hidden="false" customHeight="false" outlineLevel="0" collapsed="false">
      <c r="A42" s="6" t="s">
        <v>126</v>
      </c>
      <c r="B42" s="6" t="s">
        <v>229</v>
      </c>
      <c r="C42" s="6" t="s">
        <v>932</v>
      </c>
      <c r="D42" s="6" t="s">
        <v>965</v>
      </c>
    </row>
    <row r="43" customFormat="false" ht="15" hidden="false" customHeight="false" outlineLevel="0" collapsed="false">
      <c r="A43" s="6" t="s">
        <v>126</v>
      </c>
      <c r="B43" s="6" t="s">
        <v>229</v>
      </c>
      <c r="C43" s="6" t="s">
        <v>932</v>
      </c>
      <c r="D43" s="6" t="s">
        <v>966</v>
      </c>
    </row>
    <row r="44" customFormat="false" ht="15" hidden="false" customHeight="false" outlineLevel="0" collapsed="false">
      <c r="A44" s="6" t="s">
        <v>126</v>
      </c>
      <c r="B44" s="6" t="s">
        <v>229</v>
      </c>
      <c r="C44" s="6" t="s">
        <v>932</v>
      </c>
      <c r="D44" s="6" t="s">
        <v>967</v>
      </c>
    </row>
    <row r="45" customFormat="false" ht="46.25" hidden="false" customHeight="false" outlineLevel="0" collapsed="false">
      <c r="A45" s="6" t="s">
        <v>126</v>
      </c>
      <c r="B45" s="6" t="s">
        <v>229</v>
      </c>
      <c r="C45" s="6" t="s">
        <v>932</v>
      </c>
      <c r="D45" s="6" t="s">
        <v>968</v>
      </c>
    </row>
    <row r="46" customFormat="false" ht="35.05" hidden="false" customHeight="false" outlineLevel="0" collapsed="false">
      <c r="A46" s="6" t="s">
        <v>126</v>
      </c>
      <c r="B46" s="6" t="s">
        <v>168</v>
      </c>
      <c r="C46" s="6" t="s">
        <v>932</v>
      </c>
      <c r="D46" s="6" t="s">
        <v>969</v>
      </c>
    </row>
    <row r="47" customFormat="false" ht="46.25" hidden="false" customHeight="false" outlineLevel="0" collapsed="false">
      <c r="A47" s="6" t="s">
        <v>126</v>
      </c>
      <c r="B47" s="6" t="s">
        <v>168</v>
      </c>
      <c r="C47" s="6" t="s">
        <v>932</v>
      </c>
      <c r="D47" s="6" t="s">
        <v>267</v>
      </c>
    </row>
    <row r="48" customFormat="false" ht="35.05" hidden="false" customHeight="false" outlineLevel="0" collapsed="false">
      <c r="A48" s="6" t="s">
        <v>126</v>
      </c>
      <c r="B48" s="6" t="s">
        <v>190</v>
      </c>
      <c r="C48" s="6" t="s">
        <v>932</v>
      </c>
      <c r="D48" s="6" t="s">
        <v>970</v>
      </c>
    </row>
    <row r="49" customFormat="false" ht="35.05" hidden="false" customHeight="false" outlineLevel="0" collapsed="false">
      <c r="A49" s="6" t="s">
        <v>126</v>
      </c>
      <c r="B49" s="6" t="s">
        <v>146</v>
      </c>
      <c r="C49" s="6" t="s">
        <v>932</v>
      </c>
      <c r="D49" s="6" t="s">
        <v>160</v>
      </c>
    </row>
    <row r="50" customFormat="false" ht="15" hidden="false" customHeight="false" outlineLevel="0" collapsed="false">
      <c r="A50" s="6" t="s">
        <v>126</v>
      </c>
      <c r="B50" s="6" t="s">
        <v>146</v>
      </c>
      <c r="C50" s="6" t="s">
        <v>932</v>
      </c>
      <c r="D50" s="6" t="s">
        <v>971</v>
      </c>
    </row>
    <row r="51" customFormat="false" ht="23.85" hidden="false" customHeight="false" outlineLevel="0" collapsed="false">
      <c r="A51" s="6" t="s">
        <v>126</v>
      </c>
      <c r="B51" s="6" t="s">
        <v>146</v>
      </c>
      <c r="C51" s="6" t="s">
        <v>932</v>
      </c>
      <c r="D51" s="6" t="s">
        <v>972</v>
      </c>
    </row>
    <row r="52" customFormat="false" ht="23.85" hidden="false" customHeight="false" outlineLevel="0" collapsed="false">
      <c r="A52" s="6" t="s">
        <v>126</v>
      </c>
      <c r="B52" s="6" t="s">
        <v>146</v>
      </c>
      <c r="C52" s="6" t="s">
        <v>932</v>
      </c>
      <c r="D52" s="6" t="s">
        <v>528</v>
      </c>
    </row>
    <row r="53" customFormat="false" ht="35.05" hidden="false" customHeight="false" outlineLevel="0" collapsed="false">
      <c r="A53" s="6" t="s">
        <v>126</v>
      </c>
      <c r="B53" s="6" t="s">
        <v>169</v>
      </c>
      <c r="C53" s="6" t="s">
        <v>932</v>
      </c>
      <c r="D53" s="6" t="s">
        <v>973</v>
      </c>
    </row>
    <row r="54" customFormat="false" ht="23.85" hidden="false" customHeight="false" outlineLevel="0" collapsed="false">
      <c r="A54" s="6" t="s">
        <v>126</v>
      </c>
      <c r="B54" s="6" t="s">
        <v>99</v>
      </c>
      <c r="C54" s="6" t="s">
        <v>932</v>
      </c>
      <c r="D54" s="6" t="s">
        <v>942</v>
      </c>
    </row>
    <row r="55" customFormat="false" ht="23.85" hidden="false" customHeight="false" outlineLevel="0" collapsed="false">
      <c r="A55" s="6" t="s">
        <v>126</v>
      </c>
      <c r="B55" s="6" t="s">
        <v>99</v>
      </c>
      <c r="C55" s="6" t="s">
        <v>974</v>
      </c>
      <c r="D55" s="6" t="s">
        <v>975</v>
      </c>
    </row>
    <row r="56" customFormat="false" ht="35.05" hidden="false" customHeight="false" outlineLevel="0" collapsed="false">
      <c r="A56" s="6" t="s">
        <v>126</v>
      </c>
      <c r="B56" s="6" t="s">
        <v>80</v>
      </c>
      <c r="C56" s="6" t="s">
        <v>932</v>
      </c>
      <c r="D56" s="6" t="s">
        <v>195</v>
      </c>
    </row>
    <row r="57" customFormat="false" ht="35.05" hidden="false" customHeight="false" outlineLevel="0" collapsed="false">
      <c r="A57" s="6" t="s">
        <v>126</v>
      </c>
      <c r="B57" s="6" t="s">
        <v>80</v>
      </c>
      <c r="C57" s="6" t="s">
        <v>932</v>
      </c>
      <c r="D57" s="6" t="s">
        <v>199</v>
      </c>
    </row>
    <row r="58" customFormat="false" ht="15" hidden="false" customHeight="false" outlineLevel="0" collapsed="false">
      <c r="A58" s="6" t="s">
        <v>126</v>
      </c>
      <c r="B58" s="6" t="s">
        <v>80</v>
      </c>
      <c r="C58" s="6" t="s">
        <v>932</v>
      </c>
      <c r="D58" s="6" t="s">
        <v>976</v>
      </c>
    </row>
    <row r="59" customFormat="false" ht="23.85" hidden="false" customHeight="false" outlineLevel="0" collapsed="false">
      <c r="A59" s="6" t="s">
        <v>126</v>
      </c>
      <c r="B59" s="6" t="s">
        <v>80</v>
      </c>
      <c r="C59" s="6" t="s">
        <v>932</v>
      </c>
      <c r="D59" s="6" t="s">
        <v>977</v>
      </c>
    </row>
    <row r="60" customFormat="false" ht="23.85" hidden="false" customHeight="false" outlineLevel="0" collapsed="false">
      <c r="A60" s="6" t="s">
        <v>126</v>
      </c>
      <c r="B60" s="6" t="s">
        <v>80</v>
      </c>
      <c r="C60" s="6" t="s">
        <v>932</v>
      </c>
      <c r="D60" s="6" t="s">
        <v>130</v>
      </c>
    </row>
    <row r="61" customFormat="false" ht="79.85" hidden="false" customHeight="false" outlineLevel="0" collapsed="false">
      <c r="A61" s="6" t="s">
        <v>126</v>
      </c>
      <c r="B61" s="6" t="s">
        <v>80</v>
      </c>
      <c r="C61" s="6" t="s">
        <v>978</v>
      </c>
      <c r="D61" s="6" t="s">
        <v>979</v>
      </c>
    </row>
    <row r="62" customFormat="false" ht="35.05" hidden="false" customHeight="false" outlineLevel="0" collapsed="false">
      <c r="A62" s="6" t="s">
        <v>126</v>
      </c>
      <c r="B62" s="6" t="s">
        <v>80</v>
      </c>
      <c r="C62" s="6" t="s">
        <v>980</v>
      </c>
      <c r="D62" s="6" t="s">
        <v>981</v>
      </c>
    </row>
    <row r="63" customFormat="false" ht="15" hidden="false" customHeight="false" outlineLevel="0" collapsed="false">
      <c r="A63" s="6" t="s">
        <v>597</v>
      </c>
      <c r="B63" s="6" t="s">
        <v>229</v>
      </c>
      <c r="C63" s="6" t="s">
        <v>932</v>
      </c>
      <c r="D63" s="6" t="s">
        <v>982</v>
      </c>
    </row>
    <row r="64" customFormat="false" ht="35.05" hidden="false" customHeight="false" outlineLevel="0" collapsed="false">
      <c r="A64" s="6" t="s">
        <v>597</v>
      </c>
      <c r="B64" s="6" t="s">
        <v>229</v>
      </c>
      <c r="C64" s="6" t="s">
        <v>932</v>
      </c>
      <c r="D64" s="6" t="s">
        <v>601</v>
      </c>
    </row>
    <row r="65" customFormat="false" ht="35.05" hidden="false" customHeight="false" outlineLevel="0" collapsed="false">
      <c r="A65" s="6" t="s">
        <v>572</v>
      </c>
      <c r="B65" s="6" t="s">
        <v>75</v>
      </c>
      <c r="C65" s="6" t="s">
        <v>932</v>
      </c>
      <c r="D65" s="6" t="s">
        <v>983</v>
      </c>
    </row>
    <row r="66" customFormat="false" ht="35.05" hidden="false" customHeight="false" outlineLevel="0" collapsed="false">
      <c r="A66" s="6" t="s">
        <v>572</v>
      </c>
      <c r="B66" s="6" t="s">
        <v>75</v>
      </c>
      <c r="C66" s="6" t="s">
        <v>932</v>
      </c>
      <c r="D66" s="6" t="s">
        <v>397</v>
      </c>
    </row>
    <row r="67" customFormat="false" ht="15" hidden="false" customHeight="false" outlineLevel="0" collapsed="false">
      <c r="A67" s="6" t="s">
        <v>572</v>
      </c>
      <c r="B67" s="6" t="s">
        <v>80</v>
      </c>
      <c r="C67" s="6" t="s">
        <v>932</v>
      </c>
      <c r="D67" s="6" t="s">
        <v>959</v>
      </c>
    </row>
    <row r="68" customFormat="false" ht="15" hidden="false" customHeight="false" outlineLevel="0" collapsed="false">
      <c r="A68" s="6" t="s">
        <v>572</v>
      </c>
      <c r="B68" s="6" t="s">
        <v>80</v>
      </c>
      <c r="C68" s="6" t="s">
        <v>932</v>
      </c>
      <c r="D68" s="6" t="s">
        <v>984</v>
      </c>
    </row>
    <row r="69" customFormat="false" ht="35.05" hidden="false" customHeight="false" outlineLevel="0" collapsed="false">
      <c r="A69" s="6" t="s">
        <v>572</v>
      </c>
      <c r="B69" s="6" t="s">
        <v>80</v>
      </c>
      <c r="C69" s="6" t="s">
        <v>932</v>
      </c>
      <c r="D69" s="6" t="s">
        <v>151</v>
      </c>
    </row>
    <row r="70" customFormat="false" ht="135.8" hidden="false" customHeight="false" outlineLevel="0" collapsed="false">
      <c r="A70" s="6" t="s">
        <v>572</v>
      </c>
      <c r="B70" s="6" t="s">
        <v>80</v>
      </c>
      <c r="C70" s="6" t="s">
        <v>985</v>
      </c>
      <c r="D70" s="6" t="s">
        <v>986</v>
      </c>
    </row>
    <row r="71" customFormat="false" ht="46.25" hidden="false" customHeight="false" outlineLevel="0" collapsed="false">
      <c r="A71" s="6" t="s">
        <v>179</v>
      </c>
      <c r="B71" s="6" t="s">
        <v>86</v>
      </c>
      <c r="C71" s="6" t="s">
        <v>932</v>
      </c>
      <c r="D71" s="6" t="s">
        <v>987</v>
      </c>
    </row>
    <row r="72" customFormat="false" ht="46.25" hidden="false" customHeight="false" outlineLevel="0" collapsed="false">
      <c r="A72" s="6" t="s">
        <v>179</v>
      </c>
      <c r="B72" s="6" t="s">
        <v>86</v>
      </c>
      <c r="C72" s="6" t="s">
        <v>932</v>
      </c>
      <c r="D72" s="6" t="s">
        <v>988</v>
      </c>
    </row>
    <row r="73" customFormat="false" ht="35.05" hidden="false" customHeight="false" outlineLevel="0" collapsed="false">
      <c r="A73" s="6" t="s">
        <v>179</v>
      </c>
      <c r="B73" s="6" t="s">
        <v>168</v>
      </c>
      <c r="C73" s="6" t="s">
        <v>932</v>
      </c>
      <c r="D73" s="6" t="s">
        <v>989</v>
      </c>
    </row>
    <row r="74" customFormat="false" ht="23.85" hidden="false" customHeight="false" outlineLevel="0" collapsed="false">
      <c r="A74" s="6" t="s">
        <v>179</v>
      </c>
      <c r="B74" s="6" t="s">
        <v>168</v>
      </c>
      <c r="C74" s="6" t="s">
        <v>932</v>
      </c>
      <c r="D74" s="6" t="s">
        <v>182</v>
      </c>
    </row>
    <row r="75" customFormat="false" ht="15" hidden="false" customHeight="false" outlineLevel="0" collapsed="false">
      <c r="A75" s="6" t="s">
        <v>131</v>
      </c>
      <c r="B75" s="6" t="s">
        <v>61</v>
      </c>
      <c r="C75" s="6" t="s">
        <v>932</v>
      </c>
      <c r="D75" s="6" t="s">
        <v>990</v>
      </c>
    </row>
    <row r="76" customFormat="false" ht="23.85" hidden="false" customHeight="false" outlineLevel="0" collapsed="false">
      <c r="A76" s="6" t="s">
        <v>131</v>
      </c>
      <c r="B76" s="6" t="s">
        <v>109</v>
      </c>
      <c r="C76" s="6" t="s">
        <v>932</v>
      </c>
      <c r="D76" s="6" t="s">
        <v>991</v>
      </c>
    </row>
    <row r="77" customFormat="false" ht="46.25" hidden="false" customHeight="false" outlineLevel="0" collapsed="false">
      <c r="A77" s="6" t="s">
        <v>131</v>
      </c>
      <c r="B77" s="6" t="s">
        <v>109</v>
      </c>
      <c r="C77" s="6" t="s">
        <v>932</v>
      </c>
      <c r="D77" s="6" t="s">
        <v>992</v>
      </c>
    </row>
    <row r="78" customFormat="false" ht="35.05" hidden="false" customHeight="false" outlineLevel="0" collapsed="false">
      <c r="A78" s="6" t="s">
        <v>131</v>
      </c>
      <c r="B78" s="6" t="s">
        <v>109</v>
      </c>
      <c r="C78" s="6" t="s">
        <v>932</v>
      </c>
      <c r="D78" s="6" t="s">
        <v>935</v>
      </c>
    </row>
    <row r="79" customFormat="false" ht="15" hidden="false" customHeight="false" outlineLevel="0" collapsed="false">
      <c r="A79" s="6" t="s">
        <v>131</v>
      </c>
      <c r="B79" s="6" t="s">
        <v>109</v>
      </c>
      <c r="C79" s="6" t="s">
        <v>932</v>
      </c>
      <c r="D79" s="6" t="s">
        <v>936</v>
      </c>
    </row>
    <row r="80" customFormat="false" ht="15" hidden="false" customHeight="false" outlineLevel="0" collapsed="false">
      <c r="A80" s="6" t="s">
        <v>131</v>
      </c>
      <c r="B80" s="6" t="s">
        <v>95</v>
      </c>
      <c r="C80" s="6" t="s">
        <v>932</v>
      </c>
      <c r="D80" s="6" t="s">
        <v>937</v>
      </c>
    </row>
    <row r="81" customFormat="false" ht="23.85" hidden="false" customHeight="false" outlineLevel="0" collapsed="false">
      <c r="A81" s="6" t="s">
        <v>131</v>
      </c>
      <c r="B81" s="6" t="s">
        <v>229</v>
      </c>
      <c r="C81" s="6" t="s">
        <v>932</v>
      </c>
      <c r="D81" s="6" t="s">
        <v>938</v>
      </c>
    </row>
    <row r="82" customFormat="false" ht="23.85" hidden="false" customHeight="false" outlineLevel="0" collapsed="false">
      <c r="A82" s="6" t="s">
        <v>131</v>
      </c>
      <c r="B82" s="6" t="s">
        <v>229</v>
      </c>
      <c r="C82" s="6" t="s">
        <v>932</v>
      </c>
      <c r="D82" s="6" t="s">
        <v>939</v>
      </c>
    </row>
    <row r="83" customFormat="false" ht="15" hidden="false" customHeight="false" outlineLevel="0" collapsed="false">
      <c r="A83" s="6" t="s">
        <v>131</v>
      </c>
      <c r="B83" s="6" t="s">
        <v>229</v>
      </c>
      <c r="C83" s="6" t="s">
        <v>932</v>
      </c>
      <c r="D83" s="6" t="s">
        <v>940</v>
      </c>
    </row>
    <row r="84" customFormat="false" ht="35.05" hidden="false" customHeight="false" outlineLevel="0" collapsed="false">
      <c r="A84" s="6" t="s">
        <v>131</v>
      </c>
      <c r="B84" s="6" t="s">
        <v>168</v>
      </c>
      <c r="C84" s="6" t="s">
        <v>932</v>
      </c>
      <c r="D84" s="6" t="s">
        <v>969</v>
      </c>
    </row>
    <row r="85" customFormat="false" ht="46.25" hidden="false" customHeight="false" outlineLevel="0" collapsed="false">
      <c r="A85" s="6" t="s">
        <v>131</v>
      </c>
      <c r="B85" s="6" t="s">
        <v>168</v>
      </c>
      <c r="C85" s="6" t="s">
        <v>932</v>
      </c>
      <c r="D85" s="6" t="s">
        <v>267</v>
      </c>
    </row>
    <row r="86" customFormat="false" ht="23.85" hidden="false" customHeight="false" outlineLevel="0" collapsed="false">
      <c r="A86" s="6" t="s">
        <v>131</v>
      </c>
      <c r="B86" s="6" t="s">
        <v>146</v>
      </c>
      <c r="C86" s="6" t="s">
        <v>932</v>
      </c>
      <c r="D86" s="6" t="s">
        <v>993</v>
      </c>
    </row>
    <row r="87" customFormat="false" ht="15" hidden="false" customHeight="false" outlineLevel="0" collapsed="false">
      <c r="A87" s="6" t="s">
        <v>131</v>
      </c>
      <c r="B87" s="6" t="s">
        <v>146</v>
      </c>
      <c r="C87" s="6" t="s">
        <v>932</v>
      </c>
      <c r="D87" s="6" t="s">
        <v>941</v>
      </c>
    </row>
    <row r="88" customFormat="false" ht="23.85" hidden="false" customHeight="false" outlineLevel="0" collapsed="false">
      <c r="A88" s="6" t="s">
        <v>131</v>
      </c>
      <c r="B88" s="6" t="s">
        <v>99</v>
      </c>
      <c r="C88" s="6" t="s">
        <v>932</v>
      </c>
      <c r="D88" s="6" t="s">
        <v>942</v>
      </c>
    </row>
    <row r="89" customFormat="false" ht="46.25" hidden="false" customHeight="false" outlineLevel="0" collapsed="false">
      <c r="A89" s="6" t="s">
        <v>131</v>
      </c>
      <c r="B89" s="6" t="s">
        <v>62</v>
      </c>
      <c r="C89" s="6" t="s">
        <v>932</v>
      </c>
      <c r="D89" s="6" t="s">
        <v>246</v>
      </c>
    </row>
    <row r="90" customFormat="false" ht="35.05" hidden="false" customHeight="false" outlineLevel="0" collapsed="false">
      <c r="A90" s="6" t="s">
        <v>131</v>
      </c>
      <c r="B90" s="6" t="s">
        <v>80</v>
      </c>
      <c r="C90" s="6" t="s">
        <v>932</v>
      </c>
      <c r="D90" s="6" t="s">
        <v>134</v>
      </c>
    </row>
    <row r="91" customFormat="false" ht="35.05" hidden="false" customHeight="false" outlineLevel="0" collapsed="false">
      <c r="A91" s="6" t="s">
        <v>82</v>
      </c>
      <c r="B91" s="6" t="s">
        <v>86</v>
      </c>
      <c r="C91" s="6" t="s">
        <v>932</v>
      </c>
      <c r="D91" s="6" t="s">
        <v>994</v>
      </c>
    </row>
    <row r="92" customFormat="false" ht="23.85" hidden="false" customHeight="false" outlineLevel="0" collapsed="false">
      <c r="A92" s="6" t="s">
        <v>82</v>
      </c>
      <c r="B92" s="6" t="s">
        <v>86</v>
      </c>
      <c r="C92" s="6" t="s">
        <v>932</v>
      </c>
      <c r="D92" s="6" t="s">
        <v>995</v>
      </c>
    </row>
    <row r="93" customFormat="false" ht="23.85" hidden="false" customHeight="false" outlineLevel="0" collapsed="false">
      <c r="A93" s="6" t="s">
        <v>82</v>
      </c>
      <c r="B93" s="6" t="s">
        <v>86</v>
      </c>
      <c r="C93" s="6" t="s">
        <v>932</v>
      </c>
      <c r="D93" s="6" t="s">
        <v>996</v>
      </c>
    </row>
    <row r="94" customFormat="false" ht="35.05" hidden="false" customHeight="false" outlineLevel="0" collapsed="false">
      <c r="A94" s="6" t="s">
        <v>82</v>
      </c>
      <c r="B94" s="6" t="s">
        <v>146</v>
      </c>
      <c r="C94" s="6" t="s">
        <v>932</v>
      </c>
      <c r="D94" s="6" t="s">
        <v>997</v>
      </c>
    </row>
    <row r="95" customFormat="false" ht="23.85" hidden="false" customHeight="false" outlineLevel="0" collapsed="false">
      <c r="A95" s="6" t="s">
        <v>82</v>
      </c>
      <c r="B95" s="6" t="s">
        <v>99</v>
      </c>
      <c r="C95" s="6" t="s">
        <v>932</v>
      </c>
      <c r="D95" s="6" t="s">
        <v>957</v>
      </c>
    </row>
    <row r="96" customFormat="false" ht="35.05" hidden="false" customHeight="false" outlineLevel="0" collapsed="false">
      <c r="A96" s="6" t="s">
        <v>82</v>
      </c>
      <c r="B96" s="6" t="s">
        <v>99</v>
      </c>
      <c r="C96" s="6" t="s">
        <v>932</v>
      </c>
      <c r="D96" s="6" t="s">
        <v>225</v>
      </c>
    </row>
    <row r="97" customFormat="false" ht="23.85" hidden="false" customHeight="false" outlineLevel="0" collapsed="false">
      <c r="A97" s="6" t="s">
        <v>82</v>
      </c>
      <c r="B97" s="6" t="s">
        <v>99</v>
      </c>
      <c r="C97" s="6" t="s">
        <v>932</v>
      </c>
      <c r="D97" s="6" t="s">
        <v>998</v>
      </c>
    </row>
    <row r="98" customFormat="false" ht="46.25" hidden="false" customHeight="false" outlineLevel="0" collapsed="false">
      <c r="A98" s="6" t="s">
        <v>82</v>
      </c>
      <c r="B98" s="6" t="s">
        <v>62</v>
      </c>
      <c r="C98" s="6" t="s">
        <v>932</v>
      </c>
      <c r="D98" s="6" t="s">
        <v>999</v>
      </c>
    </row>
    <row r="99" customFormat="false" ht="46.25" hidden="false" customHeight="false" outlineLevel="0" collapsed="false">
      <c r="A99" s="6" t="s">
        <v>82</v>
      </c>
      <c r="B99" s="6" t="s">
        <v>62</v>
      </c>
      <c r="C99" s="6" t="s">
        <v>932</v>
      </c>
      <c r="D99" s="6" t="s">
        <v>1000</v>
      </c>
    </row>
    <row r="100" customFormat="false" ht="23.85" hidden="false" customHeight="false" outlineLevel="0" collapsed="false">
      <c r="A100" s="6" t="s">
        <v>82</v>
      </c>
      <c r="B100" s="6" t="s">
        <v>75</v>
      </c>
      <c r="C100" s="6" t="s">
        <v>932</v>
      </c>
      <c r="D100" s="6" t="s">
        <v>91</v>
      </c>
    </row>
    <row r="101" customFormat="false" ht="23.85" hidden="false" customHeight="false" outlineLevel="0" collapsed="false">
      <c r="A101" s="6" t="s">
        <v>82</v>
      </c>
      <c r="B101" s="6" t="s">
        <v>75</v>
      </c>
      <c r="C101" s="6" t="s">
        <v>932</v>
      </c>
      <c r="D101" s="6" t="s">
        <v>1001</v>
      </c>
    </row>
    <row r="102" customFormat="false" ht="15" hidden="false" customHeight="false" outlineLevel="0" collapsed="false">
      <c r="A102" s="6" t="s">
        <v>82</v>
      </c>
      <c r="B102" s="6" t="s">
        <v>80</v>
      </c>
      <c r="C102" s="6" t="s">
        <v>932</v>
      </c>
      <c r="D102" s="6" t="s">
        <v>1002</v>
      </c>
    </row>
    <row r="103" customFormat="false" ht="79.85" hidden="false" customHeight="false" outlineLevel="0" collapsed="false">
      <c r="A103" s="6" t="s">
        <v>82</v>
      </c>
      <c r="B103" s="6" t="s">
        <v>80</v>
      </c>
      <c r="C103" s="6" t="s">
        <v>932</v>
      </c>
      <c r="D103" s="6" t="s">
        <v>87</v>
      </c>
    </row>
    <row r="104" customFormat="false" ht="46.25" hidden="false" customHeight="false" outlineLevel="0" collapsed="false">
      <c r="A104" s="6" t="s">
        <v>135</v>
      </c>
      <c r="B104" s="6" t="s">
        <v>86</v>
      </c>
      <c r="C104" s="6" t="s">
        <v>932</v>
      </c>
      <c r="D104" s="6" t="s">
        <v>1003</v>
      </c>
    </row>
    <row r="105" customFormat="false" ht="23.85" hidden="false" customHeight="false" outlineLevel="0" collapsed="false">
      <c r="A105" s="6" t="s">
        <v>135</v>
      </c>
      <c r="B105" s="6" t="s">
        <v>168</v>
      </c>
      <c r="C105" s="6" t="s">
        <v>932</v>
      </c>
      <c r="D105" s="6" t="s">
        <v>1004</v>
      </c>
    </row>
    <row r="106" customFormat="false" ht="23.85" hidden="false" customHeight="false" outlineLevel="0" collapsed="false">
      <c r="A106" s="6" t="s">
        <v>135</v>
      </c>
      <c r="B106" s="6" t="s">
        <v>168</v>
      </c>
      <c r="C106" s="6" t="s">
        <v>932</v>
      </c>
      <c r="D106" s="6" t="s">
        <v>138</v>
      </c>
    </row>
    <row r="107" customFormat="false" ht="23.85" hidden="false" customHeight="false" outlineLevel="0" collapsed="false">
      <c r="A107" s="6" t="s">
        <v>135</v>
      </c>
      <c r="B107" s="6" t="s">
        <v>99</v>
      </c>
      <c r="C107" s="6" t="s">
        <v>1005</v>
      </c>
      <c r="D107" s="6" t="s">
        <v>1006</v>
      </c>
    </row>
    <row r="108" customFormat="false" ht="15" hidden="false" customHeight="false" outlineLevel="0" collapsed="false">
      <c r="A108" s="6" t="s">
        <v>221</v>
      </c>
      <c r="B108" s="6" t="s">
        <v>146</v>
      </c>
      <c r="C108" s="6" t="s">
        <v>932</v>
      </c>
      <c r="D108" s="6" t="s">
        <v>971</v>
      </c>
    </row>
    <row r="109" customFormat="false" ht="23.85" hidden="false" customHeight="false" outlineLevel="0" collapsed="false">
      <c r="A109" s="6" t="s">
        <v>221</v>
      </c>
      <c r="B109" s="6" t="s">
        <v>146</v>
      </c>
      <c r="C109" s="6" t="s">
        <v>932</v>
      </c>
      <c r="D109" s="6" t="s">
        <v>1007</v>
      </c>
    </row>
    <row r="110" customFormat="false" ht="23.85" hidden="false" customHeight="false" outlineLevel="0" collapsed="false">
      <c r="A110" s="6" t="s">
        <v>221</v>
      </c>
      <c r="B110" s="6" t="s">
        <v>99</v>
      </c>
      <c r="C110" s="6" t="s">
        <v>932</v>
      </c>
      <c r="D110" s="6" t="s">
        <v>1008</v>
      </c>
    </row>
    <row r="111" customFormat="false" ht="35.05" hidden="false" customHeight="false" outlineLevel="0" collapsed="false">
      <c r="A111" s="6" t="s">
        <v>221</v>
      </c>
      <c r="B111" s="6" t="s">
        <v>99</v>
      </c>
      <c r="C111" s="6" t="s">
        <v>932</v>
      </c>
      <c r="D111" s="6" t="s">
        <v>225</v>
      </c>
    </row>
    <row r="112" customFormat="false" ht="23.85" hidden="false" customHeight="false" outlineLevel="0" collapsed="false">
      <c r="A112" s="6" t="s">
        <v>221</v>
      </c>
      <c r="B112" s="6" t="s">
        <v>99</v>
      </c>
      <c r="C112" s="6" t="s">
        <v>974</v>
      </c>
      <c r="D112" s="6" t="s">
        <v>975</v>
      </c>
    </row>
    <row r="113" customFormat="false" ht="23.85" hidden="false" customHeight="false" outlineLevel="0" collapsed="false">
      <c r="A113" s="6" t="s">
        <v>64</v>
      </c>
      <c r="B113" s="6" t="s">
        <v>61</v>
      </c>
      <c r="C113" s="6" t="s">
        <v>932</v>
      </c>
      <c r="D113" s="6" t="s">
        <v>946</v>
      </c>
    </row>
    <row r="114" customFormat="false" ht="15" hidden="false" customHeight="false" outlineLevel="0" collapsed="false">
      <c r="A114" s="6" t="s">
        <v>64</v>
      </c>
      <c r="B114" s="6" t="s">
        <v>61</v>
      </c>
      <c r="C114" s="6" t="s">
        <v>932</v>
      </c>
      <c r="D114" s="6" t="s">
        <v>1009</v>
      </c>
    </row>
    <row r="115" customFormat="false" ht="15" hidden="false" customHeight="false" outlineLevel="0" collapsed="false">
      <c r="A115" s="6" t="s">
        <v>64</v>
      </c>
      <c r="B115" s="6" t="s">
        <v>109</v>
      </c>
      <c r="C115" s="6" t="s">
        <v>932</v>
      </c>
      <c r="D115" s="6" t="s">
        <v>1010</v>
      </c>
    </row>
    <row r="116" customFormat="false" ht="57.45" hidden="false" customHeight="false" outlineLevel="0" collapsed="false">
      <c r="A116" s="6" t="s">
        <v>64</v>
      </c>
      <c r="B116" s="6" t="s">
        <v>109</v>
      </c>
      <c r="C116" s="6" t="s">
        <v>932</v>
      </c>
      <c r="D116" s="6" t="s">
        <v>1011</v>
      </c>
    </row>
    <row r="117" customFormat="false" ht="35.05" hidden="false" customHeight="false" outlineLevel="0" collapsed="false">
      <c r="A117" s="6" t="s">
        <v>64</v>
      </c>
      <c r="B117" s="6" t="s">
        <v>109</v>
      </c>
      <c r="C117" s="6" t="s">
        <v>932</v>
      </c>
      <c r="D117" s="6" t="s">
        <v>1012</v>
      </c>
    </row>
    <row r="118" customFormat="false" ht="91" hidden="false" customHeight="false" outlineLevel="0" collapsed="false">
      <c r="A118" s="6" t="s">
        <v>64</v>
      </c>
      <c r="B118" s="6" t="s">
        <v>109</v>
      </c>
      <c r="C118" s="6" t="s">
        <v>932</v>
      </c>
      <c r="D118" s="6" t="s">
        <v>1013</v>
      </c>
    </row>
    <row r="119" customFormat="false" ht="57.45" hidden="false" customHeight="false" outlineLevel="0" collapsed="false">
      <c r="A119" s="6" t="s">
        <v>64</v>
      </c>
      <c r="B119" s="6" t="s">
        <v>109</v>
      </c>
      <c r="C119" s="6" t="s">
        <v>932</v>
      </c>
      <c r="D119" s="6" t="s">
        <v>1014</v>
      </c>
    </row>
    <row r="120" customFormat="false" ht="35.05" hidden="false" customHeight="false" outlineLevel="0" collapsed="false">
      <c r="A120" s="6" t="s">
        <v>64</v>
      </c>
      <c r="B120" s="6" t="s">
        <v>95</v>
      </c>
      <c r="C120" s="6" t="s">
        <v>932</v>
      </c>
      <c r="D120" s="6" t="s">
        <v>1015</v>
      </c>
    </row>
    <row r="121" customFormat="false" ht="46.25" hidden="false" customHeight="false" outlineLevel="0" collapsed="false">
      <c r="A121" s="6" t="s">
        <v>64</v>
      </c>
      <c r="B121" s="6" t="s">
        <v>95</v>
      </c>
      <c r="C121" s="6" t="s">
        <v>932</v>
      </c>
      <c r="D121" s="6" t="s">
        <v>1016</v>
      </c>
    </row>
    <row r="122" customFormat="false" ht="23.85" hidden="false" customHeight="false" outlineLevel="0" collapsed="false">
      <c r="A122" s="6" t="s">
        <v>64</v>
      </c>
      <c r="B122" s="6" t="s">
        <v>95</v>
      </c>
      <c r="C122" s="6" t="s">
        <v>932</v>
      </c>
      <c r="D122" s="6" t="s">
        <v>1017</v>
      </c>
    </row>
    <row r="123" customFormat="false" ht="35.05" hidden="false" customHeight="false" outlineLevel="0" collapsed="false">
      <c r="A123" s="6" t="s">
        <v>64</v>
      </c>
      <c r="B123" s="6" t="s">
        <v>146</v>
      </c>
      <c r="C123" s="6" t="s">
        <v>932</v>
      </c>
      <c r="D123" s="6" t="s">
        <v>147</v>
      </c>
    </row>
    <row r="124" customFormat="false" ht="35.05" hidden="false" customHeight="false" outlineLevel="0" collapsed="false">
      <c r="A124" s="6" t="s">
        <v>64</v>
      </c>
      <c r="B124" s="6" t="s">
        <v>146</v>
      </c>
      <c r="C124" s="6" t="s">
        <v>932</v>
      </c>
      <c r="D124" s="6" t="s">
        <v>1018</v>
      </c>
    </row>
    <row r="125" customFormat="false" ht="35.05" hidden="false" customHeight="false" outlineLevel="0" collapsed="false">
      <c r="A125" s="6" t="s">
        <v>64</v>
      </c>
      <c r="B125" s="6" t="s">
        <v>146</v>
      </c>
      <c r="C125" s="6" t="s">
        <v>932</v>
      </c>
      <c r="D125" s="6" t="s">
        <v>1019</v>
      </c>
    </row>
    <row r="126" customFormat="false" ht="23.85" hidden="false" customHeight="false" outlineLevel="0" collapsed="false">
      <c r="A126" s="6" t="s">
        <v>64</v>
      </c>
      <c r="B126" s="6" t="s">
        <v>146</v>
      </c>
      <c r="C126" s="6" t="s">
        <v>932</v>
      </c>
      <c r="D126" s="6" t="s">
        <v>559</v>
      </c>
    </row>
    <row r="127" customFormat="false" ht="23.85" hidden="false" customHeight="false" outlineLevel="0" collapsed="false">
      <c r="A127" s="6" t="s">
        <v>64</v>
      </c>
      <c r="B127" s="6" t="s">
        <v>146</v>
      </c>
      <c r="C127" s="6" t="s">
        <v>955</v>
      </c>
      <c r="D127" s="6" t="s">
        <v>956</v>
      </c>
    </row>
    <row r="128" customFormat="false" ht="35.05" hidden="false" customHeight="false" outlineLevel="0" collapsed="false">
      <c r="A128" s="6" t="s">
        <v>64</v>
      </c>
      <c r="B128" s="6" t="s">
        <v>99</v>
      </c>
      <c r="C128" s="6" t="s">
        <v>932</v>
      </c>
      <c r="D128" s="6" t="s">
        <v>1020</v>
      </c>
    </row>
    <row r="129" customFormat="false" ht="15" hidden="false" customHeight="false" outlineLevel="0" collapsed="false">
      <c r="A129" s="6" t="s">
        <v>64</v>
      </c>
      <c r="B129" s="6" t="s">
        <v>99</v>
      </c>
      <c r="C129" s="6" t="s">
        <v>932</v>
      </c>
      <c r="D129" s="6" t="s">
        <v>1021</v>
      </c>
    </row>
    <row r="130" customFormat="false" ht="15" hidden="false" customHeight="false" outlineLevel="0" collapsed="false">
      <c r="A130" s="6" t="s">
        <v>64</v>
      </c>
      <c r="B130" s="6" t="s">
        <v>99</v>
      </c>
      <c r="C130" s="6" t="s">
        <v>932</v>
      </c>
      <c r="D130" s="6" t="s">
        <v>1022</v>
      </c>
    </row>
    <row r="131" customFormat="false" ht="23.85" hidden="false" customHeight="false" outlineLevel="0" collapsed="false">
      <c r="A131" s="6" t="s">
        <v>64</v>
      </c>
      <c r="B131" s="6" t="s">
        <v>99</v>
      </c>
      <c r="C131" s="6" t="s">
        <v>932</v>
      </c>
      <c r="D131" s="6" t="s">
        <v>957</v>
      </c>
    </row>
    <row r="132" customFormat="false" ht="35.05" hidden="false" customHeight="false" outlineLevel="0" collapsed="false">
      <c r="A132" s="6" t="s">
        <v>64</v>
      </c>
      <c r="B132" s="6" t="s">
        <v>99</v>
      </c>
      <c r="C132" s="6" t="s">
        <v>932</v>
      </c>
      <c r="D132" s="6" t="s">
        <v>1023</v>
      </c>
    </row>
    <row r="133" customFormat="false" ht="46.25" hidden="false" customHeight="false" outlineLevel="0" collapsed="false">
      <c r="A133" s="6" t="s">
        <v>64</v>
      </c>
      <c r="B133" s="6" t="s">
        <v>99</v>
      </c>
      <c r="C133" s="6" t="s">
        <v>932</v>
      </c>
      <c r="D133" s="6" t="s">
        <v>1024</v>
      </c>
    </row>
    <row r="134" customFormat="false" ht="15" hidden="false" customHeight="false" outlineLevel="0" collapsed="false">
      <c r="A134" s="6" t="s">
        <v>64</v>
      </c>
      <c r="B134" s="6" t="s">
        <v>99</v>
      </c>
      <c r="C134" s="6" t="s">
        <v>932</v>
      </c>
      <c r="D134" s="6" t="s">
        <v>1025</v>
      </c>
    </row>
    <row r="135" customFormat="false" ht="23.85" hidden="false" customHeight="false" outlineLevel="0" collapsed="false">
      <c r="A135" s="6" t="s">
        <v>64</v>
      </c>
      <c r="B135" s="6" t="s">
        <v>62</v>
      </c>
      <c r="C135" s="6" t="s">
        <v>932</v>
      </c>
      <c r="D135" s="6" t="s">
        <v>67</v>
      </c>
    </row>
    <row r="136" customFormat="false" ht="15" hidden="false" customHeight="false" outlineLevel="0" collapsed="false">
      <c r="A136" s="6" t="s">
        <v>64</v>
      </c>
      <c r="B136" s="6" t="s">
        <v>62</v>
      </c>
      <c r="C136" s="6" t="s">
        <v>932</v>
      </c>
      <c r="D136" s="6" t="s">
        <v>1026</v>
      </c>
    </row>
    <row r="137" customFormat="false" ht="46.25" hidden="false" customHeight="false" outlineLevel="0" collapsed="false">
      <c r="A137" s="6" t="s">
        <v>183</v>
      </c>
      <c r="B137" s="6" t="s">
        <v>186</v>
      </c>
      <c r="C137" s="6" t="s">
        <v>932</v>
      </c>
      <c r="D137" s="6" t="s">
        <v>1027</v>
      </c>
    </row>
    <row r="138" customFormat="false" ht="23.85" hidden="false" customHeight="false" outlineLevel="0" collapsed="false">
      <c r="A138" s="6" t="s">
        <v>183</v>
      </c>
      <c r="B138" s="6" t="s">
        <v>186</v>
      </c>
      <c r="C138" s="6" t="s">
        <v>932</v>
      </c>
      <c r="D138" s="6" t="s">
        <v>1028</v>
      </c>
    </row>
    <row r="139" customFormat="false" ht="35.05" hidden="false" customHeight="false" outlineLevel="0" collapsed="false">
      <c r="A139" s="6" t="s">
        <v>183</v>
      </c>
      <c r="B139" s="6" t="s">
        <v>186</v>
      </c>
      <c r="C139" s="6" t="s">
        <v>932</v>
      </c>
      <c r="D139" s="6" t="s">
        <v>1029</v>
      </c>
    </row>
    <row r="140" customFormat="false" ht="23.85" hidden="false" customHeight="false" outlineLevel="0" collapsed="false">
      <c r="A140" s="6" t="s">
        <v>183</v>
      </c>
      <c r="B140" s="6" t="s">
        <v>168</v>
      </c>
      <c r="C140" s="6" t="s">
        <v>932</v>
      </c>
      <c r="D140" s="6" t="s">
        <v>596</v>
      </c>
    </row>
    <row r="141" customFormat="false" ht="35.05" hidden="false" customHeight="false" outlineLevel="0" collapsed="false">
      <c r="A141" s="6" t="s">
        <v>183</v>
      </c>
      <c r="B141" s="6" t="s">
        <v>168</v>
      </c>
      <c r="C141" s="6" t="s">
        <v>932</v>
      </c>
      <c r="D141" s="6" t="s">
        <v>989</v>
      </c>
    </row>
    <row r="142" customFormat="false" ht="23.85" hidden="false" customHeight="false" outlineLevel="0" collapsed="false">
      <c r="A142" s="6" t="s">
        <v>183</v>
      </c>
      <c r="B142" s="6" t="s">
        <v>168</v>
      </c>
      <c r="C142" s="6" t="s">
        <v>932</v>
      </c>
      <c r="D142" s="6" t="s">
        <v>182</v>
      </c>
    </row>
    <row r="143" customFormat="false" ht="35.05" hidden="false" customHeight="false" outlineLevel="0" collapsed="false">
      <c r="A143" s="6" t="s">
        <v>187</v>
      </c>
      <c r="B143" s="6" t="s">
        <v>109</v>
      </c>
      <c r="C143" s="6" t="s">
        <v>932</v>
      </c>
      <c r="D143" s="6" t="s">
        <v>1012</v>
      </c>
    </row>
    <row r="144" customFormat="false" ht="15" hidden="false" customHeight="false" outlineLevel="0" collapsed="false">
      <c r="A144" s="6" t="s">
        <v>187</v>
      </c>
      <c r="B144" s="6" t="s">
        <v>168</v>
      </c>
      <c r="C144" s="6" t="s">
        <v>932</v>
      </c>
      <c r="D144" s="6" t="s">
        <v>1030</v>
      </c>
    </row>
    <row r="145" customFormat="false" ht="23.85" hidden="false" customHeight="false" outlineLevel="0" collapsed="false">
      <c r="A145" s="6" t="s">
        <v>187</v>
      </c>
      <c r="B145" s="6" t="s">
        <v>168</v>
      </c>
      <c r="C145" s="6" t="s">
        <v>932</v>
      </c>
      <c r="D145" s="6" t="s">
        <v>1031</v>
      </c>
    </row>
    <row r="146" customFormat="false" ht="23.85" hidden="false" customHeight="false" outlineLevel="0" collapsed="false">
      <c r="A146" s="6" t="s">
        <v>187</v>
      </c>
      <c r="B146" s="6" t="s">
        <v>168</v>
      </c>
      <c r="C146" s="6" t="s">
        <v>932</v>
      </c>
      <c r="D146" s="6" t="s">
        <v>596</v>
      </c>
    </row>
    <row r="147" customFormat="false" ht="35.05" hidden="false" customHeight="false" outlineLevel="0" collapsed="false">
      <c r="A147" s="6" t="s">
        <v>187</v>
      </c>
      <c r="B147" s="6" t="s">
        <v>168</v>
      </c>
      <c r="C147" s="6" t="s">
        <v>932</v>
      </c>
      <c r="D147" s="6" t="s">
        <v>1032</v>
      </c>
    </row>
    <row r="148" customFormat="false" ht="35.05" hidden="false" customHeight="false" outlineLevel="0" collapsed="false">
      <c r="A148" s="6" t="s">
        <v>187</v>
      </c>
      <c r="B148" s="6" t="s">
        <v>168</v>
      </c>
      <c r="C148" s="6" t="s">
        <v>932</v>
      </c>
      <c r="D148" s="6" t="s">
        <v>989</v>
      </c>
    </row>
    <row r="149" customFormat="false" ht="23.85" hidden="false" customHeight="false" outlineLevel="0" collapsed="false">
      <c r="A149" s="6" t="s">
        <v>187</v>
      </c>
      <c r="B149" s="6" t="s">
        <v>168</v>
      </c>
      <c r="C149" s="6" t="s">
        <v>932</v>
      </c>
      <c r="D149" s="6" t="s">
        <v>1033</v>
      </c>
    </row>
    <row r="150" customFormat="false" ht="23.85" hidden="false" customHeight="false" outlineLevel="0" collapsed="false">
      <c r="A150" s="6" t="s">
        <v>187</v>
      </c>
      <c r="B150" s="6" t="s">
        <v>168</v>
      </c>
      <c r="C150" s="6" t="s">
        <v>932</v>
      </c>
      <c r="D150" s="6" t="s">
        <v>1034</v>
      </c>
    </row>
    <row r="151" customFormat="false" ht="23.85" hidden="false" customHeight="false" outlineLevel="0" collapsed="false">
      <c r="A151" s="6" t="s">
        <v>187</v>
      </c>
      <c r="B151" s="6" t="s">
        <v>168</v>
      </c>
      <c r="C151" s="6" t="s">
        <v>932</v>
      </c>
      <c r="D151" s="6" t="s">
        <v>182</v>
      </c>
    </row>
    <row r="152" customFormat="false" ht="23.85" hidden="false" customHeight="false" outlineLevel="0" collapsed="false">
      <c r="A152" s="6" t="s">
        <v>187</v>
      </c>
      <c r="B152" s="6" t="s">
        <v>190</v>
      </c>
      <c r="C152" s="6" t="s">
        <v>932</v>
      </c>
      <c r="D152" s="6" t="s">
        <v>191</v>
      </c>
    </row>
    <row r="153" customFormat="false" ht="35.05" hidden="false" customHeight="false" outlineLevel="0" collapsed="false">
      <c r="A153" s="6" t="s">
        <v>412</v>
      </c>
      <c r="B153" s="6" t="s">
        <v>109</v>
      </c>
      <c r="C153" s="6" t="s">
        <v>932</v>
      </c>
      <c r="D153" s="6" t="s">
        <v>935</v>
      </c>
    </row>
    <row r="154" customFormat="false" ht="15" hidden="false" customHeight="false" outlineLevel="0" collapsed="false">
      <c r="A154" s="6" t="s">
        <v>412</v>
      </c>
      <c r="B154" s="6" t="s">
        <v>109</v>
      </c>
      <c r="C154" s="6" t="s">
        <v>932</v>
      </c>
      <c r="D154" s="6" t="s">
        <v>936</v>
      </c>
    </row>
    <row r="155" customFormat="false" ht="15" hidden="false" customHeight="false" outlineLevel="0" collapsed="false">
      <c r="A155" s="6" t="s">
        <v>412</v>
      </c>
      <c r="B155" s="6" t="s">
        <v>95</v>
      </c>
      <c r="C155" s="6" t="s">
        <v>932</v>
      </c>
      <c r="D155" s="6" t="s">
        <v>937</v>
      </c>
    </row>
    <row r="156" customFormat="false" ht="23.85" hidden="false" customHeight="false" outlineLevel="0" collapsed="false">
      <c r="A156" s="6" t="s">
        <v>412</v>
      </c>
      <c r="B156" s="6" t="s">
        <v>229</v>
      </c>
      <c r="C156" s="6" t="s">
        <v>932</v>
      </c>
      <c r="D156" s="6" t="s">
        <v>939</v>
      </c>
    </row>
    <row r="157" customFormat="false" ht="15" hidden="false" customHeight="false" outlineLevel="0" collapsed="false">
      <c r="A157" s="6" t="s">
        <v>412</v>
      </c>
      <c r="B157" s="6" t="s">
        <v>229</v>
      </c>
      <c r="C157" s="6" t="s">
        <v>932</v>
      </c>
      <c r="D157" s="6" t="s">
        <v>1035</v>
      </c>
    </row>
    <row r="158" customFormat="false" ht="15" hidden="false" customHeight="false" outlineLevel="0" collapsed="false">
      <c r="A158" s="6" t="s">
        <v>412</v>
      </c>
      <c r="B158" s="6" t="s">
        <v>229</v>
      </c>
      <c r="C158" s="6" t="s">
        <v>932</v>
      </c>
      <c r="D158" s="6" t="s">
        <v>940</v>
      </c>
    </row>
    <row r="159" customFormat="false" ht="57.45" hidden="false" customHeight="false" outlineLevel="0" collapsed="false">
      <c r="A159" s="6" t="s">
        <v>412</v>
      </c>
      <c r="B159" s="6" t="s">
        <v>229</v>
      </c>
      <c r="C159" s="6" t="s">
        <v>932</v>
      </c>
      <c r="D159" s="6" t="s">
        <v>532</v>
      </c>
    </row>
    <row r="160" customFormat="false" ht="35.05" hidden="false" customHeight="false" outlineLevel="0" collapsed="false">
      <c r="A160" s="6" t="s">
        <v>412</v>
      </c>
      <c r="B160" s="6" t="s">
        <v>229</v>
      </c>
      <c r="C160" s="6" t="s">
        <v>932</v>
      </c>
      <c r="D160" s="6" t="s">
        <v>1036</v>
      </c>
    </row>
    <row r="161" customFormat="false" ht="23.85" hidden="false" customHeight="false" outlineLevel="0" collapsed="false">
      <c r="A161" s="6" t="s">
        <v>412</v>
      </c>
      <c r="B161" s="6" t="s">
        <v>229</v>
      </c>
      <c r="C161" s="6" t="s">
        <v>932</v>
      </c>
      <c r="D161" s="6" t="s">
        <v>1037</v>
      </c>
    </row>
    <row r="162" customFormat="false" ht="23.85" hidden="false" customHeight="false" outlineLevel="0" collapsed="false">
      <c r="A162" s="6" t="s">
        <v>412</v>
      </c>
      <c r="B162" s="6" t="s">
        <v>229</v>
      </c>
      <c r="C162" s="6" t="s">
        <v>932</v>
      </c>
      <c r="D162" s="6" t="s">
        <v>938</v>
      </c>
    </row>
    <row r="163" customFormat="false" ht="15" hidden="false" customHeight="false" outlineLevel="0" collapsed="false">
      <c r="A163" s="6" t="s">
        <v>412</v>
      </c>
      <c r="B163" s="6" t="s">
        <v>146</v>
      </c>
      <c r="C163" s="6" t="s">
        <v>932</v>
      </c>
      <c r="D163" s="6" t="s">
        <v>941</v>
      </c>
    </row>
    <row r="164" customFormat="false" ht="23.85" hidden="false" customHeight="false" outlineLevel="0" collapsed="false">
      <c r="A164" s="6" t="s">
        <v>412</v>
      </c>
      <c r="B164" s="6" t="s">
        <v>99</v>
      </c>
      <c r="C164" s="6" t="s">
        <v>932</v>
      </c>
      <c r="D164" s="6" t="s">
        <v>942</v>
      </c>
    </row>
    <row r="165" customFormat="false" ht="35.05" hidden="false" customHeight="false" outlineLevel="0" collapsed="false">
      <c r="A165" s="6" t="s">
        <v>412</v>
      </c>
      <c r="B165" s="6" t="s">
        <v>80</v>
      </c>
      <c r="C165" s="6" t="s">
        <v>932</v>
      </c>
      <c r="D165" s="6" t="s">
        <v>134</v>
      </c>
    </row>
    <row r="166" customFormat="false" ht="236.55" hidden="false" customHeight="false" outlineLevel="0" collapsed="false">
      <c r="A166" s="6" t="s">
        <v>412</v>
      </c>
      <c r="B166" s="6" t="s">
        <v>60</v>
      </c>
      <c r="C166" s="6" t="s">
        <v>1038</v>
      </c>
      <c r="D166" s="6" t="s">
        <v>1039</v>
      </c>
    </row>
    <row r="167" customFormat="false" ht="15" hidden="false" customHeight="false" outlineLevel="0" collapsed="false">
      <c r="A167" s="6" t="s">
        <v>332</v>
      </c>
      <c r="B167" s="6" t="s">
        <v>99</v>
      </c>
      <c r="C167" s="6" t="s">
        <v>932</v>
      </c>
      <c r="D167" s="6" t="s">
        <v>1040</v>
      </c>
    </row>
    <row r="168" customFormat="false" ht="15" hidden="false" customHeight="false" outlineLevel="0" collapsed="false">
      <c r="A168" s="6" t="s">
        <v>332</v>
      </c>
      <c r="B168" s="6" t="s">
        <v>99</v>
      </c>
      <c r="C168" s="6" t="s">
        <v>932</v>
      </c>
      <c r="D168" s="6" t="s">
        <v>1041</v>
      </c>
    </row>
    <row r="169" customFormat="false" ht="15" hidden="false" customHeight="false" outlineLevel="0" collapsed="false">
      <c r="A169" s="6" t="s">
        <v>332</v>
      </c>
      <c r="B169" s="6" t="s">
        <v>62</v>
      </c>
      <c r="C169" s="6" t="s">
        <v>932</v>
      </c>
      <c r="D169" s="6" t="s">
        <v>1042</v>
      </c>
    </row>
    <row r="170" customFormat="false" ht="23.85" hidden="false" customHeight="false" outlineLevel="0" collapsed="false">
      <c r="A170" s="6" t="s">
        <v>332</v>
      </c>
      <c r="B170" s="6" t="s">
        <v>62</v>
      </c>
      <c r="C170" s="6" t="s">
        <v>932</v>
      </c>
      <c r="D170" s="6" t="s">
        <v>1043</v>
      </c>
    </row>
    <row r="171" customFormat="false" ht="23.85" hidden="false" customHeight="false" outlineLevel="0" collapsed="false">
      <c r="A171" s="6" t="s">
        <v>332</v>
      </c>
      <c r="B171" s="6" t="s">
        <v>62</v>
      </c>
      <c r="C171" s="6" t="s">
        <v>932</v>
      </c>
      <c r="D171" s="6" t="s">
        <v>322</v>
      </c>
    </row>
    <row r="172" customFormat="false" ht="23.85" hidden="false" customHeight="false" outlineLevel="0" collapsed="false">
      <c r="A172" s="6" t="s">
        <v>332</v>
      </c>
      <c r="B172" s="6" t="s">
        <v>75</v>
      </c>
      <c r="C172" s="6" t="s">
        <v>932</v>
      </c>
      <c r="D172" s="6" t="s">
        <v>1044</v>
      </c>
    </row>
    <row r="173" customFormat="false" ht="46.25" hidden="false" customHeight="false" outlineLevel="0" collapsed="false">
      <c r="A173" s="6" t="s">
        <v>332</v>
      </c>
      <c r="B173" s="6" t="s">
        <v>75</v>
      </c>
      <c r="C173" s="6" t="s">
        <v>932</v>
      </c>
      <c r="D173" s="6" t="s">
        <v>1045</v>
      </c>
    </row>
    <row r="174" customFormat="false" ht="57.45" hidden="false" customHeight="false" outlineLevel="0" collapsed="false">
      <c r="A174" s="6" t="s">
        <v>332</v>
      </c>
      <c r="B174" s="6" t="s">
        <v>75</v>
      </c>
      <c r="C174" s="6" t="s">
        <v>932</v>
      </c>
      <c r="D174" s="6" t="s">
        <v>1046</v>
      </c>
    </row>
    <row r="175" customFormat="false" ht="15" hidden="false" customHeight="false" outlineLevel="0" collapsed="false">
      <c r="A175" s="6" t="s">
        <v>332</v>
      </c>
      <c r="B175" s="6" t="s">
        <v>80</v>
      </c>
      <c r="C175" s="6" t="s">
        <v>932</v>
      </c>
      <c r="D175" s="6" t="s">
        <v>1047</v>
      </c>
    </row>
    <row r="176" customFormat="false" ht="46.25" hidden="false" customHeight="false" outlineLevel="0" collapsed="false">
      <c r="A176" s="6" t="s">
        <v>332</v>
      </c>
      <c r="B176" s="6" t="s">
        <v>80</v>
      </c>
      <c r="C176" s="6" t="s">
        <v>932</v>
      </c>
      <c r="D176" s="6" t="s">
        <v>335</v>
      </c>
    </row>
    <row r="177" customFormat="false" ht="23.85" hidden="false" customHeight="false" outlineLevel="0" collapsed="false">
      <c r="A177" s="6" t="s">
        <v>88</v>
      </c>
      <c r="B177" s="6" t="s">
        <v>86</v>
      </c>
      <c r="C177" s="6" t="s">
        <v>932</v>
      </c>
      <c r="D177" s="6" t="s">
        <v>1048</v>
      </c>
    </row>
    <row r="178" customFormat="false" ht="15" hidden="false" customHeight="false" outlineLevel="0" collapsed="false">
      <c r="A178" s="6" t="s">
        <v>88</v>
      </c>
      <c r="B178" s="6" t="s">
        <v>86</v>
      </c>
      <c r="C178" s="6" t="s">
        <v>932</v>
      </c>
      <c r="D178" s="6" t="s">
        <v>1049</v>
      </c>
    </row>
    <row r="179" customFormat="false" ht="23.85" hidden="false" customHeight="false" outlineLevel="0" collapsed="false">
      <c r="A179" s="6" t="s">
        <v>88</v>
      </c>
      <c r="B179" s="6" t="s">
        <v>86</v>
      </c>
      <c r="C179" s="6" t="s">
        <v>932</v>
      </c>
      <c r="D179" s="6" t="s">
        <v>1050</v>
      </c>
    </row>
    <row r="180" customFormat="false" ht="46.25" hidden="false" customHeight="false" outlineLevel="0" collapsed="false">
      <c r="A180" s="6" t="s">
        <v>88</v>
      </c>
      <c r="B180" s="6" t="s">
        <v>86</v>
      </c>
      <c r="C180" s="6" t="s">
        <v>932</v>
      </c>
      <c r="D180" s="6" t="s">
        <v>1051</v>
      </c>
    </row>
    <row r="181" customFormat="false" ht="35.05" hidden="false" customHeight="false" outlineLevel="0" collapsed="false">
      <c r="A181" s="6" t="s">
        <v>88</v>
      </c>
      <c r="B181" s="6" t="s">
        <v>86</v>
      </c>
      <c r="C181" s="6" t="s">
        <v>932</v>
      </c>
      <c r="D181" s="6" t="s">
        <v>1052</v>
      </c>
    </row>
    <row r="182" customFormat="false" ht="46.25" hidden="false" customHeight="false" outlineLevel="0" collapsed="false">
      <c r="A182" s="6" t="s">
        <v>88</v>
      </c>
      <c r="B182" s="6" t="s">
        <v>86</v>
      </c>
      <c r="C182" s="6" t="s">
        <v>932</v>
      </c>
      <c r="D182" s="6" t="s">
        <v>1053</v>
      </c>
    </row>
    <row r="183" customFormat="false" ht="35.05" hidden="false" customHeight="false" outlineLevel="0" collapsed="false">
      <c r="A183" s="6" t="s">
        <v>88</v>
      </c>
      <c r="B183" s="6" t="s">
        <v>86</v>
      </c>
      <c r="C183" s="6" t="s">
        <v>932</v>
      </c>
      <c r="D183" s="6" t="s">
        <v>1054</v>
      </c>
    </row>
    <row r="184" customFormat="false" ht="46.25" hidden="false" customHeight="false" outlineLevel="0" collapsed="false">
      <c r="A184" s="6" t="s">
        <v>88</v>
      </c>
      <c r="B184" s="6" t="s">
        <v>86</v>
      </c>
      <c r="C184" s="6" t="s">
        <v>932</v>
      </c>
      <c r="D184" s="6" t="s">
        <v>1055</v>
      </c>
    </row>
    <row r="185" customFormat="false" ht="15" hidden="false" customHeight="false" outlineLevel="0" collapsed="false">
      <c r="A185" s="6" t="s">
        <v>88</v>
      </c>
      <c r="B185" s="6" t="s">
        <v>86</v>
      </c>
      <c r="C185" s="6" t="s">
        <v>932</v>
      </c>
      <c r="D185" s="6" t="s">
        <v>1056</v>
      </c>
    </row>
    <row r="186" customFormat="false" ht="35.05" hidden="false" customHeight="false" outlineLevel="0" collapsed="false">
      <c r="A186" s="6" t="s">
        <v>88</v>
      </c>
      <c r="B186" s="6" t="s">
        <v>86</v>
      </c>
      <c r="C186" s="6" t="s">
        <v>932</v>
      </c>
      <c r="D186" s="6" t="s">
        <v>1057</v>
      </c>
    </row>
    <row r="187" customFormat="false" ht="35.05" hidden="false" customHeight="false" outlineLevel="0" collapsed="false">
      <c r="A187" s="6" t="s">
        <v>88</v>
      </c>
      <c r="B187" s="6" t="s">
        <v>86</v>
      </c>
      <c r="C187" s="6" t="s">
        <v>932</v>
      </c>
      <c r="D187" s="6" t="s">
        <v>1058</v>
      </c>
    </row>
    <row r="188" customFormat="false" ht="23.85" hidden="false" customHeight="false" outlineLevel="0" collapsed="false">
      <c r="A188" s="6" t="s">
        <v>88</v>
      </c>
      <c r="B188" s="6" t="s">
        <v>86</v>
      </c>
      <c r="C188" s="6" t="s">
        <v>932</v>
      </c>
      <c r="D188" s="6" t="s">
        <v>1059</v>
      </c>
    </row>
    <row r="189" customFormat="false" ht="23.85" hidden="false" customHeight="false" outlineLevel="0" collapsed="false">
      <c r="A189" s="6" t="s">
        <v>88</v>
      </c>
      <c r="B189" s="6" t="s">
        <v>86</v>
      </c>
      <c r="C189" s="6" t="s">
        <v>932</v>
      </c>
      <c r="D189" s="6" t="s">
        <v>1060</v>
      </c>
    </row>
    <row r="190" customFormat="false" ht="57.45" hidden="false" customHeight="false" outlineLevel="0" collapsed="false">
      <c r="A190" s="6" t="s">
        <v>88</v>
      </c>
      <c r="B190" s="6" t="s">
        <v>109</v>
      </c>
      <c r="C190" s="6" t="s">
        <v>932</v>
      </c>
      <c r="D190" s="6" t="s">
        <v>1011</v>
      </c>
    </row>
    <row r="191" customFormat="false" ht="15" hidden="false" customHeight="false" outlineLevel="0" collapsed="false">
      <c r="A191" s="6" t="s">
        <v>88</v>
      </c>
      <c r="B191" s="6" t="s">
        <v>146</v>
      </c>
      <c r="C191" s="6" t="s">
        <v>932</v>
      </c>
      <c r="D191" s="6" t="s">
        <v>1061</v>
      </c>
    </row>
    <row r="192" customFormat="false" ht="35.05" hidden="false" customHeight="false" outlineLevel="0" collapsed="false">
      <c r="A192" s="6" t="s">
        <v>88</v>
      </c>
      <c r="B192" s="6" t="s">
        <v>146</v>
      </c>
      <c r="C192" s="6" t="s">
        <v>932</v>
      </c>
      <c r="D192" s="6" t="s">
        <v>160</v>
      </c>
    </row>
    <row r="193" customFormat="false" ht="23.85" hidden="false" customHeight="false" outlineLevel="0" collapsed="false">
      <c r="A193" s="6" t="s">
        <v>88</v>
      </c>
      <c r="B193" s="6" t="s">
        <v>169</v>
      </c>
      <c r="C193" s="6" t="s">
        <v>932</v>
      </c>
      <c r="D193" s="6" t="s">
        <v>170</v>
      </c>
    </row>
    <row r="194" customFormat="false" ht="23.85" hidden="false" customHeight="false" outlineLevel="0" collapsed="false">
      <c r="A194" s="6" t="s">
        <v>88</v>
      </c>
      <c r="B194" s="6" t="s">
        <v>169</v>
      </c>
      <c r="C194" s="6" t="s">
        <v>1062</v>
      </c>
      <c r="D194" s="6" t="s">
        <v>1063</v>
      </c>
    </row>
    <row r="195" customFormat="false" ht="23.85" hidden="false" customHeight="false" outlineLevel="0" collapsed="false">
      <c r="A195" s="6" t="s">
        <v>88</v>
      </c>
      <c r="B195" s="6" t="s">
        <v>75</v>
      </c>
      <c r="C195" s="6" t="s">
        <v>932</v>
      </c>
      <c r="D195" s="6" t="s">
        <v>91</v>
      </c>
    </row>
    <row r="196" customFormat="false" ht="35.05" hidden="false" customHeight="false" outlineLevel="0" collapsed="false">
      <c r="A196" s="6" t="s">
        <v>139</v>
      </c>
      <c r="B196" s="6" t="s">
        <v>109</v>
      </c>
      <c r="C196" s="6" t="s">
        <v>932</v>
      </c>
      <c r="D196" s="6" t="s">
        <v>935</v>
      </c>
    </row>
    <row r="197" customFormat="false" ht="23.85" hidden="false" customHeight="false" outlineLevel="0" collapsed="false">
      <c r="A197" s="6" t="s">
        <v>139</v>
      </c>
      <c r="B197" s="6" t="s">
        <v>109</v>
      </c>
      <c r="C197" s="6" t="s">
        <v>932</v>
      </c>
      <c r="D197" s="6" t="s">
        <v>991</v>
      </c>
    </row>
    <row r="198" customFormat="false" ht="46.25" hidden="false" customHeight="false" outlineLevel="0" collapsed="false">
      <c r="A198" s="6" t="s">
        <v>139</v>
      </c>
      <c r="B198" s="6" t="s">
        <v>109</v>
      </c>
      <c r="C198" s="6" t="s">
        <v>932</v>
      </c>
      <c r="D198" s="6" t="s">
        <v>992</v>
      </c>
    </row>
    <row r="199" customFormat="false" ht="35.05" hidden="false" customHeight="false" outlineLevel="0" collapsed="false">
      <c r="A199" s="6" t="s">
        <v>139</v>
      </c>
      <c r="B199" s="6" t="s">
        <v>229</v>
      </c>
      <c r="C199" s="6" t="s">
        <v>932</v>
      </c>
      <c r="D199" s="6" t="s">
        <v>1064</v>
      </c>
    </row>
    <row r="200" customFormat="false" ht="23.85" hidden="false" customHeight="false" outlineLevel="0" collapsed="false">
      <c r="A200" s="6" t="s">
        <v>139</v>
      </c>
      <c r="B200" s="6" t="s">
        <v>229</v>
      </c>
      <c r="C200" s="6" t="s">
        <v>932</v>
      </c>
      <c r="D200" s="6" t="s">
        <v>1065</v>
      </c>
    </row>
    <row r="201" customFormat="false" ht="15" hidden="false" customHeight="false" outlineLevel="0" collapsed="false">
      <c r="A201" s="6" t="s">
        <v>139</v>
      </c>
      <c r="B201" s="6" t="s">
        <v>330</v>
      </c>
      <c r="C201" s="6" t="s">
        <v>932</v>
      </c>
      <c r="D201" s="6" t="s">
        <v>1066</v>
      </c>
    </row>
    <row r="202" customFormat="false" ht="23.85" hidden="false" customHeight="false" outlineLevel="0" collapsed="false">
      <c r="A202" s="6" t="s">
        <v>139</v>
      </c>
      <c r="B202" s="6" t="s">
        <v>330</v>
      </c>
      <c r="C202" s="6" t="s">
        <v>932</v>
      </c>
      <c r="D202" s="6" t="s">
        <v>1067</v>
      </c>
    </row>
    <row r="203" customFormat="false" ht="46.25" hidden="false" customHeight="false" outlineLevel="0" collapsed="false">
      <c r="A203" s="6" t="s">
        <v>139</v>
      </c>
      <c r="B203" s="6" t="s">
        <v>330</v>
      </c>
      <c r="C203" s="6" t="s">
        <v>932</v>
      </c>
      <c r="D203" s="6" t="s">
        <v>1068</v>
      </c>
    </row>
    <row r="204" customFormat="false" ht="23.85" hidden="false" customHeight="false" outlineLevel="0" collapsed="false">
      <c r="A204" s="6" t="s">
        <v>139</v>
      </c>
      <c r="B204" s="6" t="s">
        <v>168</v>
      </c>
      <c r="C204" s="6" t="s">
        <v>932</v>
      </c>
      <c r="D204" s="6" t="s">
        <v>1069</v>
      </c>
    </row>
    <row r="205" customFormat="false" ht="35.05" hidden="false" customHeight="false" outlineLevel="0" collapsed="false">
      <c r="A205" s="6" t="s">
        <v>139</v>
      </c>
      <c r="B205" s="6" t="s">
        <v>168</v>
      </c>
      <c r="C205" s="6" t="s">
        <v>932</v>
      </c>
      <c r="D205" s="6" t="s">
        <v>1070</v>
      </c>
    </row>
    <row r="206" customFormat="false" ht="35.05" hidden="false" customHeight="false" outlineLevel="0" collapsed="false">
      <c r="A206" s="6" t="s">
        <v>139</v>
      </c>
      <c r="B206" s="6" t="s">
        <v>168</v>
      </c>
      <c r="C206" s="6" t="s">
        <v>932</v>
      </c>
      <c r="D206" s="6" t="s">
        <v>1071</v>
      </c>
    </row>
    <row r="207" customFormat="false" ht="46.25" hidden="false" customHeight="false" outlineLevel="0" collapsed="false">
      <c r="A207" s="6" t="s">
        <v>139</v>
      </c>
      <c r="B207" s="6" t="s">
        <v>168</v>
      </c>
      <c r="C207" s="6" t="s">
        <v>932</v>
      </c>
      <c r="D207" s="6" t="s">
        <v>267</v>
      </c>
    </row>
    <row r="208" customFormat="false" ht="23.85" hidden="false" customHeight="false" outlineLevel="0" collapsed="false">
      <c r="A208" s="6" t="s">
        <v>139</v>
      </c>
      <c r="B208" s="6" t="s">
        <v>168</v>
      </c>
      <c r="C208" s="6" t="s">
        <v>932</v>
      </c>
      <c r="D208" s="6" t="s">
        <v>1072</v>
      </c>
    </row>
    <row r="209" customFormat="false" ht="46.25" hidden="false" customHeight="false" outlineLevel="0" collapsed="false">
      <c r="A209" s="6" t="s">
        <v>139</v>
      </c>
      <c r="B209" s="6" t="s">
        <v>168</v>
      </c>
      <c r="C209" s="6" t="s">
        <v>932</v>
      </c>
      <c r="D209" s="6" t="s">
        <v>1073</v>
      </c>
    </row>
    <row r="210" customFormat="false" ht="23.85" hidden="false" customHeight="false" outlineLevel="0" collapsed="false">
      <c r="A210" s="6" t="s">
        <v>139</v>
      </c>
      <c r="B210" s="6" t="s">
        <v>168</v>
      </c>
      <c r="C210" s="6" t="s">
        <v>932</v>
      </c>
      <c r="D210" s="6" t="s">
        <v>1074</v>
      </c>
    </row>
    <row r="211" customFormat="false" ht="35.05" hidden="false" customHeight="false" outlineLevel="0" collapsed="false">
      <c r="A211" s="6" t="s">
        <v>139</v>
      </c>
      <c r="B211" s="6" t="s">
        <v>168</v>
      </c>
      <c r="C211" s="6" t="s">
        <v>932</v>
      </c>
      <c r="D211" s="6" t="s">
        <v>1075</v>
      </c>
    </row>
    <row r="212" customFormat="false" ht="35.05" hidden="false" customHeight="false" outlineLevel="0" collapsed="false">
      <c r="A212" s="6" t="s">
        <v>139</v>
      </c>
      <c r="B212" s="6" t="s">
        <v>190</v>
      </c>
      <c r="C212" s="6" t="s">
        <v>932</v>
      </c>
      <c r="D212" s="6" t="s">
        <v>1076</v>
      </c>
    </row>
    <row r="213" customFormat="false" ht="35.05" hidden="false" customHeight="false" outlineLevel="0" collapsed="false">
      <c r="A213" s="6" t="s">
        <v>139</v>
      </c>
      <c r="B213" s="6" t="s">
        <v>190</v>
      </c>
      <c r="C213" s="6" t="s">
        <v>932</v>
      </c>
      <c r="D213" s="6" t="s">
        <v>1077</v>
      </c>
    </row>
    <row r="214" customFormat="false" ht="23.85" hidden="false" customHeight="false" outlineLevel="0" collapsed="false">
      <c r="A214" s="6" t="s">
        <v>139</v>
      </c>
      <c r="B214" s="6" t="s">
        <v>190</v>
      </c>
      <c r="C214" s="6" t="s">
        <v>932</v>
      </c>
      <c r="D214" s="6" t="s">
        <v>1078</v>
      </c>
    </row>
    <row r="215" customFormat="false" ht="23.85" hidden="false" customHeight="false" outlineLevel="0" collapsed="false">
      <c r="A215" s="6" t="s">
        <v>139</v>
      </c>
      <c r="B215" s="6" t="s">
        <v>146</v>
      </c>
      <c r="C215" s="6" t="s">
        <v>932</v>
      </c>
      <c r="D215" s="6" t="s">
        <v>1079</v>
      </c>
    </row>
    <row r="216" customFormat="false" ht="23.85" hidden="false" customHeight="false" outlineLevel="0" collapsed="false">
      <c r="A216" s="6" t="s">
        <v>139</v>
      </c>
      <c r="B216" s="6" t="s">
        <v>146</v>
      </c>
      <c r="C216" s="6" t="s">
        <v>932</v>
      </c>
      <c r="D216" s="6" t="s">
        <v>954</v>
      </c>
    </row>
    <row r="217" customFormat="false" ht="23.85" hidden="false" customHeight="false" outlineLevel="0" collapsed="false">
      <c r="A217" s="6" t="s">
        <v>139</v>
      </c>
      <c r="B217" s="6" t="s">
        <v>146</v>
      </c>
      <c r="C217" s="6" t="s">
        <v>932</v>
      </c>
      <c r="D217" s="6" t="s">
        <v>993</v>
      </c>
    </row>
    <row r="218" customFormat="false" ht="23.85" hidden="false" customHeight="false" outlineLevel="0" collapsed="false">
      <c r="A218" s="6" t="s">
        <v>139</v>
      </c>
      <c r="B218" s="6" t="s">
        <v>146</v>
      </c>
      <c r="C218" s="6" t="s">
        <v>932</v>
      </c>
      <c r="D218" s="6" t="s">
        <v>255</v>
      </c>
    </row>
    <row r="219" customFormat="false" ht="35.05" hidden="false" customHeight="false" outlineLevel="0" collapsed="false">
      <c r="A219" s="6" t="s">
        <v>139</v>
      </c>
      <c r="B219" s="6" t="s">
        <v>146</v>
      </c>
      <c r="C219" s="6" t="s">
        <v>932</v>
      </c>
      <c r="D219" s="6" t="s">
        <v>1080</v>
      </c>
    </row>
    <row r="220" customFormat="false" ht="23.85" hidden="false" customHeight="false" outlineLevel="0" collapsed="false">
      <c r="A220" s="6" t="s">
        <v>139</v>
      </c>
      <c r="B220" s="6" t="s">
        <v>146</v>
      </c>
      <c r="C220" s="6" t="s">
        <v>932</v>
      </c>
      <c r="D220" s="6" t="s">
        <v>1081</v>
      </c>
    </row>
    <row r="221" customFormat="false" ht="35.05" hidden="false" customHeight="false" outlineLevel="0" collapsed="false">
      <c r="A221" s="6" t="s">
        <v>139</v>
      </c>
      <c r="B221" s="6" t="s">
        <v>146</v>
      </c>
      <c r="C221" s="6" t="s">
        <v>932</v>
      </c>
      <c r="D221" s="6" t="s">
        <v>1082</v>
      </c>
    </row>
    <row r="222" customFormat="false" ht="15" hidden="false" customHeight="false" outlineLevel="0" collapsed="false">
      <c r="A222" s="6" t="s">
        <v>139</v>
      </c>
      <c r="B222" s="6" t="s">
        <v>146</v>
      </c>
      <c r="C222" s="6" t="s">
        <v>932</v>
      </c>
      <c r="D222" s="6" t="s">
        <v>1083</v>
      </c>
    </row>
    <row r="223" customFormat="false" ht="23.85" hidden="false" customHeight="false" outlineLevel="0" collapsed="false">
      <c r="A223" s="6" t="s">
        <v>139</v>
      </c>
      <c r="B223" s="6" t="s">
        <v>146</v>
      </c>
      <c r="C223" s="6" t="s">
        <v>932</v>
      </c>
      <c r="D223" s="6" t="s">
        <v>1084</v>
      </c>
    </row>
    <row r="224" customFormat="false" ht="35.05" hidden="false" customHeight="false" outlineLevel="0" collapsed="false">
      <c r="A224" s="6" t="s">
        <v>139</v>
      </c>
      <c r="B224" s="6" t="s">
        <v>62</v>
      </c>
      <c r="C224" s="6" t="s">
        <v>932</v>
      </c>
      <c r="D224" s="6" t="s">
        <v>142</v>
      </c>
    </row>
    <row r="225" customFormat="false" ht="23.85" hidden="false" customHeight="false" outlineLevel="0" collapsed="false">
      <c r="A225" s="6" t="s">
        <v>268</v>
      </c>
      <c r="B225" s="6" t="s">
        <v>86</v>
      </c>
      <c r="C225" s="6" t="s">
        <v>932</v>
      </c>
      <c r="D225" s="6" t="s">
        <v>1048</v>
      </c>
    </row>
    <row r="226" customFormat="false" ht="46.25" hidden="false" customHeight="false" outlineLevel="0" collapsed="false">
      <c r="A226" s="6" t="s">
        <v>268</v>
      </c>
      <c r="B226" s="6" t="s">
        <v>86</v>
      </c>
      <c r="C226" s="6" t="s">
        <v>932</v>
      </c>
      <c r="D226" s="6" t="s">
        <v>1003</v>
      </c>
    </row>
    <row r="227" customFormat="false" ht="23.85" hidden="false" customHeight="false" outlineLevel="0" collapsed="false">
      <c r="A227" s="6" t="s">
        <v>268</v>
      </c>
      <c r="B227" s="6" t="s">
        <v>86</v>
      </c>
      <c r="C227" s="6" t="s">
        <v>932</v>
      </c>
      <c r="D227" s="6" t="s">
        <v>1085</v>
      </c>
    </row>
    <row r="228" customFormat="false" ht="23.85" hidden="false" customHeight="false" outlineLevel="0" collapsed="false">
      <c r="A228" s="6" t="s">
        <v>268</v>
      </c>
      <c r="B228" s="6" t="s">
        <v>86</v>
      </c>
      <c r="C228" s="6" t="s">
        <v>932</v>
      </c>
      <c r="D228" s="6" t="s">
        <v>1050</v>
      </c>
    </row>
    <row r="229" customFormat="false" ht="35.05" hidden="false" customHeight="false" outlineLevel="0" collapsed="false">
      <c r="A229" s="6" t="s">
        <v>268</v>
      </c>
      <c r="B229" s="6" t="s">
        <v>86</v>
      </c>
      <c r="C229" s="6" t="s">
        <v>932</v>
      </c>
      <c r="D229" s="6" t="s">
        <v>1057</v>
      </c>
    </row>
    <row r="230" customFormat="false" ht="23.85" hidden="false" customHeight="false" outlineLevel="0" collapsed="false">
      <c r="A230" s="6" t="s">
        <v>268</v>
      </c>
      <c r="B230" s="6" t="s">
        <v>86</v>
      </c>
      <c r="C230" s="6" t="s">
        <v>932</v>
      </c>
      <c r="D230" s="6" t="s">
        <v>1059</v>
      </c>
    </row>
    <row r="231" customFormat="false" ht="23.85" hidden="false" customHeight="false" outlineLevel="0" collapsed="false">
      <c r="A231" s="6" t="s">
        <v>268</v>
      </c>
      <c r="B231" s="6" t="s">
        <v>86</v>
      </c>
      <c r="C231" s="6" t="s">
        <v>932</v>
      </c>
      <c r="D231" s="6" t="s">
        <v>1060</v>
      </c>
    </row>
    <row r="232" customFormat="false" ht="23.85" hidden="false" customHeight="false" outlineLevel="0" collapsed="false">
      <c r="A232" s="6" t="s">
        <v>268</v>
      </c>
      <c r="B232" s="6" t="s">
        <v>95</v>
      </c>
      <c r="C232" s="6" t="s">
        <v>932</v>
      </c>
      <c r="D232" s="6" t="s">
        <v>295</v>
      </c>
    </row>
    <row r="233" customFormat="false" ht="15" hidden="false" customHeight="false" outlineLevel="0" collapsed="false">
      <c r="A233" s="6" t="s">
        <v>268</v>
      </c>
      <c r="B233" s="6" t="s">
        <v>95</v>
      </c>
      <c r="C233" s="6" t="s">
        <v>932</v>
      </c>
      <c r="D233" s="6" t="s">
        <v>1086</v>
      </c>
    </row>
    <row r="234" customFormat="false" ht="23.85" hidden="false" customHeight="false" outlineLevel="0" collapsed="false">
      <c r="A234" s="6" t="s">
        <v>268</v>
      </c>
      <c r="B234" s="6" t="s">
        <v>229</v>
      </c>
      <c r="C234" s="6" t="s">
        <v>932</v>
      </c>
      <c r="D234" s="6" t="s">
        <v>276</v>
      </c>
    </row>
    <row r="235" customFormat="false" ht="23.85" hidden="false" customHeight="false" outlineLevel="0" collapsed="false">
      <c r="A235" s="6" t="s">
        <v>268</v>
      </c>
      <c r="B235" s="6" t="s">
        <v>169</v>
      </c>
      <c r="C235" s="6" t="s">
        <v>932</v>
      </c>
      <c r="D235" s="6" t="s">
        <v>272</v>
      </c>
    </row>
    <row r="236" customFormat="false" ht="15" hidden="false" customHeight="false" outlineLevel="0" collapsed="false">
      <c r="A236" s="6" t="s">
        <v>268</v>
      </c>
      <c r="B236" s="6" t="s">
        <v>169</v>
      </c>
      <c r="C236" s="6" t="s">
        <v>932</v>
      </c>
      <c r="D236" s="6" t="s">
        <v>1087</v>
      </c>
    </row>
    <row r="237" customFormat="false" ht="23.85" hidden="false" customHeight="false" outlineLevel="0" collapsed="false">
      <c r="A237" s="6" t="s">
        <v>291</v>
      </c>
      <c r="B237" s="6" t="s">
        <v>61</v>
      </c>
      <c r="C237" s="6" t="s">
        <v>932</v>
      </c>
      <c r="D237" s="6" t="s">
        <v>1088</v>
      </c>
    </row>
    <row r="238" customFormat="false" ht="35.05" hidden="false" customHeight="false" outlineLevel="0" collapsed="false">
      <c r="A238" s="6" t="s">
        <v>291</v>
      </c>
      <c r="B238" s="6" t="s">
        <v>109</v>
      </c>
      <c r="C238" s="6" t="s">
        <v>932</v>
      </c>
      <c r="D238" s="6" t="s">
        <v>1089</v>
      </c>
    </row>
    <row r="239" customFormat="false" ht="23.85" hidden="false" customHeight="false" outlineLevel="0" collapsed="false">
      <c r="A239" s="6" t="s">
        <v>291</v>
      </c>
      <c r="B239" s="6" t="s">
        <v>95</v>
      </c>
      <c r="C239" s="6" t="s">
        <v>932</v>
      </c>
      <c r="D239" s="6" t="s">
        <v>295</v>
      </c>
    </row>
    <row r="240" customFormat="false" ht="15" hidden="false" customHeight="false" outlineLevel="0" collapsed="false">
      <c r="A240" s="6" t="s">
        <v>291</v>
      </c>
      <c r="B240" s="6" t="s">
        <v>95</v>
      </c>
      <c r="C240" s="6" t="s">
        <v>932</v>
      </c>
      <c r="D240" s="6" t="s">
        <v>1090</v>
      </c>
    </row>
    <row r="241" customFormat="false" ht="23.85" hidden="false" customHeight="false" outlineLevel="0" collapsed="false">
      <c r="A241" s="6" t="s">
        <v>92</v>
      </c>
      <c r="B241" s="6" t="s">
        <v>95</v>
      </c>
      <c r="C241" s="6" t="s">
        <v>932</v>
      </c>
      <c r="D241" s="6" t="s">
        <v>1091</v>
      </c>
    </row>
    <row r="242" customFormat="false" ht="23.85" hidden="false" customHeight="false" outlineLevel="0" collapsed="false">
      <c r="A242" s="6" t="s">
        <v>92</v>
      </c>
      <c r="B242" s="6" t="s">
        <v>168</v>
      </c>
      <c r="C242" s="6" t="s">
        <v>932</v>
      </c>
      <c r="D242" s="6" t="s">
        <v>596</v>
      </c>
    </row>
    <row r="243" customFormat="false" ht="15" hidden="false" customHeight="false" outlineLevel="0" collapsed="false">
      <c r="A243" s="6" t="s">
        <v>92</v>
      </c>
      <c r="B243" s="6" t="s">
        <v>146</v>
      </c>
      <c r="C243" s="6" t="s">
        <v>932</v>
      </c>
      <c r="D243" s="6" t="s">
        <v>1092</v>
      </c>
    </row>
    <row r="244" customFormat="false" ht="23.85" hidden="false" customHeight="false" outlineLevel="0" collapsed="false">
      <c r="A244" s="6" t="s">
        <v>92</v>
      </c>
      <c r="B244" s="6" t="s">
        <v>146</v>
      </c>
      <c r="C244" s="6" t="s">
        <v>932</v>
      </c>
      <c r="D244" s="6" t="s">
        <v>993</v>
      </c>
    </row>
    <row r="245" customFormat="false" ht="23.85" hidden="false" customHeight="false" outlineLevel="0" collapsed="false">
      <c r="A245" s="6" t="s">
        <v>92</v>
      </c>
      <c r="B245" s="6" t="s">
        <v>75</v>
      </c>
      <c r="C245" s="6" t="s">
        <v>932</v>
      </c>
      <c r="D245" s="6" t="s">
        <v>91</v>
      </c>
    </row>
    <row r="246" customFormat="false" ht="191.75" hidden="false" customHeight="false" outlineLevel="0" collapsed="false">
      <c r="A246" s="6" t="s">
        <v>296</v>
      </c>
      <c r="B246" s="6" t="s">
        <v>60</v>
      </c>
      <c r="C246" s="6" t="s">
        <v>1093</v>
      </c>
      <c r="D246" s="6" t="s">
        <v>1094</v>
      </c>
    </row>
    <row r="247" customFormat="false" ht="158.2" hidden="false" customHeight="false" outlineLevel="0" collapsed="false">
      <c r="A247" s="6" t="s">
        <v>296</v>
      </c>
      <c r="B247" s="6" t="s">
        <v>60</v>
      </c>
      <c r="C247" s="6" t="s">
        <v>1095</v>
      </c>
      <c r="D247" s="6" t="s">
        <v>1096</v>
      </c>
    </row>
    <row r="248" customFormat="false" ht="23.85" hidden="false" customHeight="false" outlineLevel="0" collapsed="false">
      <c r="A248" s="6" t="s">
        <v>192</v>
      </c>
      <c r="B248" s="6" t="s">
        <v>80</v>
      </c>
      <c r="C248" s="6" t="s">
        <v>932</v>
      </c>
      <c r="D248" s="6" t="s">
        <v>220</v>
      </c>
    </row>
    <row r="249" customFormat="false" ht="23.85" hidden="false" customHeight="false" outlineLevel="0" collapsed="false">
      <c r="A249" s="6" t="s">
        <v>192</v>
      </c>
      <c r="B249" s="6" t="s">
        <v>80</v>
      </c>
      <c r="C249" s="6" t="s">
        <v>932</v>
      </c>
      <c r="D249" s="6" t="s">
        <v>1097</v>
      </c>
    </row>
    <row r="250" customFormat="false" ht="35.05" hidden="false" customHeight="false" outlineLevel="0" collapsed="false">
      <c r="A250" s="6" t="s">
        <v>192</v>
      </c>
      <c r="B250" s="6" t="s">
        <v>80</v>
      </c>
      <c r="C250" s="6" t="s">
        <v>932</v>
      </c>
      <c r="D250" s="6" t="s">
        <v>195</v>
      </c>
    </row>
    <row r="251" customFormat="false" ht="247.75" hidden="false" customHeight="false" outlineLevel="0" collapsed="false">
      <c r="A251" s="6" t="s">
        <v>192</v>
      </c>
      <c r="B251" s="6" t="s">
        <v>80</v>
      </c>
      <c r="C251" s="6" t="s">
        <v>944</v>
      </c>
      <c r="D251" s="6" t="s">
        <v>945</v>
      </c>
    </row>
    <row r="252" customFormat="false" ht="191.75" hidden="false" customHeight="false" outlineLevel="0" collapsed="false">
      <c r="A252" s="6" t="s">
        <v>192</v>
      </c>
      <c r="B252" s="6" t="s">
        <v>60</v>
      </c>
      <c r="C252" s="6" t="s">
        <v>1093</v>
      </c>
      <c r="D252" s="6" t="s">
        <v>1094</v>
      </c>
    </row>
    <row r="253" customFormat="false" ht="158.2" hidden="false" customHeight="false" outlineLevel="0" collapsed="false">
      <c r="A253" s="6" t="s">
        <v>192</v>
      </c>
      <c r="B253" s="6" t="s">
        <v>60</v>
      </c>
      <c r="C253" s="6" t="s">
        <v>1095</v>
      </c>
      <c r="D253" s="6" t="s">
        <v>1096</v>
      </c>
    </row>
    <row r="254" customFormat="false" ht="35.05" hidden="false" customHeight="false" outlineLevel="0" collapsed="false">
      <c r="A254" s="6" t="s">
        <v>505</v>
      </c>
      <c r="B254" s="6" t="s">
        <v>62</v>
      </c>
      <c r="C254" s="6" t="s">
        <v>932</v>
      </c>
      <c r="D254" s="6" t="s">
        <v>1098</v>
      </c>
    </row>
    <row r="255" customFormat="false" ht="15" hidden="false" customHeight="false" outlineLevel="0" collapsed="false">
      <c r="A255" s="6" t="s">
        <v>505</v>
      </c>
      <c r="B255" s="6" t="s">
        <v>62</v>
      </c>
      <c r="C255" s="6" t="s">
        <v>932</v>
      </c>
      <c r="D255" s="6" t="s">
        <v>1099</v>
      </c>
    </row>
    <row r="256" customFormat="false" ht="23.85" hidden="false" customHeight="false" outlineLevel="0" collapsed="false">
      <c r="A256" s="6" t="s">
        <v>505</v>
      </c>
      <c r="B256" s="6" t="s">
        <v>62</v>
      </c>
      <c r="C256" s="6" t="s">
        <v>932</v>
      </c>
      <c r="D256" s="6" t="s">
        <v>509</v>
      </c>
    </row>
    <row r="257" customFormat="false" ht="68.65" hidden="false" customHeight="false" outlineLevel="0" collapsed="false">
      <c r="A257" s="6" t="s">
        <v>510</v>
      </c>
      <c r="B257" s="6" t="s">
        <v>229</v>
      </c>
      <c r="C257" s="6" t="s">
        <v>932</v>
      </c>
      <c r="D257" s="6" t="s">
        <v>230</v>
      </c>
    </row>
    <row r="258" customFormat="false" ht="23.85" hidden="false" customHeight="false" outlineLevel="0" collapsed="false">
      <c r="A258" s="6" t="s">
        <v>510</v>
      </c>
      <c r="B258" s="6" t="s">
        <v>229</v>
      </c>
      <c r="C258" s="6" t="s">
        <v>932</v>
      </c>
      <c r="D258" s="6" t="s">
        <v>513</v>
      </c>
    </row>
    <row r="259" customFormat="false" ht="15" hidden="false" customHeight="false" outlineLevel="0" collapsed="false">
      <c r="A259" s="6" t="s">
        <v>510</v>
      </c>
      <c r="B259" s="6" t="s">
        <v>169</v>
      </c>
      <c r="C259" s="6" t="s">
        <v>932</v>
      </c>
      <c r="D259" s="6" t="s">
        <v>1100</v>
      </c>
    </row>
    <row r="260" customFormat="false" ht="23.85" hidden="false" customHeight="false" outlineLevel="0" collapsed="false">
      <c r="A260" s="6" t="s">
        <v>336</v>
      </c>
      <c r="B260" s="6" t="s">
        <v>86</v>
      </c>
      <c r="C260" s="6" t="s">
        <v>932</v>
      </c>
      <c r="D260" s="6" t="s">
        <v>1101</v>
      </c>
    </row>
    <row r="261" customFormat="false" ht="23.85" hidden="false" customHeight="false" outlineLevel="0" collapsed="false">
      <c r="A261" s="6" t="s">
        <v>336</v>
      </c>
      <c r="B261" s="6" t="s">
        <v>86</v>
      </c>
      <c r="C261" s="6" t="s">
        <v>932</v>
      </c>
      <c r="D261" s="6" t="s">
        <v>1102</v>
      </c>
    </row>
    <row r="262" customFormat="false" ht="35.05" hidden="false" customHeight="false" outlineLevel="0" collapsed="false">
      <c r="A262" s="6" t="s">
        <v>336</v>
      </c>
      <c r="B262" s="6" t="s">
        <v>86</v>
      </c>
      <c r="C262" s="6" t="s">
        <v>932</v>
      </c>
      <c r="D262" s="6" t="s">
        <v>1103</v>
      </c>
    </row>
    <row r="263" customFormat="false" ht="57.45" hidden="false" customHeight="false" outlineLevel="0" collapsed="false">
      <c r="A263" s="6" t="s">
        <v>336</v>
      </c>
      <c r="B263" s="6" t="s">
        <v>86</v>
      </c>
      <c r="C263" s="6" t="s">
        <v>932</v>
      </c>
      <c r="D263" s="6" t="s">
        <v>1104</v>
      </c>
    </row>
    <row r="264" customFormat="false" ht="23.85" hidden="false" customHeight="false" outlineLevel="0" collapsed="false">
      <c r="A264" s="6" t="s">
        <v>336</v>
      </c>
      <c r="B264" s="6" t="s">
        <v>86</v>
      </c>
      <c r="C264" s="6" t="s">
        <v>932</v>
      </c>
      <c r="D264" s="6" t="s">
        <v>1105</v>
      </c>
    </row>
    <row r="265" customFormat="false" ht="15" hidden="false" customHeight="false" outlineLevel="0" collapsed="false">
      <c r="A265" s="6" t="s">
        <v>336</v>
      </c>
      <c r="B265" s="6" t="s">
        <v>109</v>
      </c>
      <c r="C265" s="6" t="s">
        <v>932</v>
      </c>
      <c r="D265" s="6" t="s">
        <v>1106</v>
      </c>
    </row>
    <row r="266" customFormat="false" ht="35.05" hidden="false" customHeight="false" outlineLevel="0" collapsed="false">
      <c r="A266" s="6" t="s">
        <v>336</v>
      </c>
      <c r="B266" s="6" t="s">
        <v>109</v>
      </c>
      <c r="C266" s="6" t="s">
        <v>932</v>
      </c>
      <c r="D266" s="6" t="s">
        <v>1107</v>
      </c>
    </row>
    <row r="267" customFormat="false" ht="23.85" hidden="false" customHeight="false" outlineLevel="0" collapsed="false">
      <c r="A267" s="6" t="s">
        <v>336</v>
      </c>
      <c r="B267" s="6" t="s">
        <v>109</v>
      </c>
      <c r="C267" s="6" t="s">
        <v>932</v>
      </c>
      <c r="D267" s="6" t="s">
        <v>1108</v>
      </c>
    </row>
    <row r="268" customFormat="false" ht="35.05" hidden="false" customHeight="false" outlineLevel="0" collapsed="false">
      <c r="A268" s="6" t="s">
        <v>336</v>
      </c>
      <c r="B268" s="6" t="s">
        <v>109</v>
      </c>
      <c r="C268" s="6" t="s">
        <v>932</v>
      </c>
      <c r="D268" s="6" t="s">
        <v>934</v>
      </c>
    </row>
    <row r="269" customFormat="false" ht="23.85" hidden="false" customHeight="false" outlineLevel="0" collapsed="false">
      <c r="A269" s="6" t="s">
        <v>336</v>
      </c>
      <c r="B269" s="6" t="s">
        <v>109</v>
      </c>
      <c r="C269" s="6" t="s">
        <v>932</v>
      </c>
      <c r="D269" s="6" t="s">
        <v>1109</v>
      </c>
    </row>
    <row r="270" customFormat="false" ht="35.05" hidden="false" customHeight="false" outlineLevel="0" collapsed="false">
      <c r="A270" s="6" t="s">
        <v>336</v>
      </c>
      <c r="B270" s="6" t="s">
        <v>109</v>
      </c>
      <c r="C270" s="6" t="s">
        <v>932</v>
      </c>
      <c r="D270" s="6" t="s">
        <v>1089</v>
      </c>
    </row>
    <row r="271" customFormat="false" ht="23.85" hidden="false" customHeight="false" outlineLevel="0" collapsed="false">
      <c r="A271" s="6" t="s">
        <v>336</v>
      </c>
      <c r="B271" s="6" t="s">
        <v>146</v>
      </c>
      <c r="C271" s="6" t="s">
        <v>932</v>
      </c>
      <c r="D271" s="6" t="s">
        <v>339</v>
      </c>
    </row>
    <row r="272" customFormat="false" ht="35.05" hidden="false" customHeight="false" outlineLevel="0" collapsed="false">
      <c r="A272" s="6" t="s">
        <v>336</v>
      </c>
      <c r="B272" s="6" t="s">
        <v>80</v>
      </c>
      <c r="C272" s="6" t="s">
        <v>1110</v>
      </c>
      <c r="D272" s="6" t="s">
        <v>1111</v>
      </c>
    </row>
    <row r="273" customFormat="false" ht="23.85" hidden="false" customHeight="false" outlineLevel="0" collapsed="false">
      <c r="A273" s="6" t="s">
        <v>514</v>
      </c>
      <c r="B273" s="6" t="s">
        <v>75</v>
      </c>
      <c r="C273" s="6" t="s">
        <v>932</v>
      </c>
      <c r="D273" s="6" t="s">
        <v>517</v>
      </c>
    </row>
    <row r="274" customFormat="false" ht="15" hidden="false" customHeight="false" outlineLevel="0" collapsed="false">
      <c r="A274" s="6" t="s">
        <v>514</v>
      </c>
      <c r="B274" s="6" t="s">
        <v>75</v>
      </c>
      <c r="C274" s="6" t="s">
        <v>932</v>
      </c>
      <c r="D274" s="6" t="s">
        <v>1112</v>
      </c>
    </row>
    <row r="275" customFormat="false" ht="23.85" hidden="false" customHeight="false" outlineLevel="0" collapsed="false">
      <c r="A275" s="6" t="s">
        <v>247</v>
      </c>
      <c r="B275" s="6" t="s">
        <v>86</v>
      </c>
      <c r="C275" s="6" t="s">
        <v>932</v>
      </c>
      <c r="D275" s="6" t="s">
        <v>251</v>
      </c>
    </row>
    <row r="276" customFormat="false" ht="23.85" hidden="false" customHeight="false" outlineLevel="0" collapsed="false">
      <c r="A276" s="6" t="s">
        <v>416</v>
      </c>
      <c r="B276" s="6" t="s">
        <v>229</v>
      </c>
      <c r="C276" s="6" t="s">
        <v>932</v>
      </c>
      <c r="D276" s="6" t="s">
        <v>939</v>
      </c>
    </row>
    <row r="277" customFormat="false" ht="15" hidden="false" customHeight="false" outlineLevel="0" collapsed="false">
      <c r="A277" s="6" t="s">
        <v>416</v>
      </c>
      <c r="B277" s="6" t="s">
        <v>229</v>
      </c>
      <c r="C277" s="6" t="s">
        <v>932</v>
      </c>
      <c r="D277" s="6" t="s">
        <v>1035</v>
      </c>
    </row>
    <row r="278" customFormat="false" ht="15" hidden="false" customHeight="false" outlineLevel="0" collapsed="false">
      <c r="A278" s="6" t="s">
        <v>416</v>
      </c>
      <c r="B278" s="6" t="s">
        <v>229</v>
      </c>
      <c r="C278" s="6" t="s">
        <v>932</v>
      </c>
      <c r="D278" s="6" t="s">
        <v>1113</v>
      </c>
    </row>
    <row r="279" customFormat="false" ht="57.45" hidden="false" customHeight="false" outlineLevel="0" collapsed="false">
      <c r="A279" s="6" t="s">
        <v>416</v>
      </c>
      <c r="B279" s="6" t="s">
        <v>229</v>
      </c>
      <c r="C279" s="6" t="s">
        <v>932</v>
      </c>
      <c r="D279" s="6" t="s">
        <v>532</v>
      </c>
    </row>
    <row r="280" customFormat="false" ht="35.05" hidden="false" customHeight="false" outlineLevel="0" collapsed="false">
      <c r="A280" s="6" t="s">
        <v>416</v>
      </c>
      <c r="B280" s="6" t="s">
        <v>229</v>
      </c>
      <c r="C280" s="6" t="s">
        <v>932</v>
      </c>
      <c r="D280" s="6" t="s">
        <v>1036</v>
      </c>
    </row>
    <row r="281" customFormat="false" ht="35.05" hidden="false" customHeight="false" outlineLevel="0" collapsed="false">
      <c r="A281" s="6" t="s">
        <v>416</v>
      </c>
      <c r="B281" s="6" t="s">
        <v>80</v>
      </c>
      <c r="C281" s="6" t="s">
        <v>932</v>
      </c>
      <c r="D281" s="6" t="s">
        <v>419</v>
      </c>
    </row>
    <row r="282" customFormat="false" ht="35.05" hidden="false" customHeight="false" outlineLevel="0" collapsed="false">
      <c r="A282" s="6" t="s">
        <v>196</v>
      </c>
      <c r="B282" s="6" t="s">
        <v>75</v>
      </c>
      <c r="C282" s="6" t="s">
        <v>932</v>
      </c>
      <c r="D282" s="6" t="s">
        <v>76</v>
      </c>
    </row>
    <row r="283" customFormat="false" ht="35.05" hidden="false" customHeight="false" outlineLevel="0" collapsed="false">
      <c r="A283" s="6" t="s">
        <v>196</v>
      </c>
      <c r="B283" s="6" t="s">
        <v>75</v>
      </c>
      <c r="C283" s="6" t="s">
        <v>932</v>
      </c>
      <c r="D283" s="6" t="s">
        <v>943</v>
      </c>
    </row>
    <row r="284" customFormat="false" ht="46.25" hidden="false" customHeight="false" outlineLevel="0" collapsed="false">
      <c r="A284" s="6" t="s">
        <v>196</v>
      </c>
      <c r="B284" s="6" t="s">
        <v>75</v>
      </c>
      <c r="C284" s="6" t="s">
        <v>932</v>
      </c>
      <c r="D284" s="6" t="s">
        <v>1114</v>
      </c>
    </row>
    <row r="285" customFormat="false" ht="23.85" hidden="false" customHeight="false" outlineLevel="0" collapsed="false">
      <c r="A285" s="6" t="s">
        <v>196</v>
      </c>
      <c r="B285" s="6" t="s">
        <v>80</v>
      </c>
      <c r="C285" s="6" t="s">
        <v>932</v>
      </c>
      <c r="D285" s="6" t="s">
        <v>220</v>
      </c>
    </row>
    <row r="286" customFormat="false" ht="35.05" hidden="false" customHeight="false" outlineLevel="0" collapsed="false">
      <c r="A286" s="6" t="s">
        <v>196</v>
      </c>
      <c r="B286" s="6" t="s">
        <v>80</v>
      </c>
      <c r="C286" s="6" t="s">
        <v>932</v>
      </c>
      <c r="D286" s="6" t="s">
        <v>1115</v>
      </c>
    </row>
    <row r="287" customFormat="false" ht="35.05" hidden="false" customHeight="false" outlineLevel="0" collapsed="false">
      <c r="A287" s="6" t="s">
        <v>196</v>
      </c>
      <c r="B287" s="6" t="s">
        <v>80</v>
      </c>
      <c r="C287" s="6" t="s">
        <v>932</v>
      </c>
      <c r="D287" s="6" t="s">
        <v>195</v>
      </c>
    </row>
    <row r="288" customFormat="false" ht="35.05" hidden="false" customHeight="false" outlineLevel="0" collapsed="false">
      <c r="A288" s="6" t="s">
        <v>196</v>
      </c>
      <c r="B288" s="6" t="s">
        <v>80</v>
      </c>
      <c r="C288" s="6" t="s">
        <v>932</v>
      </c>
      <c r="D288" s="6" t="s">
        <v>199</v>
      </c>
    </row>
    <row r="289" customFormat="false" ht="247.75" hidden="false" customHeight="false" outlineLevel="0" collapsed="false">
      <c r="A289" s="6" t="s">
        <v>196</v>
      </c>
      <c r="B289" s="6" t="s">
        <v>80</v>
      </c>
      <c r="C289" s="6" t="s">
        <v>944</v>
      </c>
      <c r="D289" s="6" t="s">
        <v>945</v>
      </c>
    </row>
    <row r="290" customFormat="false" ht="23.85" hidden="false" customHeight="false" outlineLevel="0" collapsed="false">
      <c r="A290" s="6" t="s">
        <v>420</v>
      </c>
      <c r="B290" s="6" t="s">
        <v>190</v>
      </c>
      <c r="C290" s="6" t="s">
        <v>932</v>
      </c>
      <c r="D290" s="6" t="s">
        <v>1116</v>
      </c>
    </row>
    <row r="291" customFormat="false" ht="23.85" hidden="false" customHeight="false" outlineLevel="0" collapsed="false">
      <c r="A291" s="6" t="s">
        <v>420</v>
      </c>
      <c r="B291" s="6" t="s">
        <v>146</v>
      </c>
      <c r="C291" s="6" t="s">
        <v>932</v>
      </c>
      <c r="D291" s="6" t="s">
        <v>1081</v>
      </c>
    </row>
    <row r="292" customFormat="false" ht="35.05" hidden="false" customHeight="false" outlineLevel="0" collapsed="false">
      <c r="A292" s="6" t="s">
        <v>420</v>
      </c>
      <c r="B292" s="6" t="s">
        <v>99</v>
      </c>
      <c r="C292" s="6" t="s">
        <v>932</v>
      </c>
      <c r="D292" s="6" t="s">
        <v>1117</v>
      </c>
    </row>
    <row r="293" customFormat="false" ht="15" hidden="false" customHeight="false" outlineLevel="0" collapsed="false">
      <c r="A293" s="6" t="s">
        <v>420</v>
      </c>
      <c r="B293" s="6" t="s">
        <v>99</v>
      </c>
      <c r="C293" s="6" t="s">
        <v>932</v>
      </c>
      <c r="D293" s="6" t="s">
        <v>1118</v>
      </c>
    </row>
    <row r="294" customFormat="false" ht="23.85" hidden="false" customHeight="false" outlineLevel="0" collapsed="false">
      <c r="A294" s="6" t="s">
        <v>420</v>
      </c>
      <c r="B294" s="6" t="s">
        <v>80</v>
      </c>
      <c r="C294" s="6" t="s">
        <v>932</v>
      </c>
      <c r="D294" s="6" t="s">
        <v>1119</v>
      </c>
    </row>
    <row r="295" customFormat="false" ht="35.05" hidden="false" customHeight="false" outlineLevel="0" collapsed="false">
      <c r="A295" s="6" t="s">
        <v>420</v>
      </c>
      <c r="B295" s="6" t="s">
        <v>80</v>
      </c>
      <c r="C295" s="6" t="s">
        <v>932</v>
      </c>
      <c r="D295" s="6" t="s">
        <v>1120</v>
      </c>
    </row>
    <row r="296" customFormat="false" ht="15" hidden="false" customHeight="false" outlineLevel="0" collapsed="false">
      <c r="A296" s="6" t="s">
        <v>420</v>
      </c>
      <c r="B296" s="6" t="s">
        <v>80</v>
      </c>
      <c r="C296" s="6" t="s">
        <v>932</v>
      </c>
      <c r="D296" s="6" t="s">
        <v>1002</v>
      </c>
    </row>
    <row r="297" customFormat="false" ht="35.05" hidden="false" customHeight="false" outlineLevel="0" collapsed="false">
      <c r="A297" s="6" t="s">
        <v>420</v>
      </c>
      <c r="B297" s="6" t="s">
        <v>80</v>
      </c>
      <c r="C297" s="6" t="s">
        <v>932</v>
      </c>
      <c r="D297" s="6" t="s">
        <v>419</v>
      </c>
    </row>
    <row r="298" customFormat="false" ht="15" hidden="false" customHeight="false" outlineLevel="0" collapsed="false">
      <c r="A298" s="6" t="s">
        <v>420</v>
      </c>
      <c r="B298" s="6" t="s">
        <v>80</v>
      </c>
      <c r="C298" s="6" t="s">
        <v>932</v>
      </c>
      <c r="D298" s="6" t="s">
        <v>1121</v>
      </c>
    </row>
    <row r="299" customFormat="false" ht="68.65" hidden="false" customHeight="false" outlineLevel="0" collapsed="false">
      <c r="A299" s="6" t="s">
        <v>420</v>
      </c>
      <c r="B299" s="6" t="s">
        <v>80</v>
      </c>
      <c r="C299" s="6" t="s">
        <v>962</v>
      </c>
      <c r="D299" s="6" t="s">
        <v>963</v>
      </c>
    </row>
    <row r="300" customFormat="false" ht="79.85" hidden="false" customHeight="false" outlineLevel="0" collapsed="false">
      <c r="A300" s="6" t="s">
        <v>420</v>
      </c>
      <c r="B300" s="6" t="s">
        <v>80</v>
      </c>
      <c r="C300" s="6" t="s">
        <v>978</v>
      </c>
      <c r="D300" s="6" t="s">
        <v>979</v>
      </c>
    </row>
    <row r="301" customFormat="false" ht="35.05" hidden="false" customHeight="false" outlineLevel="0" collapsed="false">
      <c r="A301" s="6" t="s">
        <v>420</v>
      </c>
      <c r="B301" s="6" t="s">
        <v>80</v>
      </c>
      <c r="C301" s="6" t="s">
        <v>980</v>
      </c>
      <c r="D301" s="6" t="s">
        <v>981</v>
      </c>
    </row>
    <row r="302" customFormat="false" ht="236.55" hidden="false" customHeight="false" outlineLevel="0" collapsed="false">
      <c r="A302" s="6" t="s">
        <v>420</v>
      </c>
      <c r="B302" s="6" t="s">
        <v>60</v>
      </c>
      <c r="C302" s="6" t="s">
        <v>1038</v>
      </c>
      <c r="D302" s="6" t="s">
        <v>1039</v>
      </c>
    </row>
    <row r="303" customFormat="false" ht="46.25" hidden="false" customHeight="false" outlineLevel="0" collapsed="false">
      <c r="A303" s="6" t="s">
        <v>200</v>
      </c>
      <c r="B303" s="6" t="s">
        <v>86</v>
      </c>
      <c r="C303" s="6" t="s">
        <v>932</v>
      </c>
      <c r="D303" s="6" t="s">
        <v>987</v>
      </c>
    </row>
    <row r="304" customFormat="false" ht="46.25" hidden="false" customHeight="false" outlineLevel="0" collapsed="false">
      <c r="A304" s="6" t="s">
        <v>200</v>
      </c>
      <c r="B304" s="6" t="s">
        <v>86</v>
      </c>
      <c r="C304" s="6" t="s">
        <v>932</v>
      </c>
      <c r="D304" s="6" t="s">
        <v>988</v>
      </c>
    </row>
    <row r="305" customFormat="false" ht="15" hidden="false" customHeight="false" outlineLevel="0" collapsed="false">
      <c r="A305" s="6" t="s">
        <v>200</v>
      </c>
      <c r="B305" s="6" t="s">
        <v>109</v>
      </c>
      <c r="C305" s="6" t="s">
        <v>932</v>
      </c>
      <c r="D305" s="6" t="s">
        <v>1122</v>
      </c>
    </row>
    <row r="306" customFormat="false" ht="35.05" hidden="false" customHeight="false" outlineLevel="0" collapsed="false">
      <c r="A306" s="6" t="s">
        <v>200</v>
      </c>
      <c r="B306" s="6" t="s">
        <v>109</v>
      </c>
      <c r="C306" s="6" t="s">
        <v>932</v>
      </c>
      <c r="D306" s="6" t="s">
        <v>1012</v>
      </c>
    </row>
    <row r="307" customFormat="false" ht="91" hidden="false" customHeight="false" outlineLevel="0" collapsed="false">
      <c r="A307" s="6" t="s">
        <v>200</v>
      </c>
      <c r="B307" s="6" t="s">
        <v>109</v>
      </c>
      <c r="C307" s="6" t="s">
        <v>932</v>
      </c>
      <c r="D307" s="6" t="s">
        <v>1013</v>
      </c>
    </row>
    <row r="308" customFormat="false" ht="46.25" hidden="false" customHeight="false" outlineLevel="0" collapsed="false">
      <c r="A308" s="6" t="s">
        <v>200</v>
      </c>
      <c r="B308" s="6" t="s">
        <v>95</v>
      </c>
      <c r="C308" s="6" t="s">
        <v>932</v>
      </c>
      <c r="D308" s="6" t="s">
        <v>110</v>
      </c>
    </row>
    <row r="309" customFormat="false" ht="23.85" hidden="false" customHeight="false" outlineLevel="0" collapsed="false">
      <c r="A309" s="6" t="s">
        <v>200</v>
      </c>
      <c r="B309" s="6" t="s">
        <v>168</v>
      </c>
      <c r="C309" s="6" t="s">
        <v>932</v>
      </c>
      <c r="D309" s="6" t="s">
        <v>596</v>
      </c>
    </row>
    <row r="310" customFormat="false" ht="35.05" hidden="false" customHeight="false" outlineLevel="0" collapsed="false">
      <c r="A310" s="6" t="s">
        <v>200</v>
      </c>
      <c r="B310" s="6" t="s">
        <v>168</v>
      </c>
      <c r="C310" s="6" t="s">
        <v>932</v>
      </c>
      <c r="D310" s="6" t="s">
        <v>989</v>
      </c>
    </row>
    <row r="311" customFormat="false" ht="23.85" hidden="false" customHeight="false" outlineLevel="0" collapsed="false">
      <c r="A311" s="6" t="s">
        <v>200</v>
      </c>
      <c r="B311" s="6" t="s">
        <v>168</v>
      </c>
      <c r="C311" s="6" t="s">
        <v>932</v>
      </c>
      <c r="D311" s="6" t="s">
        <v>182</v>
      </c>
    </row>
    <row r="312" customFormat="false" ht="15" hidden="false" customHeight="false" outlineLevel="0" collapsed="false">
      <c r="A312" s="6" t="s">
        <v>200</v>
      </c>
      <c r="B312" s="6" t="s">
        <v>146</v>
      </c>
      <c r="C312" s="6" t="s">
        <v>932</v>
      </c>
      <c r="D312" s="6" t="s">
        <v>971</v>
      </c>
    </row>
    <row r="313" customFormat="false" ht="15" hidden="false" customHeight="false" outlineLevel="0" collapsed="false">
      <c r="A313" s="6" t="s">
        <v>340</v>
      </c>
      <c r="B313" s="6" t="s">
        <v>86</v>
      </c>
      <c r="C313" s="6" t="s">
        <v>932</v>
      </c>
      <c r="D313" s="6" t="s">
        <v>1123</v>
      </c>
    </row>
    <row r="314" customFormat="false" ht="23.85" hidden="false" customHeight="false" outlineLevel="0" collapsed="false">
      <c r="A314" s="6" t="s">
        <v>340</v>
      </c>
      <c r="B314" s="6" t="s">
        <v>86</v>
      </c>
      <c r="C314" s="6" t="s">
        <v>932</v>
      </c>
      <c r="D314" s="6" t="s">
        <v>1124</v>
      </c>
    </row>
    <row r="315" customFormat="false" ht="35.05" hidden="false" customHeight="false" outlineLevel="0" collapsed="false">
      <c r="A315" s="6" t="s">
        <v>340</v>
      </c>
      <c r="B315" s="6" t="s">
        <v>168</v>
      </c>
      <c r="C315" s="6" t="s">
        <v>932</v>
      </c>
      <c r="D315" s="6" t="s">
        <v>1125</v>
      </c>
    </row>
    <row r="316" customFormat="false" ht="23.85" hidden="false" customHeight="false" outlineLevel="0" collapsed="false">
      <c r="A316" s="6" t="s">
        <v>340</v>
      </c>
      <c r="B316" s="6" t="s">
        <v>168</v>
      </c>
      <c r="C316" s="6" t="s">
        <v>932</v>
      </c>
      <c r="D316" s="6" t="s">
        <v>1126</v>
      </c>
    </row>
    <row r="317" customFormat="false" ht="15" hidden="false" customHeight="false" outlineLevel="0" collapsed="false">
      <c r="A317" s="6" t="s">
        <v>340</v>
      </c>
      <c r="B317" s="6" t="s">
        <v>168</v>
      </c>
      <c r="C317" s="6" t="s">
        <v>932</v>
      </c>
      <c r="D317" s="6" t="s">
        <v>1127</v>
      </c>
    </row>
    <row r="318" customFormat="false" ht="23.85" hidden="false" customHeight="false" outlineLevel="0" collapsed="false">
      <c r="A318" s="6" t="s">
        <v>340</v>
      </c>
      <c r="B318" s="6" t="s">
        <v>190</v>
      </c>
      <c r="C318" s="6" t="s">
        <v>932</v>
      </c>
      <c r="D318" s="6" t="s">
        <v>284</v>
      </c>
    </row>
    <row r="319" customFormat="false" ht="23.85" hidden="false" customHeight="false" outlineLevel="0" collapsed="false">
      <c r="A319" s="6" t="s">
        <v>340</v>
      </c>
      <c r="B319" s="6" t="s">
        <v>146</v>
      </c>
      <c r="C319" s="6" t="s">
        <v>932</v>
      </c>
      <c r="D319" s="6" t="s">
        <v>1128</v>
      </c>
    </row>
    <row r="320" customFormat="false" ht="23.85" hidden="false" customHeight="false" outlineLevel="0" collapsed="false">
      <c r="A320" s="6" t="s">
        <v>340</v>
      </c>
      <c r="B320" s="6" t="s">
        <v>99</v>
      </c>
      <c r="C320" s="6" t="s">
        <v>932</v>
      </c>
      <c r="D320" s="6" t="s">
        <v>1129</v>
      </c>
    </row>
    <row r="321" customFormat="false" ht="15" hidden="false" customHeight="false" outlineLevel="0" collapsed="false">
      <c r="A321" s="6" t="s">
        <v>340</v>
      </c>
      <c r="B321" s="6" t="s">
        <v>80</v>
      </c>
      <c r="C321" s="6" t="s">
        <v>932</v>
      </c>
      <c r="D321" s="6" t="s">
        <v>1130</v>
      </c>
    </row>
    <row r="322" customFormat="false" ht="35.05" hidden="false" customHeight="false" outlineLevel="0" collapsed="false">
      <c r="A322" s="6" t="s">
        <v>340</v>
      </c>
      <c r="B322" s="6" t="s">
        <v>80</v>
      </c>
      <c r="C322" s="6" t="s">
        <v>932</v>
      </c>
      <c r="D322" s="6" t="s">
        <v>1131</v>
      </c>
    </row>
    <row r="323" customFormat="false" ht="15" hidden="false" customHeight="false" outlineLevel="0" collapsed="false">
      <c r="A323" s="6" t="s">
        <v>340</v>
      </c>
      <c r="B323" s="6" t="s">
        <v>80</v>
      </c>
      <c r="C323" s="6" t="s">
        <v>932</v>
      </c>
      <c r="D323" s="6" t="s">
        <v>1132</v>
      </c>
    </row>
    <row r="324" customFormat="false" ht="46.25" hidden="false" customHeight="false" outlineLevel="0" collapsed="false">
      <c r="A324" s="6" t="s">
        <v>340</v>
      </c>
      <c r="B324" s="6" t="s">
        <v>80</v>
      </c>
      <c r="C324" s="6" t="s">
        <v>932</v>
      </c>
      <c r="D324" s="6" t="s">
        <v>335</v>
      </c>
    </row>
    <row r="325" customFormat="false" ht="35.05" hidden="false" customHeight="false" outlineLevel="0" collapsed="false">
      <c r="A325" s="6" t="s">
        <v>340</v>
      </c>
      <c r="B325" s="6" t="s">
        <v>80</v>
      </c>
      <c r="C325" s="6" t="s">
        <v>932</v>
      </c>
      <c r="D325" s="6" t="s">
        <v>1133</v>
      </c>
    </row>
    <row r="326" customFormat="false" ht="15" hidden="false" customHeight="false" outlineLevel="0" collapsed="false">
      <c r="A326" s="6" t="s">
        <v>340</v>
      </c>
      <c r="B326" s="6" t="s">
        <v>80</v>
      </c>
      <c r="C326" s="6" t="s">
        <v>932</v>
      </c>
      <c r="D326" s="6" t="s">
        <v>1134</v>
      </c>
    </row>
    <row r="327" customFormat="false" ht="23.85" hidden="false" customHeight="false" outlineLevel="0" collapsed="false">
      <c r="A327" s="6" t="s">
        <v>340</v>
      </c>
      <c r="B327" s="6" t="s">
        <v>80</v>
      </c>
      <c r="C327" s="6" t="s">
        <v>932</v>
      </c>
      <c r="D327" s="6" t="s">
        <v>960</v>
      </c>
    </row>
    <row r="328" customFormat="false" ht="23.85" hidden="false" customHeight="false" outlineLevel="0" collapsed="false">
      <c r="A328" s="6" t="s">
        <v>340</v>
      </c>
      <c r="B328" s="6" t="s">
        <v>80</v>
      </c>
      <c r="C328" s="6" t="s">
        <v>932</v>
      </c>
      <c r="D328" s="6" t="s">
        <v>1135</v>
      </c>
    </row>
    <row r="329" customFormat="false" ht="35.05" hidden="false" customHeight="false" outlineLevel="0" collapsed="false">
      <c r="A329" s="6" t="s">
        <v>340</v>
      </c>
      <c r="B329" s="6" t="s">
        <v>80</v>
      </c>
      <c r="C329" s="6" t="s">
        <v>932</v>
      </c>
      <c r="D329" s="6" t="s">
        <v>331</v>
      </c>
    </row>
    <row r="330" customFormat="false" ht="23.85" hidden="false" customHeight="false" outlineLevel="0" collapsed="false">
      <c r="A330" s="6" t="s">
        <v>340</v>
      </c>
      <c r="B330" s="6" t="s">
        <v>80</v>
      </c>
      <c r="C330" s="6" t="s">
        <v>932</v>
      </c>
      <c r="D330" s="6" t="s">
        <v>343</v>
      </c>
    </row>
    <row r="331" customFormat="false" ht="79.85" hidden="false" customHeight="false" outlineLevel="0" collapsed="false">
      <c r="A331" s="6" t="s">
        <v>340</v>
      </c>
      <c r="B331" s="6" t="s">
        <v>80</v>
      </c>
      <c r="C331" s="6" t="s">
        <v>1136</v>
      </c>
      <c r="D331" s="6" t="s">
        <v>1137</v>
      </c>
    </row>
    <row r="332" customFormat="false" ht="35.05" hidden="false" customHeight="false" outlineLevel="0" collapsed="false">
      <c r="A332" s="6" t="s">
        <v>340</v>
      </c>
      <c r="B332" s="6" t="s">
        <v>80</v>
      </c>
      <c r="C332" s="6" t="s">
        <v>1110</v>
      </c>
      <c r="D332" s="6" t="s">
        <v>1111</v>
      </c>
    </row>
    <row r="333" customFormat="false" ht="214.15" hidden="false" customHeight="false" outlineLevel="0" collapsed="false">
      <c r="A333" s="6" t="s">
        <v>389</v>
      </c>
      <c r="B333" s="6" t="s">
        <v>60</v>
      </c>
      <c r="C333" s="6" t="s">
        <v>1138</v>
      </c>
      <c r="D333" s="6" t="s">
        <v>1139</v>
      </c>
    </row>
    <row r="334" customFormat="false" ht="23.85" hidden="false" customHeight="false" outlineLevel="0" collapsed="false">
      <c r="A334" s="6" t="s">
        <v>482</v>
      </c>
      <c r="B334" s="6" t="s">
        <v>61</v>
      </c>
      <c r="C334" s="6" t="s">
        <v>932</v>
      </c>
      <c r="D334" s="6" t="s">
        <v>1140</v>
      </c>
    </row>
    <row r="335" customFormat="false" ht="15" hidden="false" customHeight="false" outlineLevel="0" collapsed="false">
      <c r="A335" s="6" t="s">
        <v>482</v>
      </c>
      <c r="B335" s="6" t="s">
        <v>61</v>
      </c>
      <c r="C335" s="6" t="s">
        <v>932</v>
      </c>
      <c r="D335" s="6" t="s">
        <v>990</v>
      </c>
    </row>
    <row r="336" customFormat="false" ht="15" hidden="false" customHeight="false" outlineLevel="0" collapsed="false">
      <c r="A336" s="6" t="s">
        <v>482</v>
      </c>
      <c r="B336" s="6" t="s">
        <v>86</v>
      </c>
      <c r="C336" s="6" t="s">
        <v>932</v>
      </c>
      <c r="D336" s="6" t="s">
        <v>1141</v>
      </c>
    </row>
    <row r="337" customFormat="false" ht="23.85" hidden="false" customHeight="false" outlineLevel="0" collapsed="false">
      <c r="A337" s="6" t="s">
        <v>482</v>
      </c>
      <c r="B337" s="6" t="s">
        <v>86</v>
      </c>
      <c r="C337" s="6" t="s">
        <v>932</v>
      </c>
      <c r="D337" s="6" t="s">
        <v>1142</v>
      </c>
    </row>
    <row r="338" customFormat="false" ht="15" hidden="false" customHeight="false" outlineLevel="0" collapsed="false">
      <c r="A338" s="6" t="s">
        <v>482</v>
      </c>
      <c r="B338" s="6" t="s">
        <v>109</v>
      </c>
      <c r="C338" s="6" t="s">
        <v>932</v>
      </c>
      <c r="D338" s="6" t="s">
        <v>936</v>
      </c>
    </row>
    <row r="339" customFormat="false" ht="23.85" hidden="false" customHeight="false" outlineLevel="0" collapsed="false">
      <c r="A339" s="6" t="s">
        <v>482</v>
      </c>
      <c r="B339" s="6" t="s">
        <v>109</v>
      </c>
      <c r="C339" s="6" t="s">
        <v>932</v>
      </c>
      <c r="D339" s="6" t="s">
        <v>1143</v>
      </c>
    </row>
    <row r="340" customFormat="false" ht="35.05" hidden="false" customHeight="false" outlineLevel="0" collapsed="false">
      <c r="A340" s="6" t="s">
        <v>482</v>
      </c>
      <c r="B340" s="6" t="s">
        <v>109</v>
      </c>
      <c r="C340" s="6" t="s">
        <v>932</v>
      </c>
      <c r="D340" s="6" t="s">
        <v>1144</v>
      </c>
    </row>
    <row r="341" customFormat="false" ht="46.25" hidden="false" customHeight="false" outlineLevel="0" collapsed="false">
      <c r="A341" s="6" t="s">
        <v>482</v>
      </c>
      <c r="B341" s="6" t="s">
        <v>186</v>
      </c>
      <c r="C341" s="6" t="s">
        <v>932</v>
      </c>
      <c r="D341" s="6" t="s">
        <v>1027</v>
      </c>
    </row>
    <row r="342" customFormat="false" ht="23.85" hidden="false" customHeight="false" outlineLevel="0" collapsed="false">
      <c r="A342" s="6" t="s">
        <v>482</v>
      </c>
      <c r="B342" s="6" t="s">
        <v>186</v>
      </c>
      <c r="C342" s="6" t="s">
        <v>932</v>
      </c>
      <c r="D342" s="6" t="s">
        <v>1028</v>
      </c>
    </row>
    <row r="343" customFormat="false" ht="35.05" hidden="false" customHeight="false" outlineLevel="0" collapsed="false">
      <c r="A343" s="6" t="s">
        <v>482</v>
      </c>
      <c r="B343" s="6" t="s">
        <v>186</v>
      </c>
      <c r="C343" s="6" t="s">
        <v>932</v>
      </c>
      <c r="D343" s="6" t="s">
        <v>1029</v>
      </c>
    </row>
    <row r="344" customFormat="false" ht="15" hidden="false" customHeight="false" outlineLevel="0" collapsed="false">
      <c r="A344" s="6" t="s">
        <v>482</v>
      </c>
      <c r="B344" s="6" t="s">
        <v>229</v>
      </c>
      <c r="C344" s="6" t="s">
        <v>932</v>
      </c>
      <c r="D344" s="6" t="s">
        <v>1145</v>
      </c>
    </row>
    <row r="345" customFormat="false" ht="15" hidden="false" customHeight="false" outlineLevel="0" collapsed="false">
      <c r="A345" s="6" t="s">
        <v>482</v>
      </c>
      <c r="B345" s="6" t="s">
        <v>229</v>
      </c>
      <c r="C345" s="6" t="s">
        <v>932</v>
      </c>
      <c r="D345" s="6" t="s">
        <v>1146</v>
      </c>
    </row>
    <row r="346" customFormat="false" ht="23.85" hidden="false" customHeight="false" outlineLevel="0" collapsed="false">
      <c r="A346" s="6" t="s">
        <v>482</v>
      </c>
      <c r="B346" s="6" t="s">
        <v>229</v>
      </c>
      <c r="C346" s="6" t="s">
        <v>932</v>
      </c>
      <c r="D346" s="6" t="s">
        <v>1147</v>
      </c>
    </row>
    <row r="347" customFormat="false" ht="35.05" hidden="false" customHeight="false" outlineLevel="0" collapsed="false">
      <c r="A347" s="6" t="s">
        <v>482</v>
      </c>
      <c r="B347" s="6" t="s">
        <v>229</v>
      </c>
      <c r="C347" s="6" t="s">
        <v>932</v>
      </c>
      <c r="D347" s="6" t="s">
        <v>497</v>
      </c>
    </row>
    <row r="348" customFormat="false" ht="46.25" hidden="false" customHeight="false" outlineLevel="0" collapsed="false">
      <c r="A348" s="6" t="s">
        <v>482</v>
      </c>
      <c r="B348" s="6" t="s">
        <v>62</v>
      </c>
      <c r="C348" s="6" t="s">
        <v>932</v>
      </c>
      <c r="D348" s="6" t="s">
        <v>246</v>
      </c>
    </row>
    <row r="349" customFormat="false" ht="23.85" hidden="false" customHeight="false" outlineLevel="0" collapsed="false">
      <c r="A349" s="6" t="s">
        <v>423</v>
      </c>
      <c r="B349" s="6" t="s">
        <v>61</v>
      </c>
      <c r="C349" s="6" t="s">
        <v>932</v>
      </c>
      <c r="D349" s="6" t="s">
        <v>1148</v>
      </c>
    </row>
    <row r="350" customFormat="false" ht="23.85" hidden="false" customHeight="false" outlineLevel="0" collapsed="false">
      <c r="A350" s="6" t="s">
        <v>423</v>
      </c>
      <c r="B350" s="6" t="s">
        <v>61</v>
      </c>
      <c r="C350" s="6" t="s">
        <v>932</v>
      </c>
      <c r="D350" s="6" t="s">
        <v>1140</v>
      </c>
    </row>
    <row r="351" customFormat="false" ht="68.65" hidden="false" customHeight="false" outlineLevel="0" collapsed="false">
      <c r="A351" s="6" t="s">
        <v>423</v>
      </c>
      <c r="B351" s="6" t="s">
        <v>109</v>
      </c>
      <c r="C351" s="6" t="s">
        <v>932</v>
      </c>
      <c r="D351" s="6" t="s">
        <v>1149</v>
      </c>
    </row>
    <row r="352" customFormat="false" ht="46.25" hidden="false" customHeight="false" outlineLevel="0" collapsed="false">
      <c r="A352" s="6" t="s">
        <v>423</v>
      </c>
      <c r="B352" s="6" t="s">
        <v>95</v>
      </c>
      <c r="C352" s="6" t="s">
        <v>932</v>
      </c>
      <c r="D352" s="6" t="s">
        <v>1150</v>
      </c>
    </row>
    <row r="353" customFormat="false" ht="23.85" hidden="false" customHeight="false" outlineLevel="0" collapsed="false">
      <c r="A353" s="6" t="s">
        <v>423</v>
      </c>
      <c r="B353" s="6" t="s">
        <v>229</v>
      </c>
      <c r="C353" s="6" t="s">
        <v>932</v>
      </c>
      <c r="D353" s="6" t="s">
        <v>939</v>
      </c>
    </row>
    <row r="354" customFormat="false" ht="15" hidden="false" customHeight="false" outlineLevel="0" collapsed="false">
      <c r="A354" s="6" t="s">
        <v>423</v>
      </c>
      <c r="B354" s="6" t="s">
        <v>229</v>
      </c>
      <c r="C354" s="6" t="s">
        <v>932</v>
      </c>
      <c r="D354" s="6" t="s">
        <v>1035</v>
      </c>
    </row>
    <row r="355" customFormat="false" ht="57.45" hidden="false" customHeight="false" outlineLevel="0" collapsed="false">
      <c r="A355" s="6" t="s">
        <v>423</v>
      </c>
      <c r="B355" s="6" t="s">
        <v>229</v>
      </c>
      <c r="C355" s="6" t="s">
        <v>932</v>
      </c>
      <c r="D355" s="6" t="s">
        <v>532</v>
      </c>
    </row>
    <row r="356" customFormat="false" ht="35.05" hidden="false" customHeight="false" outlineLevel="0" collapsed="false">
      <c r="A356" s="6" t="s">
        <v>423</v>
      </c>
      <c r="B356" s="6" t="s">
        <v>146</v>
      </c>
      <c r="C356" s="6" t="s">
        <v>932</v>
      </c>
      <c r="D356" s="6" t="s">
        <v>160</v>
      </c>
    </row>
    <row r="357" customFormat="false" ht="35.05" hidden="false" customHeight="false" outlineLevel="0" collapsed="false">
      <c r="A357" s="6" t="s">
        <v>423</v>
      </c>
      <c r="B357" s="6" t="s">
        <v>80</v>
      </c>
      <c r="C357" s="6" t="s">
        <v>932</v>
      </c>
      <c r="D357" s="6" t="s">
        <v>419</v>
      </c>
    </row>
    <row r="358" customFormat="false" ht="236.55" hidden="false" customHeight="false" outlineLevel="0" collapsed="false">
      <c r="A358" s="6" t="s">
        <v>423</v>
      </c>
      <c r="B358" s="6" t="s">
        <v>60</v>
      </c>
      <c r="C358" s="6" t="s">
        <v>1038</v>
      </c>
      <c r="D358" s="6" t="s">
        <v>1039</v>
      </c>
    </row>
    <row r="359" customFormat="false" ht="23.85" hidden="false" customHeight="false" outlineLevel="0" collapsed="false">
      <c r="A359" s="6" t="s">
        <v>344</v>
      </c>
      <c r="B359" s="6" t="s">
        <v>330</v>
      </c>
      <c r="C359" s="6" t="s">
        <v>932</v>
      </c>
      <c r="D359" s="6" t="s">
        <v>351</v>
      </c>
    </row>
    <row r="360" customFormat="false" ht="23.85" hidden="false" customHeight="false" outlineLevel="0" collapsed="false">
      <c r="A360" s="6" t="s">
        <v>344</v>
      </c>
      <c r="B360" s="6" t="s">
        <v>80</v>
      </c>
      <c r="C360" s="6" t="s">
        <v>932</v>
      </c>
      <c r="D360" s="6" t="s">
        <v>1151</v>
      </c>
    </row>
    <row r="361" customFormat="false" ht="15" hidden="false" customHeight="false" outlineLevel="0" collapsed="false">
      <c r="A361" s="6" t="s">
        <v>344</v>
      </c>
      <c r="B361" s="6" t="s">
        <v>80</v>
      </c>
      <c r="C361" s="6" t="s">
        <v>932</v>
      </c>
      <c r="D361" s="6" t="s">
        <v>1152</v>
      </c>
    </row>
    <row r="362" customFormat="false" ht="15" hidden="false" customHeight="false" outlineLevel="0" collapsed="false">
      <c r="A362" s="6" t="s">
        <v>344</v>
      </c>
      <c r="B362" s="6" t="s">
        <v>80</v>
      </c>
      <c r="C362" s="6" t="s">
        <v>932</v>
      </c>
      <c r="D362" s="6" t="s">
        <v>1153</v>
      </c>
    </row>
    <row r="363" customFormat="false" ht="23.85" hidden="false" customHeight="false" outlineLevel="0" collapsed="false">
      <c r="A363" s="6" t="s">
        <v>344</v>
      </c>
      <c r="B363" s="6" t="s">
        <v>80</v>
      </c>
      <c r="C363" s="6" t="s">
        <v>932</v>
      </c>
      <c r="D363" s="6" t="s">
        <v>1154</v>
      </c>
    </row>
    <row r="364" customFormat="false" ht="35.05" hidden="false" customHeight="false" outlineLevel="0" collapsed="false">
      <c r="A364" s="6" t="s">
        <v>344</v>
      </c>
      <c r="B364" s="6" t="s">
        <v>80</v>
      </c>
      <c r="C364" s="6" t="s">
        <v>932</v>
      </c>
      <c r="D364" s="6" t="s">
        <v>1155</v>
      </c>
    </row>
    <row r="365" customFormat="false" ht="57.45" hidden="false" customHeight="false" outlineLevel="0" collapsed="false">
      <c r="A365" s="6" t="s">
        <v>344</v>
      </c>
      <c r="B365" s="6" t="s">
        <v>80</v>
      </c>
      <c r="C365" s="6" t="s">
        <v>932</v>
      </c>
      <c r="D365" s="6" t="s">
        <v>1156</v>
      </c>
    </row>
    <row r="366" customFormat="false" ht="23.85" hidden="false" customHeight="false" outlineLevel="0" collapsed="false">
      <c r="A366" s="6" t="s">
        <v>344</v>
      </c>
      <c r="B366" s="6" t="s">
        <v>80</v>
      </c>
      <c r="C366" s="6" t="s">
        <v>932</v>
      </c>
      <c r="D366" s="6" t="s">
        <v>1157</v>
      </c>
    </row>
    <row r="367" customFormat="false" ht="23.85" hidden="false" customHeight="false" outlineLevel="0" collapsed="false">
      <c r="A367" s="6" t="s">
        <v>344</v>
      </c>
      <c r="B367" s="6" t="s">
        <v>80</v>
      </c>
      <c r="C367" s="6" t="s">
        <v>932</v>
      </c>
      <c r="D367" s="6" t="s">
        <v>1158</v>
      </c>
    </row>
    <row r="368" customFormat="false" ht="35.05" hidden="false" customHeight="false" outlineLevel="0" collapsed="false">
      <c r="A368" s="6" t="s">
        <v>344</v>
      </c>
      <c r="B368" s="6" t="s">
        <v>80</v>
      </c>
      <c r="C368" s="6" t="s">
        <v>932</v>
      </c>
      <c r="D368" s="6" t="s">
        <v>347</v>
      </c>
    </row>
    <row r="369" customFormat="false" ht="135.8" hidden="false" customHeight="false" outlineLevel="0" collapsed="false">
      <c r="A369" s="6" t="s">
        <v>344</v>
      </c>
      <c r="B369" s="6" t="s">
        <v>80</v>
      </c>
      <c r="C369" s="6" t="s">
        <v>985</v>
      </c>
      <c r="D369" s="6" t="s">
        <v>986</v>
      </c>
    </row>
    <row r="370" customFormat="false" ht="23.85" hidden="false" customHeight="false" outlineLevel="0" collapsed="false">
      <c r="A370" s="6" t="s">
        <v>426</v>
      </c>
      <c r="B370" s="6" t="s">
        <v>86</v>
      </c>
      <c r="C370" s="6" t="s">
        <v>932</v>
      </c>
      <c r="D370" s="6" t="s">
        <v>1159</v>
      </c>
    </row>
    <row r="371" customFormat="false" ht="23.85" hidden="false" customHeight="false" outlineLevel="0" collapsed="false">
      <c r="A371" s="6" t="s">
        <v>426</v>
      </c>
      <c r="B371" s="6" t="s">
        <v>229</v>
      </c>
      <c r="C371" s="6" t="s">
        <v>932</v>
      </c>
      <c r="D371" s="6" t="s">
        <v>1160</v>
      </c>
    </row>
    <row r="372" customFormat="false" ht="15" hidden="false" customHeight="false" outlineLevel="0" collapsed="false">
      <c r="A372" s="6" t="s">
        <v>426</v>
      </c>
      <c r="B372" s="6" t="s">
        <v>229</v>
      </c>
      <c r="C372" s="6" t="s">
        <v>932</v>
      </c>
      <c r="D372" s="6" t="s">
        <v>1161</v>
      </c>
    </row>
    <row r="373" customFormat="false" ht="23.85" hidden="false" customHeight="false" outlineLevel="0" collapsed="false">
      <c r="A373" s="6" t="s">
        <v>426</v>
      </c>
      <c r="B373" s="6" t="s">
        <v>229</v>
      </c>
      <c r="C373" s="6" t="s">
        <v>932</v>
      </c>
      <c r="D373" s="6" t="s">
        <v>1162</v>
      </c>
    </row>
    <row r="374" customFormat="false" ht="35.05" hidden="false" customHeight="false" outlineLevel="0" collapsed="false">
      <c r="A374" s="6" t="s">
        <v>426</v>
      </c>
      <c r="B374" s="6" t="s">
        <v>229</v>
      </c>
      <c r="C374" s="6" t="s">
        <v>932</v>
      </c>
      <c r="D374" s="6" t="s">
        <v>1163</v>
      </c>
    </row>
    <row r="375" customFormat="false" ht="46.25" hidden="false" customHeight="false" outlineLevel="0" collapsed="false">
      <c r="A375" s="6" t="s">
        <v>426</v>
      </c>
      <c r="B375" s="6" t="s">
        <v>229</v>
      </c>
      <c r="C375" s="6" t="s">
        <v>932</v>
      </c>
      <c r="D375" s="6" t="s">
        <v>1164</v>
      </c>
    </row>
    <row r="376" customFormat="false" ht="23.85" hidden="false" customHeight="false" outlineLevel="0" collapsed="false">
      <c r="A376" s="6" t="s">
        <v>426</v>
      </c>
      <c r="B376" s="6" t="s">
        <v>229</v>
      </c>
      <c r="C376" s="6" t="s">
        <v>932</v>
      </c>
      <c r="D376" s="6" t="s">
        <v>1165</v>
      </c>
    </row>
    <row r="377" customFormat="false" ht="23.85" hidden="false" customHeight="false" outlineLevel="0" collapsed="false">
      <c r="A377" s="6" t="s">
        <v>426</v>
      </c>
      <c r="B377" s="6" t="s">
        <v>146</v>
      </c>
      <c r="C377" s="6" t="s">
        <v>932</v>
      </c>
      <c r="D377" s="6" t="s">
        <v>432</v>
      </c>
    </row>
    <row r="378" customFormat="false" ht="23.85" hidden="false" customHeight="false" outlineLevel="0" collapsed="false">
      <c r="A378" s="6" t="s">
        <v>426</v>
      </c>
      <c r="B378" s="6" t="s">
        <v>169</v>
      </c>
      <c r="C378" s="6" t="s">
        <v>932</v>
      </c>
      <c r="D378" s="6" t="s">
        <v>170</v>
      </c>
    </row>
    <row r="379" customFormat="false" ht="35.05" hidden="false" customHeight="false" outlineLevel="0" collapsed="false">
      <c r="A379" s="6" t="s">
        <v>426</v>
      </c>
      <c r="B379" s="6" t="s">
        <v>169</v>
      </c>
      <c r="C379" s="6" t="s">
        <v>932</v>
      </c>
      <c r="D379" s="6" t="s">
        <v>973</v>
      </c>
    </row>
    <row r="380" customFormat="false" ht="23.85" hidden="false" customHeight="false" outlineLevel="0" collapsed="false">
      <c r="A380" s="6" t="s">
        <v>426</v>
      </c>
      <c r="B380" s="6" t="s">
        <v>99</v>
      </c>
      <c r="C380" s="6" t="s">
        <v>932</v>
      </c>
      <c r="D380" s="6" t="s">
        <v>942</v>
      </c>
    </row>
    <row r="381" customFormat="false" ht="23.85" hidden="false" customHeight="false" outlineLevel="0" collapsed="false">
      <c r="A381" s="6" t="s">
        <v>426</v>
      </c>
      <c r="B381" s="6" t="s">
        <v>99</v>
      </c>
      <c r="C381" s="6" t="s">
        <v>974</v>
      </c>
      <c r="D381" s="6" t="s">
        <v>975</v>
      </c>
    </row>
    <row r="382" customFormat="false" ht="23.85" hidden="false" customHeight="false" outlineLevel="0" collapsed="false">
      <c r="A382" s="6" t="s">
        <v>426</v>
      </c>
      <c r="B382" s="6" t="s">
        <v>80</v>
      </c>
      <c r="C382" s="6" t="s">
        <v>932</v>
      </c>
      <c r="D382" s="6" t="s">
        <v>130</v>
      </c>
    </row>
    <row r="383" customFormat="false" ht="68.65" hidden="false" customHeight="false" outlineLevel="0" collapsed="false">
      <c r="A383" s="6" t="s">
        <v>226</v>
      </c>
      <c r="B383" s="6" t="s">
        <v>229</v>
      </c>
      <c r="C383" s="6" t="s">
        <v>932</v>
      </c>
      <c r="D383" s="6" t="s">
        <v>230</v>
      </c>
    </row>
    <row r="384" customFormat="false" ht="23.85" hidden="false" customHeight="false" outlineLevel="0" collapsed="false">
      <c r="A384" s="6" t="s">
        <v>231</v>
      </c>
      <c r="B384" s="6" t="s">
        <v>86</v>
      </c>
      <c r="C384" s="6" t="s">
        <v>932</v>
      </c>
      <c r="D384" s="6" t="s">
        <v>1048</v>
      </c>
    </row>
    <row r="385" customFormat="false" ht="23.85" hidden="false" customHeight="false" outlineLevel="0" collapsed="false">
      <c r="A385" s="6" t="s">
        <v>231</v>
      </c>
      <c r="B385" s="6" t="s">
        <v>86</v>
      </c>
      <c r="C385" s="6" t="s">
        <v>932</v>
      </c>
      <c r="D385" s="6" t="s">
        <v>1166</v>
      </c>
    </row>
    <row r="386" customFormat="false" ht="46.25" hidden="false" customHeight="false" outlineLevel="0" collapsed="false">
      <c r="A386" s="6" t="s">
        <v>231</v>
      </c>
      <c r="B386" s="6" t="s">
        <v>229</v>
      </c>
      <c r="C386" s="6" t="s">
        <v>932</v>
      </c>
      <c r="D386" s="6" t="s">
        <v>1167</v>
      </c>
    </row>
    <row r="387" customFormat="false" ht="23.85" hidden="false" customHeight="false" outlineLevel="0" collapsed="false">
      <c r="A387" s="6" t="s">
        <v>231</v>
      </c>
      <c r="B387" s="6" t="s">
        <v>146</v>
      </c>
      <c r="C387" s="6" t="s">
        <v>932</v>
      </c>
      <c r="D387" s="6" t="s">
        <v>377</v>
      </c>
    </row>
    <row r="388" customFormat="false" ht="35.05" hidden="false" customHeight="false" outlineLevel="0" collapsed="false">
      <c r="A388" s="6" t="s">
        <v>231</v>
      </c>
      <c r="B388" s="6" t="s">
        <v>169</v>
      </c>
      <c r="C388" s="6" t="s">
        <v>932</v>
      </c>
      <c r="D388" s="6" t="s">
        <v>1168</v>
      </c>
    </row>
    <row r="389" customFormat="false" ht="23.85" hidden="false" customHeight="false" outlineLevel="0" collapsed="false">
      <c r="A389" s="6" t="s">
        <v>231</v>
      </c>
      <c r="B389" s="6" t="s">
        <v>169</v>
      </c>
      <c r="C389" s="6" t="s">
        <v>1062</v>
      </c>
      <c r="D389" s="6" t="s">
        <v>1063</v>
      </c>
    </row>
    <row r="390" customFormat="false" ht="23.85" hidden="false" customHeight="false" outlineLevel="0" collapsed="false">
      <c r="A390" s="6" t="s">
        <v>231</v>
      </c>
      <c r="B390" s="6" t="s">
        <v>99</v>
      </c>
      <c r="C390" s="6" t="s">
        <v>932</v>
      </c>
      <c r="D390" s="6" t="s">
        <v>234</v>
      </c>
    </row>
    <row r="391" customFormat="false" ht="15" hidden="false" customHeight="false" outlineLevel="0" collapsed="false">
      <c r="A391" s="6" t="s">
        <v>542</v>
      </c>
      <c r="B391" s="6" t="s">
        <v>109</v>
      </c>
      <c r="C391" s="6" t="s">
        <v>932</v>
      </c>
      <c r="D391" s="6" t="s">
        <v>1169</v>
      </c>
    </row>
    <row r="392" customFormat="false" ht="23.85" hidden="false" customHeight="false" outlineLevel="0" collapsed="false">
      <c r="A392" s="6" t="s">
        <v>542</v>
      </c>
      <c r="B392" s="6" t="s">
        <v>168</v>
      </c>
      <c r="C392" s="6" t="s">
        <v>932</v>
      </c>
      <c r="D392" s="6" t="s">
        <v>1069</v>
      </c>
    </row>
    <row r="393" customFormat="false" ht="35.05" hidden="false" customHeight="false" outlineLevel="0" collapsed="false">
      <c r="A393" s="6" t="s">
        <v>542</v>
      </c>
      <c r="B393" s="6" t="s">
        <v>168</v>
      </c>
      <c r="C393" s="6" t="s">
        <v>932</v>
      </c>
      <c r="D393" s="6" t="s">
        <v>1070</v>
      </c>
    </row>
    <row r="394" customFormat="false" ht="23.85" hidden="false" customHeight="false" outlineLevel="0" collapsed="false">
      <c r="A394" s="6" t="s">
        <v>542</v>
      </c>
      <c r="B394" s="6" t="s">
        <v>146</v>
      </c>
      <c r="C394" s="6" t="s">
        <v>932</v>
      </c>
      <c r="D394" s="6" t="s">
        <v>1170</v>
      </c>
    </row>
    <row r="395" customFormat="false" ht="23.85" hidden="false" customHeight="false" outlineLevel="0" collapsed="false">
      <c r="A395" s="6" t="s">
        <v>542</v>
      </c>
      <c r="B395" s="6" t="s">
        <v>146</v>
      </c>
      <c r="C395" s="6" t="s">
        <v>932</v>
      </c>
      <c r="D395" s="6" t="s">
        <v>1171</v>
      </c>
    </row>
    <row r="396" customFormat="false" ht="15" hidden="false" customHeight="false" outlineLevel="0" collapsed="false">
      <c r="A396" s="6" t="s">
        <v>542</v>
      </c>
      <c r="B396" s="6" t="s">
        <v>169</v>
      </c>
      <c r="C396" s="6" t="s">
        <v>932</v>
      </c>
      <c r="D396" s="6" t="s">
        <v>1100</v>
      </c>
    </row>
    <row r="397" customFormat="false" ht="23.85" hidden="false" customHeight="false" outlineLevel="0" collapsed="false">
      <c r="A397" s="6" t="s">
        <v>542</v>
      </c>
      <c r="B397" s="6" t="s">
        <v>62</v>
      </c>
      <c r="C397" s="6" t="s">
        <v>932</v>
      </c>
      <c r="D397" s="6" t="s">
        <v>1172</v>
      </c>
    </row>
    <row r="398" customFormat="false" ht="35.05" hidden="false" customHeight="false" outlineLevel="0" collapsed="false">
      <c r="A398" s="6" t="s">
        <v>542</v>
      </c>
      <c r="B398" s="6" t="s">
        <v>75</v>
      </c>
      <c r="C398" s="6" t="s">
        <v>932</v>
      </c>
      <c r="D398" s="6" t="s">
        <v>546</v>
      </c>
    </row>
    <row r="399" customFormat="false" ht="15" hidden="false" customHeight="false" outlineLevel="0" collapsed="false">
      <c r="A399" s="6" t="s">
        <v>579</v>
      </c>
      <c r="B399" s="6" t="s">
        <v>80</v>
      </c>
      <c r="C399" s="6" t="s">
        <v>932</v>
      </c>
      <c r="D399" s="6" t="s">
        <v>1173</v>
      </c>
    </row>
    <row r="400" customFormat="false" ht="15" hidden="false" customHeight="false" outlineLevel="0" collapsed="false">
      <c r="A400" s="6" t="s">
        <v>579</v>
      </c>
      <c r="B400" s="6" t="s">
        <v>80</v>
      </c>
      <c r="C400" s="6" t="s">
        <v>932</v>
      </c>
      <c r="D400" s="6" t="s">
        <v>1174</v>
      </c>
    </row>
    <row r="401" customFormat="false" ht="15" hidden="false" customHeight="false" outlineLevel="0" collapsed="false">
      <c r="A401" s="6" t="s">
        <v>579</v>
      </c>
      <c r="B401" s="6" t="s">
        <v>80</v>
      </c>
      <c r="C401" s="6" t="s">
        <v>932</v>
      </c>
      <c r="D401" s="6" t="s">
        <v>1175</v>
      </c>
    </row>
    <row r="402" customFormat="false" ht="15" hidden="false" customHeight="false" outlineLevel="0" collapsed="false">
      <c r="A402" s="6" t="s">
        <v>579</v>
      </c>
      <c r="B402" s="6" t="s">
        <v>80</v>
      </c>
      <c r="C402" s="6" t="s">
        <v>932</v>
      </c>
      <c r="D402" s="6" t="s">
        <v>582</v>
      </c>
    </row>
    <row r="403" customFormat="false" ht="135.8" hidden="false" customHeight="false" outlineLevel="0" collapsed="false">
      <c r="A403" s="6" t="s">
        <v>579</v>
      </c>
      <c r="B403" s="6" t="s">
        <v>80</v>
      </c>
      <c r="C403" s="6" t="s">
        <v>985</v>
      </c>
      <c r="D403" s="6" t="s">
        <v>986</v>
      </c>
    </row>
    <row r="404" customFormat="false" ht="247.75" hidden="false" customHeight="false" outlineLevel="0" collapsed="false">
      <c r="A404" s="6" t="s">
        <v>579</v>
      </c>
      <c r="B404" s="6" t="s">
        <v>80</v>
      </c>
      <c r="C404" s="6" t="s">
        <v>944</v>
      </c>
      <c r="D404" s="6" t="s">
        <v>945</v>
      </c>
    </row>
    <row r="405" customFormat="false" ht="35.05" hidden="false" customHeight="false" outlineLevel="0" collapsed="false">
      <c r="A405" s="6" t="s">
        <v>203</v>
      </c>
      <c r="B405" s="6" t="s">
        <v>86</v>
      </c>
      <c r="C405" s="6" t="s">
        <v>932</v>
      </c>
      <c r="D405" s="6" t="s">
        <v>1176</v>
      </c>
    </row>
    <row r="406" customFormat="false" ht="46.25" hidden="false" customHeight="false" outlineLevel="0" collapsed="false">
      <c r="A406" s="6" t="s">
        <v>203</v>
      </c>
      <c r="B406" s="6" t="s">
        <v>86</v>
      </c>
      <c r="C406" s="6" t="s">
        <v>932</v>
      </c>
      <c r="D406" s="6" t="s">
        <v>1177</v>
      </c>
    </row>
    <row r="407" customFormat="false" ht="46.25" hidden="false" customHeight="false" outlineLevel="0" collapsed="false">
      <c r="A407" s="6" t="s">
        <v>203</v>
      </c>
      <c r="B407" s="6" t="s">
        <v>109</v>
      </c>
      <c r="C407" s="6" t="s">
        <v>932</v>
      </c>
      <c r="D407" s="6" t="s">
        <v>209</v>
      </c>
    </row>
    <row r="408" customFormat="false" ht="23.85" hidden="false" customHeight="false" outlineLevel="0" collapsed="false">
      <c r="A408" s="6" t="s">
        <v>203</v>
      </c>
      <c r="B408" s="6" t="s">
        <v>169</v>
      </c>
      <c r="C408" s="6" t="s">
        <v>1062</v>
      </c>
      <c r="D408" s="6" t="s">
        <v>1063</v>
      </c>
    </row>
    <row r="409" customFormat="false" ht="35.05" hidden="false" customHeight="false" outlineLevel="0" collapsed="false">
      <c r="A409" s="6" t="s">
        <v>203</v>
      </c>
      <c r="B409" s="6" t="s">
        <v>75</v>
      </c>
      <c r="C409" s="6" t="s">
        <v>932</v>
      </c>
      <c r="D409" s="6" t="s">
        <v>76</v>
      </c>
    </row>
    <row r="410" customFormat="false" ht="35.05" hidden="false" customHeight="false" outlineLevel="0" collapsed="false">
      <c r="A410" s="6" t="s">
        <v>203</v>
      </c>
      <c r="B410" s="6" t="s">
        <v>75</v>
      </c>
      <c r="C410" s="6" t="s">
        <v>932</v>
      </c>
      <c r="D410" s="6" t="s">
        <v>943</v>
      </c>
    </row>
    <row r="411" customFormat="false" ht="23.85" hidden="false" customHeight="false" outlineLevel="0" collapsed="false">
      <c r="A411" s="6" t="s">
        <v>203</v>
      </c>
      <c r="B411" s="6" t="s">
        <v>75</v>
      </c>
      <c r="C411" s="6" t="s">
        <v>932</v>
      </c>
      <c r="D411" s="6" t="s">
        <v>91</v>
      </c>
    </row>
    <row r="412" customFormat="false" ht="135.8" hidden="false" customHeight="false" outlineLevel="0" collapsed="false">
      <c r="A412" s="6" t="s">
        <v>235</v>
      </c>
      <c r="B412" s="6" t="s">
        <v>238</v>
      </c>
      <c r="C412" s="6" t="s">
        <v>1178</v>
      </c>
      <c r="D412" s="6" t="s">
        <v>1179</v>
      </c>
    </row>
    <row r="413" customFormat="false" ht="15" hidden="false" customHeight="false" outlineLevel="0" collapsed="false">
      <c r="A413" s="6" t="s">
        <v>486</v>
      </c>
      <c r="B413" s="6" t="s">
        <v>229</v>
      </c>
      <c r="C413" s="6" t="s">
        <v>932</v>
      </c>
      <c r="D413" s="6" t="s">
        <v>1145</v>
      </c>
    </row>
    <row r="414" customFormat="false" ht="15" hidden="false" customHeight="false" outlineLevel="0" collapsed="false">
      <c r="A414" s="6" t="s">
        <v>486</v>
      </c>
      <c r="B414" s="6" t="s">
        <v>229</v>
      </c>
      <c r="C414" s="6" t="s">
        <v>932</v>
      </c>
      <c r="D414" s="6" t="s">
        <v>1146</v>
      </c>
    </row>
    <row r="415" customFormat="false" ht="23.85" hidden="false" customHeight="false" outlineLevel="0" collapsed="false">
      <c r="A415" s="6" t="s">
        <v>486</v>
      </c>
      <c r="B415" s="6" t="s">
        <v>229</v>
      </c>
      <c r="C415" s="6" t="s">
        <v>932</v>
      </c>
      <c r="D415" s="6" t="s">
        <v>1180</v>
      </c>
    </row>
    <row r="416" customFormat="false" ht="23.85" hidden="false" customHeight="false" outlineLevel="0" collapsed="false">
      <c r="A416" s="6" t="s">
        <v>486</v>
      </c>
      <c r="B416" s="6" t="s">
        <v>229</v>
      </c>
      <c r="C416" s="6" t="s">
        <v>932</v>
      </c>
      <c r="D416" s="6" t="s">
        <v>1147</v>
      </c>
    </row>
    <row r="417" customFormat="false" ht="35.05" hidden="false" customHeight="false" outlineLevel="0" collapsed="false">
      <c r="A417" s="6" t="s">
        <v>486</v>
      </c>
      <c r="B417" s="6" t="s">
        <v>229</v>
      </c>
      <c r="C417" s="6" t="s">
        <v>932</v>
      </c>
      <c r="D417" s="6" t="s">
        <v>497</v>
      </c>
    </row>
    <row r="418" customFormat="false" ht="35.05" hidden="false" customHeight="false" outlineLevel="0" collapsed="false">
      <c r="A418" s="6" t="s">
        <v>486</v>
      </c>
      <c r="B418" s="6" t="s">
        <v>169</v>
      </c>
      <c r="C418" s="6" t="s">
        <v>932</v>
      </c>
      <c r="D418" s="6" t="s">
        <v>263</v>
      </c>
    </row>
    <row r="419" customFormat="false" ht="35.05" hidden="false" customHeight="false" outlineLevel="0" collapsed="false">
      <c r="A419" s="6" t="s">
        <v>486</v>
      </c>
      <c r="B419" s="6" t="s">
        <v>99</v>
      </c>
      <c r="C419" s="6" t="s">
        <v>932</v>
      </c>
      <c r="D419" s="6" t="s">
        <v>1181</v>
      </c>
    </row>
    <row r="420" customFormat="false" ht="15" hidden="false" customHeight="false" outlineLevel="0" collapsed="false">
      <c r="A420" s="6" t="s">
        <v>486</v>
      </c>
      <c r="B420" s="6" t="s">
        <v>99</v>
      </c>
      <c r="C420" s="6" t="s">
        <v>932</v>
      </c>
      <c r="D420" s="6" t="s">
        <v>1182</v>
      </c>
    </row>
    <row r="421" customFormat="false" ht="23.85" hidden="false" customHeight="false" outlineLevel="0" collapsed="false">
      <c r="A421" s="6" t="s">
        <v>486</v>
      </c>
      <c r="B421" s="6" t="s">
        <v>75</v>
      </c>
      <c r="C421" s="6" t="s">
        <v>932</v>
      </c>
      <c r="D421" s="6" t="s">
        <v>1183</v>
      </c>
    </row>
    <row r="422" customFormat="false" ht="23.85" hidden="false" customHeight="false" outlineLevel="0" collapsed="false">
      <c r="A422" s="6" t="s">
        <v>486</v>
      </c>
      <c r="B422" s="6" t="s">
        <v>75</v>
      </c>
      <c r="C422" s="6" t="s">
        <v>932</v>
      </c>
      <c r="D422" s="6" t="s">
        <v>489</v>
      </c>
    </row>
    <row r="423" customFormat="false" ht="23.85" hidden="false" customHeight="false" outlineLevel="0" collapsed="false">
      <c r="A423" s="6" t="s">
        <v>547</v>
      </c>
      <c r="B423" s="6" t="s">
        <v>146</v>
      </c>
      <c r="C423" s="6" t="s">
        <v>932</v>
      </c>
      <c r="D423" s="6" t="s">
        <v>1128</v>
      </c>
    </row>
    <row r="424" customFormat="false" ht="23.85" hidden="false" customHeight="false" outlineLevel="0" collapsed="false">
      <c r="A424" s="6" t="s">
        <v>547</v>
      </c>
      <c r="B424" s="6" t="s">
        <v>62</v>
      </c>
      <c r="C424" s="6" t="s">
        <v>932</v>
      </c>
      <c r="D424" s="6" t="s">
        <v>1172</v>
      </c>
    </row>
    <row r="425" customFormat="false" ht="35.05" hidden="false" customHeight="false" outlineLevel="0" collapsed="false">
      <c r="A425" s="6" t="s">
        <v>547</v>
      </c>
      <c r="B425" s="6" t="s">
        <v>75</v>
      </c>
      <c r="C425" s="6" t="s">
        <v>932</v>
      </c>
      <c r="D425" s="6" t="s">
        <v>546</v>
      </c>
    </row>
    <row r="426" customFormat="false" ht="46.25" hidden="false" customHeight="false" outlineLevel="0" collapsed="false">
      <c r="A426" s="6" t="s">
        <v>547</v>
      </c>
      <c r="B426" s="6" t="s">
        <v>75</v>
      </c>
      <c r="C426" s="6" t="s">
        <v>932</v>
      </c>
      <c r="D426" s="6" t="s">
        <v>1184</v>
      </c>
    </row>
    <row r="427" customFormat="false" ht="15" hidden="false" customHeight="false" outlineLevel="0" collapsed="false">
      <c r="A427" s="6" t="s">
        <v>547</v>
      </c>
      <c r="B427" s="6" t="s">
        <v>80</v>
      </c>
      <c r="C427" s="6" t="s">
        <v>932</v>
      </c>
      <c r="D427" s="6" t="s">
        <v>984</v>
      </c>
    </row>
    <row r="428" customFormat="false" ht="35.05" hidden="false" customHeight="false" outlineLevel="0" collapsed="false">
      <c r="A428" s="6" t="s">
        <v>547</v>
      </c>
      <c r="B428" s="6" t="s">
        <v>80</v>
      </c>
      <c r="C428" s="6" t="s">
        <v>932</v>
      </c>
      <c r="D428" s="6" t="s">
        <v>151</v>
      </c>
    </row>
    <row r="429" customFormat="false" ht="35.05" hidden="false" customHeight="false" outlineLevel="0" collapsed="false">
      <c r="A429" s="6" t="s">
        <v>206</v>
      </c>
      <c r="B429" s="6" t="s">
        <v>86</v>
      </c>
      <c r="C429" s="6" t="s">
        <v>932</v>
      </c>
      <c r="D429" s="6" t="s">
        <v>1176</v>
      </c>
    </row>
    <row r="430" customFormat="false" ht="46.25" hidden="false" customHeight="false" outlineLevel="0" collapsed="false">
      <c r="A430" s="6" t="s">
        <v>206</v>
      </c>
      <c r="B430" s="6" t="s">
        <v>86</v>
      </c>
      <c r="C430" s="6" t="s">
        <v>932</v>
      </c>
      <c r="D430" s="6" t="s">
        <v>1177</v>
      </c>
    </row>
    <row r="431" customFormat="false" ht="46.25" hidden="false" customHeight="false" outlineLevel="0" collapsed="false">
      <c r="A431" s="6" t="s">
        <v>206</v>
      </c>
      <c r="B431" s="6" t="s">
        <v>109</v>
      </c>
      <c r="C431" s="6" t="s">
        <v>932</v>
      </c>
      <c r="D431" s="6" t="s">
        <v>209</v>
      </c>
    </row>
    <row r="432" customFormat="false" ht="23.85" hidden="false" customHeight="false" outlineLevel="0" collapsed="false">
      <c r="A432" s="6" t="s">
        <v>206</v>
      </c>
      <c r="B432" s="6" t="s">
        <v>169</v>
      </c>
      <c r="C432" s="6" t="s">
        <v>1062</v>
      </c>
      <c r="D432" s="6" t="s">
        <v>1063</v>
      </c>
    </row>
    <row r="433" customFormat="false" ht="23.85" hidden="false" customHeight="false" outlineLevel="0" collapsed="false">
      <c r="A433" s="6" t="s">
        <v>68</v>
      </c>
      <c r="B433" s="6" t="s">
        <v>61</v>
      </c>
      <c r="C433" s="6" t="s">
        <v>932</v>
      </c>
      <c r="D433" s="6" t="s">
        <v>946</v>
      </c>
    </row>
    <row r="434" customFormat="false" ht="35.05" hidden="false" customHeight="false" outlineLevel="0" collapsed="false">
      <c r="A434" s="6" t="s">
        <v>68</v>
      </c>
      <c r="B434" s="6" t="s">
        <v>61</v>
      </c>
      <c r="C434" s="6" t="s">
        <v>932</v>
      </c>
      <c r="D434" s="6" t="s">
        <v>1185</v>
      </c>
    </row>
    <row r="435" customFormat="false" ht="35.05" hidden="false" customHeight="false" outlineLevel="0" collapsed="false">
      <c r="A435" s="6" t="s">
        <v>68</v>
      </c>
      <c r="B435" s="6" t="s">
        <v>61</v>
      </c>
      <c r="C435" s="6" t="s">
        <v>932</v>
      </c>
      <c r="D435" s="6" t="s">
        <v>1186</v>
      </c>
    </row>
    <row r="436" customFormat="false" ht="23.85" hidden="false" customHeight="false" outlineLevel="0" collapsed="false">
      <c r="A436" s="6" t="s">
        <v>68</v>
      </c>
      <c r="B436" s="6" t="s">
        <v>61</v>
      </c>
      <c r="C436" s="6" t="s">
        <v>932</v>
      </c>
      <c r="D436" s="6" t="s">
        <v>1187</v>
      </c>
    </row>
    <row r="437" customFormat="false" ht="46.25" hidden="false" customHeight="false" outlineLevel="0" collapsed="false">
      <c r="A437" s="6" t="s">
        <v>68</v>
      </c>
      <c r="B437" s="6" t="s">
        <v>61</v>
      </c>
      <c r="C437" s="6" t="s">
        <v>932</v>
      </c>
      <c r="D437" s="6" t="s">
        <v>1188</v>
      </c>
    </row>
    <row r="438" customFormat="false" ht="23.85" hidden="false" customHeight="false" outlineLevel="0" collapsed="false">
      <c r="A438" s="6" t="s">
        <v>68</v>
      </c>
      <c r="B438" s="6" t="s">
        <v>86</v>
      </c>
      <c r="C438" s="6" t="s">
        <v>932</v>
      </c>
      <c r="D438" s="6" t="s">
        <v>1189</v>
      </c>
    </row>
    <row r="439" customFormat="false" ht="35.05" hidden="false" customHeight="false" outlineLevel="0" collapsed="false">
      <c r="A439" s="6" t="s">
        <v>68</v>
      </c>
      <c r="B439" s="6" t="s">
        <v>86</v>
      </c>
      <c r="C439" s="6" t="s">
        <v>932</v>
      </c>
      <c r="D439" s="6" t="s">
        <v>994</v>
      </c>
    </row>
    <row r="440" customFormat="false" ht="23.85" hidden="false" customHeight="false" outlineLevel="0" collapsed="false">
      <c r="A440" s="6" t="s">
        <v>68</v>
      </c>
      <c r="B440" s="6" t="s">
        <v>86</v>
      </c>
      <c r="C440" s="6" t="s">
        <v>932</v>
      </c>
      <c r="D440" s="6" t="s">
        <v>1085</v>
      </c>
    </row>
    <row r="441" customFormat="false" ht="46.25" hidden="false" customHeight="false" outlineLevel="0" collapsed="false">
      <c r="A441" s="6" t="s">
        <v>68</v>
      </c>
      <c r="B441" s="6" t="s">
        <v>86</v>
      </c>
      <c r="C441" s="6" t="s">
        <v>932</v>
      </c>
      <c r="D441" s="6" t="s">
        <v>1003</v>
      </c>
    </row>
    <row r="442" customFormat="false" ht="46.25" hidden="false" customHeight="false" outlineLevel="0" collapsed="false">
      <c r="A442" s="6" t="s">
        <v>68</v>
      </c>
      <c r="B442" s="6" t="s">
        <v>95</v>
      </c>
      <c r="C442" s="6" t="s">
        <v>932</v>
      </c>
      <c r="D442" s="6" t="s">
        <v>1016</v>
      </c>
    </row>
    <row r="443" customFormat="false" ht="23.85" hidden="false" customHeight="false" outlineLevel="0" collapsed="false">
      <c r="A443" s="6" t="s">
        <v>68</v>
      </c>
      <c r="B443" s="6" t="s">
        <v>95</v>
      </c>
      <c r="C443" s="6" t="s">
        <v>932</v>
      </c>
      <c r="D443" s="6" t="s">
        <v>1017</v>
      </c>
    </row>
    <row r="444" customFormat="false" ht="23.85" hidden="false" customHeight="false" outlineLevel="0" collapsed="false">
      <c r="A444" s="6" t="s">
        <v>68</v>
      </c>
      <c r="B444" s="6" t="s">
        <v>95</v>
      </c>
      <c r="C444" s="6" t="s">
        <v>932</v>
      </c>
      <c r="D444" s="6" t="s">
        <v>1190</v>
      </c>
    </row>
    <row r="445" customFormat="false" ht="23.85" hidden="false" customHeight="false" outlineLevel="0" collapsed="false">
      <c r="A445" s="6" t="s">
        <v>68</v>
      </c>
      <c r="B445" s="6" t="s">
        <v>95</v>
      </c>
      <c r="C445" s="6" t="s">
        <v>932</v>
      </c>
      <c r="D445" s="6" t="s">
        <v>1191</v>
      </c>
    </row>
    <row r="446" customFormat="false" ht="35.05" hidden="false" customHeight="false" outlineLevel="0" collapsed="false">
      <c r="A446" s="6" t="s">
        <v>68</v>
      </c>
      <c r="B446" s="6" t="s">
        <v>95</v>
      </c>
      <c r="C446" s="6" t="s">
        <v>932</v>
      </c>
      <c r="D446" s="6" t="s">
        <v>1192</v>
      </c>
    </row>
    <row r="447" customFormat="false" ht="35.05" hidden="false" customHeight="false" outlineLevel="0" collapsed="false">
      <c r="A447" s="6" t="s">
        <v>68</v>
      </c>
      <c r="B447" s="6" t="s">
        <v>95</v>
      </c>
      <c r="C447" s="6" t="s">
        <v>932</v>
      </c>
      <c r="D447" s="6" t="s">
        <v>1193</v>
      </c>
    </row>
    <row r="448" customFormat="false" ht="15" hidden="false" customHeight="false" outlineLevel="0" collapsed="false">
      <c r="A448" s="6" t="s">
        <v>68</v>
      </c>
      <c r="B448" s="6" t="s">
        <v>186</v>
      </c>
      <c r="C448" s="6" t="s">
        <v>932</v>
      </c>
      <c r="D448" s="6" t="s">
        <v>1194</v>
      </c>
    </row>
    <row r="449" customFormat="false" ht="23.85" hidden="false" customHeight="false" outlineLevel="0" collapsed="false">
      <c r="A449" s="6" t="s">
        <v>68</v>
      </c>
      <c r="B449" s="6" t="s">
        <v>186</v>
      </c>
      <c r="C449" s="6" t="s">
        <v>932</v>
      </c>
      <c r="D449" s="6" t="s">
        <v>1195</v>
      </c>
    </row>
    <row r="450" customFormat="false" ht="46.25" hidden="false" customHeight="false" outlineLevel="0" collapsed="false">
      <c r="A450" s="6" t="s">
        <v>68</v>
      </c>
      <c r="B450" s="6" t="s">
        <v>186</v>
      </c>
      <c r="C450" s="6" t="s">
        <v>932</v>
      </c>
      <c r="D450" s="6" t="s">
        <v>1196</v>
      </c>
    </row>
    <row r="451" customFormat="false" ht="23.85" hidden="false" customHeight="false" outlineLevel="0" collapsed="false">
      <c r="A451" s="6" t="s">
        <v>68</v>
      </c>
      <c r="B451" s="6" t="s">
        <v>186</v>
      </c>
      <c r="C451" s="6" t="s">
        <v>932</v>
      </c>
      <c r="D451" s="6" t="s">
        <v>1197</v>
      </c>
    </row>
    <row r="452" customFormat="false" ht="23.85" hidden="false" customHeight="false" outlineLevel="0" collapsed="false">
      <c r="A452" s="6" t="s">
        <v>68</v>
      </c>
      <c r="B452" s="6" t="s">
        <v>146</v>
      </c>
      <c r="C452" s="6" t="s">
        <v>932</v>
      </c>
      <c r="D452" s="6" t="s">
        <v>1170</v>
      </c>
    </row>
    <row r="453" customFormat="false" ht="15" hidden="false" customHeight="false" outlineLevel="0" collapsed="false">
      <c r="A453" s="6" t="s">
        <v>68</v>
      </c>
      <c r="B453" s="6" t="s">
        <v>99</v>
      </c>
      <c r="C453" s="6" t="s">
        <v>932</v>
      </c>
      <c r="D453" s="6" t="s">
        <v>1021</v>
      </c>
    </row>
    <row r="454" customFormat="false" ht="15" hidden="false" customHeight="false" outlineLevel="0" collapsed="false">
      <c r="A454" s="6" t="s">
        <v>68</v>
      </c>
      <c r="B454" s="6" t="s">
        <v>99</v>
      </c>
      <c r="C454" s="6" t="s">
        <v>932</v>
      </c>
      <c r="D454" s="6" t="s">
        <v>1198</v>
      </c>
    </row>
    <row r="455" customFormat="false" ht="23.85" hidden="false" customHeight="false" outlineLevel="0" collapsed="false">
      <c r="A455" s="6" t="s">
        <v>68</v>
      </c>
      <c r="B455" s="6" t="s">
        <v>99</v>
      </c>
      <c r="C455" s="6" t="s">
        <v>932</v>
      </c>
      <c r="D455" s="6" t="s">
        <v>1199</v>
      </c>
    </row>
    <row r="456" customFormat="false" ht="15" hidden="false" customHeight="false" outlineLevel="0" collapsed="false">
      <c r="A456" s="6" t="s">
        <v>68</v>
      </c>
      <c r="B456" s="6" t="s">
        <v>62</v>
      </c>
      <c r="C456" s="6" t="s">
        <v>932</v>
      </c>
      <c r="D456" s="6" t="s">
        <v>1200</v>
      </c>
    </row>
    <row r="457" customFormat="false" ht="23.85" hidden="false" customHeight="false" outlineLevel="0" collapsed="false">
      <c r="A457" s="6" t="s">
        <v>68</v>
      </c>
      <c r="B457" s="6" t="s">
        <v>62</v>
      </c>
      <c r="C457" s="6" t="s">
        <v>932</v>
      </c>
      <c r="D457" s="6" t="s">
        <v>1201</v>
      </c>
    </row>
    <row r="458" customFormat="false" ht="35.05" hidden="false" customHeight="false" outlineLevel="0" collapsed="false">
      <c r="A458" s="6" t="s">
        <v>68</v>
      </c>
      <c r="B458" s="6" t="s">
        <v>62</v>
      </c>
      <c r="C458" s="6" t="s">
        <v>932</v>
      </c>
      <c r="D458" s="6" t="s">
        <v>71</v>
      </c>
    </row>
    <row r="459" customFormat="false" ht="23.85" hidden="false" customHeight="false" outlineLevel="0" collapsed="false">
      <c r="A459" s="6" t="s">
        <v>394</v>
      </c>
      <c r="B459" s="6" t="s">
        <v>99</v>
      </c>
      <c r="C459" s="6" t="s">
        <v>932</v>
      </c>
      <c r="D459" s="6" t="s">
        <v>1202</v>
      </c>
    </row>
    <row r="460" customFormat="false" ht="46.25" hidden="false" customHeight="false" outlineLevel="0" collapsed="false">
      <c r="A460" s="6" t="s">
        <v>394</v>
      </c>
      <c r="B460" s="6" t="s">
        <v>75</v>
      </c>
      <c r="C460" s="6" t="s">
        <v>932</v>
      </c>
      <c r="D460" s="6" t="s">
        <v>1203</v>
      </c>
    </row>
    <row r="461" customFormat="false" ht="15" hidden="false" customHeight="false" outlineLevel="0" collapsed="false">
      <c r="A461" s="6" t="s">
        <v>394</v>
      </c>
      <c r="B461" s="6" t="s">
        <v>75</v>
      </c>
      <c r="C461" s="6" t="s">
        <v>932</v>
      </c>
      <c r="D461" s="6" t="s">
        <v>1204</v>
      </c>
    </row>
    <row r="462" customFormat="false" ht="15" hidden="false" customHeight="false" outlineLevel="0" collapsed="false">
      <c r="A462" s="6" t="s">
        <v>394</v>
      </c>
      <c r="B462" s="6" t="s">
        <v>75</v>
      </c>
      <c r="C462" s="6" t="s">
        <v>932</v>
      </c>
      <c r="D462" s="6" t="s">
        <v>1205</v>
      </c>
    </row>
    <row r="463" customFormat="false" ht="35.05" hidden="false" customHeight="false" outlineLevel="0" collapsed="false">
      <c r="A463" s="6" t="s">
        <v>394</v>
      </c>
      <c r="B463" s="6" t="s">
        <v>75</v>
      </c>
      <c r="C463" s="6" t="s">
        <v>932</v>
      </c>
      <c r="D463" s="6" t="s">
        <v>397</v>
      </c>
    </row>
    <row r="464" customFormat="false" ht="57.45" hidden="false" customHeight="false" outlineLevel="0" collapsed="false">
      <c r="A464" s="6" t="s">
        <v>456</v>
      </c>
      <c r="B464" s="6" t="s">
        <v>95</v>
      </c>
      <c r="C464" s="6" t="s">
        <v>932</v>
      </c>
      <c r="D464" s="6" t="s">
        <v>1206</v>
      </c>
    </row>
    <row r="465" customFormat="false" ht="35.05" hidden="false" customHeight="false" outlineLevel="0" collapsed="false">
      <c r="A465" s="6" t="s">
        <v>456</v>
      </c>
      <c r="B465" s="6" t="s">
        <v>229</v>
      </c>
      <c r="C465" s="6" t="s">
        <v>932</v>
      </c>
      <c r="D465" s="6" t="s">
        <v>601</v>
      </c>
    </row>
    <row r="466" customFormat="false" ht="23.85" hidden="false" customHeight="false" outlineLevel="0" collapsed="false">
      <c r="A466" s="6" t="s">
        <v>456</v>
      </c>
      <c r="B466" s="6" t="s">
        <v>169</v>
      </c>
      <c r="C466" s="6" t="s">
        <v>932</v>
      </c>
      <c r="D466" s="6" t="s">
        <v>1207</v>
      </c>
    </row>
    <row r="467" customFormat="false" ht="15" hidden="false" customHeight="false" outlineLevel="0" collapsed="false">
      <c r="A467" s="6" t="s">
        <v>456</v>
      </c>
      <c r="B467" s="6" t="s">
        <v>80</v>
      </c>
      <c r="C467" s="6" t="s">
        <v>932</v>
      </c>
      <c r="D467" s="6" t="s">
        <v>1208</v>
      </c>
    </row>
    <row r="468" customFormat="false" ht="35.05" hidden="false" customHeight="false" outlineLevel="0" collapsed="false">
      <c r="A468" s="6" t="s">
        <v>456</v>
      </c>
      <c r="B468" s="6" t="s">
        <v>80</v>
      </c>
      <c r="C468" s="6" t="s">
        <v>932</v>
      </c>
      <c r="D468" s="6" t="s">
        <v>1209</v>
      </c>
    </row>
    <row r="469" customFormat="false" ht="23.85" hidden="false" customHeight="false" outlineLevel="0" collapsed="false">
      <c r="A469" s="6" t="s">
        <v>456</v>
      </c>
      <c r="B469" s="6" t="s">
        <v>80</v>
      </c>
      <c r="C469" s="6" t="s">
        <v>932</v>
      </c>
      <c r="D469" s="6" t="s">
        <v>1210</v>
      </c>
    </row>
    <row r="470" customFormat="false" ht="35.05" hidden="false" customHeight="false" outlineLevel="0" collapsed="false">
      <c r="A470" s="6" t="s">
        <v>456</v>
      </c>
      <c r="B470" s="6" t="s">
        <v>80</v>
      </c>
      <c r="C470" s="6" t="s">
        <v>932</v>
      </c>
      <c r="D470" s="6" t="s">
        <v>1211</v>
      </c>
    </row>
    <row r="471" customFormat="false" ht="23.85" hidden="false" customHeight="false" outlineLevel="0" collapsed="false">
      <c r="A471" s="6" t="s">
        <v>456</v>
      </c>
      <c r="B471" s="6" t="s">
        <v>80</v>
      </c>
      <c r="C471" s="6" t="s">
        <v>932</v>
      </c>
      <c r="D471" s="6" t="s">
        <v>460</v>
      </c>
    </row>
    <row r="472" customFormat="false" ht="35.05" hidden="false" customHeight="false" outlineLevel="0" collapsed="false">
      <c r="A472" s="6" t="s">
        <v>456</v>
      </c>
      <c r="B472" s="6" t="s">
        <v>104</v>
      </c>
      <c r="C472" s="6" t="s">
        <v>1212</v>
      </c>
      <c r="D472" s="6" t="s">
        <v>1213</v>
      </c>
    </row>
    <row r="473" customFormat="false" ht="23.85" hidden="false" customHeight="false" outlineLevel="0" collapsed="false">
      <c r="A473" s="6" t="s">
        <v>456</v>
      </c>
      <c r="B473" s="6" t="s">
        <v>104</v>
      </c>
      <c r="C473" s="6" t="s">
        <v>1214</v>
      </c>
      <c r="D473" s="6" t="s">
        <v>1215</v>
      </c>
    </row>
    <row r="474" customFormat="false" ht="23.85" hidden="false" customHeight="false" outlineLevel="0" collapsed="false">
      <c r="A474" s="6" t="s">
        <v>429</v>
      </c>
      <c r="B474" s="6" t="s">
        <v>229</v>
      </c>
      <c r="C474" s="6" t="s">
        <v>932</v>
      </c>
      <c r="D474" s="6" t="s">
        <v>1160</v>
      </c>
    </row>
    <row r="475" customFormat="false" ht="15" hidden="false" customHeight="false" outlineLevel="0" collapsed="false">
      <c r="A475" s="6" t="s">
        <v>429</v>
      </c>
      <c r="B475" s="6" t="s">
        <v>229</v>
      </c>
      <c r="C475" s="6" t="s">
        <v>932</v>
      </c>
      <c r="D475" s="6" t="s">
        <v>1161</v>
      </c>
    </row>
    <row r="476" customFormat="false" ht="15" hidden="false" customHeight="false" outlineLevel="0" collapsed="false">
      <c r="A476" s="6" t="s">
        <v>429</v>
      </c>
      <c r="B476" s="6" t="s">
        <v>229</v>
      </c>
      <c r="C476" s="6" t="s">
        <v>932</v>
      </c>
      <c r="D476" s="6" t="s">
        <v>1216</v>
      </c>
    </row>
    <row r="477" customFormat="false" ht="35.05" hidden="false" customHeight="false" outlineLevel="0" collapsed="false">
      <c r="A477" s="6" t="s">
        <v>429</v>
      </c>
      <c r="B477" s="6" t="s">
        <v>229</v>
      </c>
      <c r="C477" s="6" t="s">
        <v>932</v>
      </c>
      <c r="D477" s="6" t="s">
        <v>1163</v>
      </c>
    </row>
    <row r="478" customFormat="false" ht="46.25" hidden="false" customHeight="false" outlineLevel="0" collapsed="false">
      <c r="A478" s="6" t="s">
        <v>429</v>
      </c>
      <c r="B478" s="6" t="s">
        <v>229</v>
      </c>
      <c r="C478" s="6" t="s">
        <v>932</v>
      </c>
      <c r="D478" s="6" t="s">
        <v>1164</v>
      </c>
    </row>
    <row r="479" customFormat="false" ht="23.85" hidden="false" customHeight="false" outlineLevel="0" collapsed="false">
      <c r="A479" s="6" t="s">
        <v>429</v>
      </c>
      <c r="B479" s="6" t="s">
        <v>229</v>
      </c>
      <c r="C479" s="6" t="s">
        <v>932</v>
      </c>
      <c r="D479" s="6" t="s">
        <v>1162</v>
      </c>
    </row>
    <row r="480" customFormat="false" ht="23.85" hidden="false" customHeight="false" outlineLevel="0" collapsed="false">
      <c r="A480" s="6" t="s">
        <v>429</v>
      </c>
      <c r="B480" s="6" t="s">
        <v>146</v>
      </c>
      <c r="C480" s="6" t="s">
        <v>932</v>
      </c>
      <c r="D480" s="6" t="s">
        <v>432</v>
      </c>
    </row>
    <row r="481" customFormat="false" ht="23.85" hidden="false" customHeight="false" outlineLevel="0" collapsed="false">
      <c r="A481" s="6" t="s">
        <v>429</v>
      </c>
      <c r="B481" s="6" t="s">
        <v>169</v>
      </c>
      <c r="C481" s="6" t="s">
        <v>1062</v>
      </c>
      <c r="D481" s="6" t="s">
        <v>1063</v>
      </c>
    </row>
    <row r="482" customFormat="false" ht="23.85" hidden="false" customHeight="false" outlineLevel="0" collapsed="false">
      <c r="A482" s="6" t="s">
        <v>429</v>
      </c>
      <c r="B482" s="6" t="s">
        <v>99</v>
      </c>
      <c r="C482" s="6" t="s">
        <v>974</v>
      </c>
      <c r="D482" s="6" t="s">
        <v>975</v>
      </c>
    </row>
    <row r="483" customFormat="false" ht="35.05" hidden="false" customHeight="false" outlineLevel="0" collapsed="false">
      <c r="A483" s="6" t="s">
        <v>550</v>
      </c>
      <c r="B483" s="6" t="s">
        <v>99</v>
      </c>
      <c r="C483" s="6" t="s">
        <v>932</v>
      </c>
      <c r="D483" s="6" t="s">
        <v>1217</v>
      </c>
    </row>
    <row r="484" customFormat="false" ht="15" hidden="false" customHeight="false" outlineLevel="0" collapsed="false">
      <c r="A484" s="6" t="s">
        <v>550</v>
      </c>
      <c r="B484" s="6" t="s">
        <v>99</v>
      </c>
      <c r="C484" s="6" t="s">
        <v>932</v>
      </c>
      <c r="D484" s="6" t="s">
        <v>1218</v>
      </c>
    </row>
    <row r="485" customFormat="false" ht="35.05" hidden="false" customHeight="false" outlineLevel="0" collapsed="false">
      <c r="A485" s="6" t="s">
        <v>550</v>
      </c>
      <c r="B485" s="6" t="s">
        <v>75</v>
      </c>
      <c r="C485" s="6" t="s">
        <v>932</v>
      </c>
      <c r="D485" s="6" t="s">
        <v>546</v>
      </c>
    </row>
    <row r="486" customFormat="false" ht="15" hidden="false" customHeight="false" outlineLevel="0" collapsed="false">
      <c r="A486" s="6" t="s">
        <v>550</v>
      </c>
      <c r="B486" s="6" t="s">
        <v>75</v>
      </c>
      <c r="C486" s="6" t="s">
        <v>932</v>
      </c>
      <c r="D486" s="6" t="s">
        <v>1219</v>
      </c>
    </row>
    <row r="487" customFormat="false" ht="23.85" hidden="false" customHeight="false" outlineLevel="0" collapsed="false">
      <c r="A487" s="6" t="s">
        <v>550</v>
      </c>
      <c r="B487" s="6" t="s">
        <v>75</v>
      </c>
      <c r="C487" s="6" t="s">
        <v>932</v>
      </c>
      <c r="D487" s="6" t="s">
        <v>1183</v>
      </c>
    </row>
    <row r="488" customFormat="false" ht="23.85" hidden="false" customHeight="false" outlineLevel="0" collapsed="false">
      <c r="A488" s="6" t="s">
        <v>433</v>
      </c>
      <c r="B488" s="6" t="s">
        <v>229</v>
      </c>
      <c r="C488" s="6" t="s">
        <v>932</v>
      </c>
      <c r="D488" s="6" t="s">
        <v>939</v>
      </c>
    </row>
    <row r="489" customFormat="false" ht="15" hidden="false" customHeight="false" outlineLevel="0" collapsed="false">
      <c r="A489" s="6" t="s">
        <v>433</v>
      </c>
      <c r="B489" s="6" t="s">
        <v>229</v>
      </c>
      <c r="C489" s="6" t="s">
        <v>932</v>
      </c>
      <c r="D489" s="6" t="s">
        <v>1035</v>
      </c>
    </row>
    <row r="490" customFormat="false" ht="57.45" hidden="false" customHeight="false" outlineLevel="0" collapsed="false">
      <c r="A490" s="6" t="s">
        <v>433</v>
      </c>
      <c r="B490" s="6" t="s">
        <v>229</v>
      </c>
      <c r="C490" s="6" t="s">
        <v>932</v>
      </c>
      <c r="D490" s="6" t="s">
        <v>532</v>
      </c>
    </row>
    <row r="491" customFormat="false" ht="35.05" hidden="false" customHeight="false" outlineLevel="0" collapsed="false">
      <c r="A491" s="6" t="s">
        <v>433</v>
      </c>
      <c r="B491" s="6" t="s">
        <v>229</v>
      </c>
      <c r="C491" s="6" t="s">
        <v>932</v>
      </c>
      <c r="D491" s="6" t="s">
        <v>1036</v>
      </c>
    </row>
    <row r="492" customFormat="false" ht="23.85" hidden="false" customHeight="false" outlineLevel="0" collapsed="false">
      <c r="A492" s="6" t="s">
        <v>433</v>
      </c>
      <c r="B492" s="6" t="s">
        <v>229</v>
      </c>
      <c r="C492" s="6" t="s">
        <v>932</v>
      </c>
      <c r="D492" s="6" t="s">
        <v>1037</v>
      </c>
    </row>
    <row r="493" customFormat="false" ht="35.05" hidden="false" customHeight="false" outlineLevel="0" collapsed="false">
      <c r="A493" s="6" t="s">
        <v>433</v>
      </c>
      <c r="B493" s="6" t="s">
        <v>80</v>
      </c>
      <c r="C493" s="6" t="s">
        <v>932</v>
      </c>
      <c r="D493" s="6" t="s">
        <v>419</v>
      </c>
    </row>
    <row r="494" customFormat="false" ht="23.85" hidden="false" customHeight="false" outlineLevel="0" collapsed="false">
      <c r="A494" s="6" t="s">
        <v>319</v>
      </c>
      <c r="B494" s="6" t="s">
        <v>86</v>
      </c>
      <c r="C494" s="6" t="s">
        <v>932</v>
      </c>
      <c r="D494" s="6" t="s">
        <v>251</v>
      </c>
    </row>
    <row r="495" customFormat="false" ht="15" hidden="false" customHeight="false" outlineLevel="0" collapsed="false">
      <c r="A495" s="6" t="s">
        <v>319</v>
      </c>
      <c r="B495" s="6" t="s">
        <v>86</v>
      </c>
      <c r="C495" s="6" t="s">
        <v>932</v>
      </c>
      <c r="D495" s="6" t="s">
        <v>1123</v>
      </c>
    </row>
    <row r="496" customFormat="false" ht="23.85" hidden="false" customHeight="false" outlineLevel="0" collapsed="false">
      <c r="A496" s="6" t="s">
        <v>319</v>
      </c>
      <c r="B496" s="6" t="s">
        <v>86</v>
      </c>
      <c r="C496" s="6" t="s">
        <v>932</v>
      </c>
      <c r="D496" s="6" t="s">
        <v>1124</v>
      </c>
    </row>
    <row r="497" customFormat="false" ht="15" hidden="false" customHeight="false" outlineLevel="0" collapsed="false">
      <c r="A497" s="6" t="s">
        <v>319</v>
      </c>
      <c r="B497" s="6" t="s">
        <v>99</v>
      </c>
      <c r="C497" s="6" t="s">
        <v>932</v>
      </c>
      <c r="D497" s="6" t="s">
        <v>1220</v>
      </c>
    </row>
    <row r="498" customFormat="false" ht="46.25" hidden="false" customHeight="false" outlineLevel="0" collapsed="false">
      <c r="A498" s="6" t="s">
        <v>319</v>
      </c>
      <c r="B498" s="6" t="s">
        <v>62</v>
      </c>
      <c r="C498" s="6" t="s">
        <v>932</v>
      </c>
      <c r="D498" s="6" t="s">
        <v>246</v>
      </c>
    </row>
    <row r="499" customFormat="false" ht="23.85" hidden="false" customHeight="false" outlineLevel="0" collapsed="false">
      <c r="A499" s="6" t="s">
        <v>319</v>
      </c>
      <c r="B499" s="6" t="s">
        <v>62</v>
      </c>
      <c r="C499" s="6" t="s">
        <v>932</v>
      </c>
      <c r="D499" s="6" t="s">
        <v>1221</v>
      </c>
    </row>
    <row r="500" customFormat="false" ht="23.85" hidden="false" customHeight="false" outlineLevel="0" collapsed="false">
      <c r="A500" s="6" t="s">
        <v>319</v>
      </c>
      <c r="B500" s="6" t="s">
        <v>62</v>
      </c>
      <c r="C500" s="6" t="s">
        <v>932</v>
      </c>
      <c r="D500" s="6" t="s">
        <v>1043</v>
      </c>
    </row>
    <row r="501" customFormat="false" ht="23.85" hidden="false" customHeight="false" outlineLevel="0" collapsed="false">
      <c r="A501" s="6" t="s">
        <v>319</v>
      </c>
      <c r="B501" s="6" t="s">
        <v>62</v>
      </c>
      <c r="C501" s="6" t="s">
        <v>932</v>
      </c>
      <c r="D501" s="6" t="s">
        <v>322</v>
      </c>
    </row>
    <row r="502" customFormat="false" ht="23.85" hidden="false" customHeight="false" outlineLevel="0" collapsed="false">
      <c r="A502" s="6" t="s">
        <v>96</v>
      </c>
      <c r="B502" s="6" t="s">
        <v>86</v>
      </c>
      <c r="C502" s="6" t="s">
        <v>932</v>
      </c>
      <c r="D502" s="6" t="s">
        <v>251</v>
      </c>
    </row>
    <row r="503" customFormat="false" ht="15" hidden="false" customHeight="false" outlineLevel="0" collapsed="false">
      <c r="A503" s="6" t="s">
        <v>96</v>
      </c>
      <c r="B503" s="6" t="s">
        <v>109</v>
      </c>
      <c r="C503" s="6" t="s">
        <v>932</v>
      </c>
      <c r="D503" s="6" t="s">
        <v>1222</v>
      </c>
    </row>
    <row r="504" customFormat="false" ht="15" hidden="false" customHeight="false" outlineLevel="0" collapsed="false">
      <c r="A504" s="6" t="s">
        <v>96</v>
      </c>
      <c r="B504" s="6" t="s">
        <v>109</v>
      </c>
      <c r="C504" s="6" t="s">
        <v>932</v>
      </c>
      <c r="D504" s="6" t="s">
        <v>1223</v>
      </c>
    </row>
    <row r="505" customFormat="false" ht="15" hidden="false" customHeight="false" outlineLevel="0" collapsed="false">
      <c r="A505" s="6" t="s">
        <v>96</v>
      </c>
      <c r="B505" s="6" t="s">
        <v>109</v>
      </c>
      <c r="C505" s="6" t="s">
        <v>932</v>
      </c>
      <c r="D505" s="6" t="s">
        <v>1224</v>
      </c>
    </row>
    <row r="506" customFormat="false" ht="23.85" hidden="false" customHeight="false" outlineLevel="0" collapsed="false">
      <c r="A506" s="6" t="s">
        <v>96</v>
      </c>
      <c r="B506" s="6" t="s">
        <v>99</v>
      </c>
      <c r="C506" s="6" t="s">
        <v>932</v>
      </c>
      <c r="D506" s="6" t="s">
        <v>100</v>
      </c>
    </row>
    <row r="507" customFormat="false" ht="23.85" hidden="false" customHeight="false" outlineLevel="0" collapsed="false">
      <c r="A507" s="6" t="s">
        <v>323</v>
      </c>
      <c r="B507" s="6" t="s">
        <v>61</v>
      </c>
      <c r="C507" s="6" t="s">
        <v>932</v>
      </c>
      <c r="D507" s="6" t="s">
        <v>1088</v>
      </c>
    </row>
    <row r="508" customFormat="false" ht="35.05" hidden="false" customHeight="false" outlineLevel="0" collapsed="false">
      <c r="A508" s="6" t="s">
        <v>323</v>
      </c>
      <c r="B508" s="6" t="s">
        <v>61</v>
      </c>
      <c r="C508" s="6" t="s">
        <v>932</v>
      </c>
      <c r="D508" s="6" t="s">
        <v>1225</v>
      </c>
    </row>
    <row r="509" customFormat="false" ht="46.25" hidden="false" customHeight="false" outlineLevel="0" collapsed="false">
      <c r="A509" s="6" t="s">
        <v>323</v>
      </c>
      <c r="B509" s="6" t="s">
        <v>61</v>
      </c>
      <c r="C509" s="6" t="s">
        <v>932</v>
      </c>
      <c r="D509" s="6" t="s">
        <v>1188</v>
      </c>
    </row>
    <row r="510" customFormat="false" ht="35.05" hidden="false" customHeight="false" outlineLevel="0" collapsed="false">
      <c r="A510" s="6" t="s">
        <v>323</v>
      </c>
      <c r="B510" s="6" t="s">
        <v>61</v>
      </c>
      <c r="C510" s="6" t="s">
        <v>932</v>
      </c>
      <c r="D510" s="6" t="s">
        <v>1226</v>
      </c>
    </row>
    <row r="511" customFormat="false" ht="23.85" hidden="false" customHeight="false" outlineLevel="0" collapsed="false">
      <c r="A511" s="6" t="s">
        <v>323</v>
      </c>
      <c r="B511" s="6" t="s">
        <v>86</v>
      </c>
      <c r="C511" s="6" t="s">
        <v>932</v>
      </c>
      <c r="D511" s="6" t="s">
        <v>1227</v>
      </c>
    </row>
    <row r="512" customFormat="false" ht="23.85" hidden="false" customHeight="false" outlineLevel="0" collapsed="false">
      <c r="A512" s="6" t="s">
        <v>323</v>
      </c>
      <c r="B512" s="6" t="s">
        <v>86</v>
      </c>
      <c r="C512" s="6" t="s">
        <v>932</v>
      </c>
      <c r="D512" s="6" t="s">
        <v>1228</v>
      </c>
    </row>
    <row r="513" customFormat="false" ht="23.85" hidden="false" customHeight="false" outlineLevel="0" collapsed="false">
      <c r="A513" s="6" t="s">
        <v>323</v>
      </c>
      <c r="B513" s="6" t="s">
        <v>86</v>
      </c>
      <c r="C513" s="6" t="s">
        <v>932</v>
      </c>
      <c r="D513" s="6" t="s">
        <v>1229</v>
      </c>
    </row>
    <row r="514" customFormat="false" ht="15" hidden="false" customHeight="false" outlineLevel="0" collapsed="false">
      <c r="A514" s="6" t="s">
        <v>323</v>
      </c>
      <c r="B514" s="6" t="s">
        <v>109</v>
      </c>
      <c r="C514" s="6" t="s">
        <v>932</v>
      </c>
      <c r="D514" s="6" t="s">
        <v>1230</v>
      </c>
    </row>
    <row r="515" customFormat="false" ht="35.05" hidden="false" customHeight="false" outlineLevel="0" collapsed="false">
      <c r="A515" s="6" t="s">
        <v>323</v>
      </c>
      <c r="B515" s="6" t="s">
        <v>109</v>
      </c>
      <c r="C515" s="6" t="s">
        <v>932</v>
      </c>
      <c r="D515" s="6" t="s">
        <v>1107</v>
      </c>
    </row>
    <row r="516" customFormat="false" ht="23.85" hidden="false" customHeight="false" outlineLevel="0" collapsed="false">
      <c r="A516" s="6" t="s">
        <v>323</v>
      </c>
      <c r="B516" s="6" t="s">
        <v>109</v>
      </c>
      <c r="C516" s="6" t="s">
        <v>932</v>
      </c>
      <c r="D516" s="6" t="s">
        <v>1108</v>
      </c>
    </row>
    <row r="517" customFormat="false" ht="23.85" hidden="false" customHeight="false" outlineLevel="0" collapsed="false">
      <c r="A517" s="6" t="s">
        <v>323</v>
      </c>
      <c r="B517" s="6" t="s">
        <v>109</v>
      </c>
      <c r="C517" s="6" t="s">
        <v>932</v>
      </c>
      <c r="D517" s="6" t="s">
        <v>1109</v>
      </c>
    </row>
    <row r="518" customFormat="false" ht="46.25" hidden="false" customHeight="false" outlineLevel="0" collapsed="false">
      <c r="A518" s="6" t="s">
        <v>323</v>
      </c>
      <c r="B518" s="6" t="s">
        <v>95</v>
      </c>
      <c r="C518" s="6" t="s">
        <v>932</v>
      </c>
      <c r="D518" s="6" t="s">
        <v>1231</v>
      </c>
    </row>
    <row r="519" customFormat="false" ht="23.85" hidden="false" customHeight="false" outlineLevel="0" collapsed="false">
      <c r="A519" s="6" t="s">
        <v>323</v>
      </c>
      <c r="B519" s="6" t="s">
        <v>95</v>
      </c>
      <c r="C519" s="6" t="s">
        <v>932</v>
      </c>
      <c r="D519" s="6" t="s">
        <v>1232</v>
      </c>
    </row>
    <row r="520" customFormat="false" ht="46.25" hidden="false" customHeight="false" outlineLevel="0" collapsed="false">
      <c r="A520" s="6" t="s">
        <v>323</v>
      </c>
      <c r="B520" s="6" t="s">
        <v>95</v>
      </c>
      <c r="C520" s="6" t="s">
        <v>932</v>
      </c>
      <c r="D520" s="6" t="s">
        <v>1233</v>
      </c>
    </row>
    <row r="521" customFormat="false" ht="23.85" hidden="false" customHeight="false" outlineLevel="0" collapsed="false">
      <c r="A521" s="6" t="s">
        <v>323</v>
      </c>
      <c r="B521" s="6" t="s">
        <v>62</v>
      </c>
      <c r="C521" s="6" t="s">
        <v>932</v>
      </c>
      <c r="D521" s="6" t="s">
        <v>1221</v>
      </c>
    </row>
    <row r="522" customFormat="false" ht="23.85" hidden="false" customHeight="false" outlineLevel="0" collapsed="false">
      <c r="A522" s="6" t="s">
        <v>323</v>
      </c>
      <c r="B522" s="6" t="s">
        <v>62</v>
      </c>
      <c r="C522" s="6" t="s">
        <v>932</v>
      </c>
      <c r="D522" s="6" t="s">
        <v>322</v>
      </c>
    </row>
    <row r="523" customFormat="false" ht="15" hidden="false" customHeight="false" outlineLevel="0" collapsed="false">
      <c r="A523" s="6" t="s">
        <v>436</v>
      </c>
      <c r="B523" s="6" t="s">
        <v>86</v>
      </c>
      <c r="C523" s="6" t="s">
        <v>932</v>
      </c>
      <c r="D523" s="6" t="s">
        <v>1123</v>
      </c>
    </row>
    <row r="524" customFormat="false" ht="23.85" hidden="false" customHeight="false" outlineLevel="0" collapsed="false">
      <c r="A524" s="6" t="s">
        <v>436</v>
      </c>
      <c r="B524" s="6" t="s">
        <v>86</v>
      </c>
      <c r="C524" s="6" t="s">
        <v>932</v>
      </c>
      <c r="D524" s="6" t="s">
        <v>1101</v>
      </c>
    </row>
    <row r="525" customFormat="false" ht="35.05" hidden="false" customHeight="false" outlineLevel="0" collapsed="false">
      <c r="A525" s="6" t="s">
        <v>436</v>
      </c>
      <c r="B525" s="6" t="s">
        <v>86</v>
      </c>
      <c r="C525" s="6" t="s">
        <v>932</v>
      </c>
      <c r="D525" s="6" t="s">
        <v>1234</v>
      </c>
    </row>
    <row r="526" customFormat="false" ht="23.85" hidden="false" customHeight="false" outlineLevel="0" collapsed="false">
      <c r="A526" s="6" t="s">
        <v>436</v>
      </c>
      <c r="B526" s="6" t="s">
        <v>86</v>
      </c>
      <c r="C526" s="6" t="s">
        <v>932</v>
      </c>
      <c r="D526" s="6" t="s">
        <v>1235</v>
      </c>
    </row>
    <row r="527" customFormat="false" ht="23.85" hidden="false" customHeight="false" outlineLevel="0" collapsed="false">
      <c r="A527" s="6" t="s">
        <v>436</v>
      </c>
      <c r="B527" s="6" t="s">
        <v>86</v>
      </c>
      <c r="C527" s="6" t="s">
        <v>932</v>
      </c>
      <c r="D527" s="6" t="s">
        <v>1236</v>
      </c>
    </row>
    <row r="528" customFormat="false" ht="23.85" hidden="false" customHeight="false" outlineLevel="0" collapsed="false">
      <c r="A528" s="6" t="s">
        <v>436</v>
      </c>
      <c r="B528" s="6" t="s">
        <v>86</v>
      </c>
      <c r="C528" s="6" t="s">
        <v>932</v>
      </c>
      <c r="D528" s="6" t="s">
        <v>1237</v>
      </c>
    </row>
    <row r="529" customFormat="false" ht="46.25" hidden="false" customHeight="false" outlineLevel="0" collapsed="false">
      <c r="A529" s="6" t="s">
        <v>436</v>
      </c>
      <c r="B529" s="6" t="s">
        <v>86</v>
      </c>
      <c r="C529" s="6" t="s">
        <v>932</v>
      </c>
      <c r="D529" s="6" t="s">
        <v>987</v>
      </c>
    </row>
    <row r="530" customFormat="false" ht="46.25" hidden="false" customHeight="false" outlineLevel="0" collapsed="false">
      <c r="A530" s="6" t="s">
        <v>436</v>
      </c>
      <c r="B530" s="6" t="s">
        <v>86</v>
      </c>
      <c r="C530" s="6" t="s">
        <v>932</v>
      </c>
      <c r="D530" s="6" t="s">
        <v>988</v>
      </c>
    </row>
    <row r="531" customFormat="false" ht="23.85" hidden="false" customHeight="false" outlineLevel="0" collapsed="false">
      <c r="A531" s="6" t="s">
        <v>436</v>
      </c>
      <c r="B531" s="6" t="s">
        <v>86</v>
      </c>
      <c r="C531" s="6" t="s">
        <v>932</v>
      </c>
      <c r="D531" s="6" t="s">
        <v>1102</v>
      </c>
    </row>
    <row r="532" customFormat="false" ht="15" hidden="false" customHeight="false" outlineLevel="0" collapsed="false">
      <c r="A532" s="6" t="s">
        <v>436</v>
      </c>
      <c r="B532" s="6" t="s">
        <v>86</v>
      </c>
      <c r="C532" s="6" t="s">
        <v>932</v>
      </c>
      <c r="D532" s="6" t="s">
        <v>1238</v>
      </c>
    </row>
    <row r="533" customFormat="false" ht="23.85" hidden="false" customHeight="false" outlineLevel="0" collapsed="false">
      <c r="A533" s="6" t="s">
        <v>436</v>
      </c>
      <c r="B533" s="6" t="s">
        <v>86</v>
      </c>
      <c r="C533" s="6" t="s">
        <v>932</v>
      </c>
      <c r="D533" s="6" t="s">
        <v>1239</v>
      </c>
    </row>
    <row r="534" customFormat="false" ht="35.05" hidden="false" customHeight="false" outlineLevel="0" collapsed="false">
      <c r="A534" s="6" t="s">
        <v>436</v>
      </c>
      <c r="B534" s="6" t="s">
        <v>86</v>
      </c>
      <c r="C534" s="6" t="s">
        <v>932</v>
      </c>
      <c r="D534" s="6" t="s">
        <v>1103</v>
      </c>
    </row>
    <row r="535" customFormat="false" ht="15" hidden="false" customHeight="false" outlineLevel="0" collapsed="false">
      <c r="A535" s="6" t="s">
        <v>436</v>
      </c>
      <c r="B535" s="6" t="s">
        <v>86</v>
      </c>
      <c r="C535" s="6" t="s">
        <v>932</v>
      </c>
      <c r="D535" s="6" t="s">
        <v>1240</v>
      </c>
    </row>
    <row r="536" customFormat="false" ht="35.05" hidden="false" customHeight="false" outlineLevel="0" collapsed="false">
      <c r="A536" s="6" t="s">
        <v>436</v>
      </c>
      <c r="B536" s="6" t="s">
        <v>86</v>
      </c>
      <c r="C536" s="6" t="s">
        <v>932</v>
      </c>
      <c r="D536" s="6" t="s">
        <v>1241</v>
      </c>
    </row>
    <row r="537" customFormat="false" ht="23.85" hidden="false" customHeight="false" outlineLevel="0" collapsed="false">
      <c r="A537" s="6" t="s">
        <v>436</v>
      </c>
      <c r="B537" s="6" t="s">
        <v>86</v>
      </c>
      <c r="C537" s="6" t="s">
        <v>932</v>
      </c>
      <c r="D537" s="6" t="s">
        <v>1242</v>
      </c>
    </row>
    <row r="538" customFormat="false" ht="15" hidden="false" customHeight="false" outlineLevel="0" collapsed="false">
      <c r="A538" s="6" t="s">
        <v>436</v>
      </c>
      <c r="B538" s="6" t="s">
        <v>86</v>
      </c>
      <c r="C538" s="6" t="s">
        <v>932</v>
      </c>
      <c r="D538" s="6" t="s">
        <v>1243</v>
      </c>
    </row>
    <row r="539" customFormat="false" ht="15" hidden="false" customHeight="false" outlineLevel="0" collapsed="false">
      <c r="A539" s="6" t="s">
        <v>436</v>
      </c>
      <c r="B539" s="6" t="s">
        <v>86</v>
      </c>
      <c r="C539" s="6" t="s">
        <v>932</v>
      </c>
      <c r="D539" s="6" t="s">
        <v>1244</v>
      </c>
    </row>
    <row r="540" customFormat="false" ht="23.85" hidden="false" customHeight="false" outlineLevel="0" collapsed="false">
      <c r="A540" s="6" t="s">
        <v>436</v>
      </c>
      <c r="B540" s="6" t="s">
        <v>86</v>
      </c>
      <c r="C540" s="6" t="s">
        <v>932</v>
      </c>
      <c r="D540" s="6" t="s">
        <v>1245</v>
      </c>
    </row>
    <row r="541" customFormat="false" ht="23.85" hidden="false" customHeight="false" outlineLevel="0" collapsed="false">
      <c r="A541" s="6" t="s">
        <v>436</v>
      </c>
      <c r="B541" s="6" t="s">
        <v>86</v>
      </c>
      <c r="C541" s="6" t="s">
        <v>932</v>
      </c>
      <c r="D541" s="6" t="s">
        <v>1246</v>
      </c>
    </row>
    <row r="542" customFormat="false" ht="15" hidden="false" customHeight="false" outlineLevel="0" collapsed="false">
      <c r="A542" s="6" t="s">
        <v>436</v>
      </c>
      <c r="B542" s="6" t="s">
        <v>86</v>
      </c>
      <c r="C542" s="6" t="s">
        <v>932</v>
      </c>
      <c r="D542" s="6" t="s">
        <v>1247</v>
      </c>
    </row>
    <row r="543" customFormat="false" ht="15" hidden="false" customHeight="false" outlineLevel="0" collapsed="false">
      <c r="A543" s="6" t="s">
        <v>436</v>
      </c>
      <c r="B543" s="6" t="s">
        <v>86</v>
      </c>
      <c r="C543" s="6" t="s">
        <v>932</v>
      </c>
      <c r="D543" s="6" t="s">
        <v>1248</v>
      </c>
    </row>
    <row r="544" customFormat="false" ht="15" hidden="false" customHeight="false" outlineLevel="0" collapsed="false">
      <c r="A544" s="6" t="s">
        <v>436</v>
      </c>
      <c r="B544" s="6" t="s">
        <v>86</v>
      </c>
      <c r="C544" s="6" t="s">
        <v>932</v>
      </c>
      <c r="D544" s="6" t="s">
        <v>1249</v>
      </c>
    </row>
    <row r="545" customFormat="false" ht="35.05" hidden="false" customHeight="false" outlineLevel="0" collapsed="false">
      <c r="A545" s="6" t="s">
        <v>436</v>
      </c>
      <c r="B545" s="6" t="s">
        <v>86</v>
      </c>
      <c r="C545" s="6" t="s">
        <v>932</v>
      </c>
      <c r="D545" s="6" t="s">
        <v>1250</v>
      </c>
    </row>
    <row r="546" customFormat="false" ht="23.85" hidden="false" customHeight="false" outlineLevel="0" collapsed="false">
      <c r="A546" s="6" t="s">
        <v>436</v>
      </c>
      <c r="B546" s="6" t="s">
        <v>86</v>
      </c>
      <c r="C546" s="6" t="s">
        <v>932</v>
      </c>
      <c r="D546" s="6" t="s">
        <v>1251</v>
      </c>
    </row>
    <row r="547" customFormat="false" ht="15" hidden="false" customHeight="false" outlineLevel="0" collapsed="false">
      <c r="A547" s="6" t="s">
        <v>436</v>
      </c>
      <c r="B547" s="6" t="s">
        <v>86</v>
      </c>
      <c r="C547" s="6" t="s">
        <v>932</v>
      </c>
      <c r="D547" s="6" t="s">
        <v>1252</v>
      </c>
    </row>
    <row r="548" customFormat="false" ht="46.25" hidden="false" customHeight="false" outlineLevel="0" collapsed="false">
      <c r="A548" s="6" t="s">
        <v>436</v>
      </c>
      <c r="B548" s="6" t="s">
        <v>86</v>
      </c>
      <c r="C548" s="6" t="s">
        <v>932</v>
      </c>
      <c r="D548" s="6" t="s">
        <v>1253</v>
      </c>
    </row>
    <row r="549" customFormat="false" ht="46.25" hidden="false" customHeight="false" outlineLevel="0" collapsed="false">
      <c r="A549" s="6" t="s">
        <v>436</v>
      </c>
      <c r="B549" s="6" t="s">
        <v>86</v>
      </c>
      <c r="C549" s="6" t="s">
        <v>932</v>
      </c>
      <c r="D549" s="6" t="s">
        <v>1254</v>
      </c>
    </row>
    <row r="550" customFormat="false" ht="15" hidden="false" customHeight="false" outlineLevel="0" collapsed="false">
      <c r="A550" s="6" t="s">
        <v>436</v>
      </c>
      <c r="B550" s="6" t="s">
        <v>86</v>
      </c>
      <c r="C550" s="6" t="s">
        <v>932</v>
      </c>
      <c r="D550" s="6" t="s">
        <v>1255</v>
      </c>
    </row>
    <row r="551" customFormat="false" ht="15" hidden="false" customHeight="false" outlineLevel="0" collapsed="false">
      <c r="A551" s="6" t="s">
        <v>436</v>
      </c>
      <c r="B551" s="6" t="s">
        <v>86</v>
      </c>
      <c r="C551" s="6" t="s">
        <v>932</v>
      </c>
      <c r="D551" s="6" t="s">
        <v>1056</v>
      </c>
    </row>
    <row r="552" customFormat="false" ht="15" hidden="false" customHeight="false" outlineLevel="0" collapsed="false">
      <c r="A552" s="6" t="s">
        <v>436</v>
      </c>
      <c r="B552" s="6" t="s">
        <v>86</v>
      </c>
      <c r="C552" s="6" t="s">
        <v>932</v>
      </c>
      <c r="D552" s="6" t="s">
        <v>1256</v>
      </c>
    </row>
    <row r="553" customFormat="false" ht="23.85" hidden="false" customHeight="false" outlineLevel="0" collapsed="false">
      <c r="A553" s="6" t="s">
        <v>436</v>
      </c>
      <c r="B553" s="6" t="s">
        <v>86</v>
      </c>
      <c r="C553" s="6" t="s">
        <v>932</v>
      </c>
      <c r="D553" s="6" t="s">
        <v>1227</v>
      </c>
    </row>
    <row r="554" customFormat="false" ht="23.85" hidden="false" customHeight="false" outlineLevel="0" collapsed="false">
      <c r="A554" s="6" t="s">
        <v>436</v>
      </c>
      <c r="B554" s="6" t="s">
        <v>86</v>
      </c>
      <c r="C554" s="6" t="s">
        <v>932</v>
      </c>
      <c r="D554" s="6" t="s">
        <v>1257</v>
      </c>
    </row>
    <row r="555" customFormat="false" ht="23.85" hidden="false" customHeight="false" outlineLevel="0" collapsed="false">
      <c r="A555" s="6" t="s">
        <v>436</v>
      </c>
      <c r="B555" s="6" t="s">
        <v>86</v>
      </c>
      <c r="C555" s="6" t="s">
        <v>932</v>
      </c>
      <c r="D555" s="6" t="s">
        <v>1228</v>
      </c>
    </row>
    <row r="556" customFormat="false" ht="23.85" hidden="false" customHeight="false" outlineLevel="0" collapsed="false">
      <c r="A556" s="6" t="s">
        <v>436</v>
      </c>
      <c r="B556" s="6" t="s">
        <v>86</v>
      </c>
      <c r="C556" s="6" t="s">
        <v>932</v>
      </c>
      <c r="D556" s="6" t="s">
        <v>1229</v>
      </c>
    </row>
    <row r="557" customFormat="false" ht="23.85" hidden="false" customHeight="false" outlineLevel="0" collapsed="false">
      <c r="A557" s="6" t="s">
        <v>436</v>
      </c>
      <c r="B557" s="6" t="s">
        <v>109</v>
      </c>
      <c r="C557" s="6" t="s">
        <v>932</v>
      </c>
      <c r="D557" s="6" t="s">
        <v>1258</v>
      </c>
    </row>
    <row r="558" customFormat="false" ht="23.85" hidden="false" customHeight="false" outlineLevel="0" collapsed="false">
      <c r="A558" s="6" t="s">
        <v>436</v>
      </c>
      <c r="B558" s="6" t="s">
        <v>109</v>
      </c>
      <c r="C558" s="6" t="s">
        <v>932</v>
      </c>
      <c r="D558" s="6" t="s">
        <v>1259</v>
      </c>
    </row>
    <row r="559" customFormat="false" ht="15" hidden="false" customHeight="false" outlineLevel="0" collapsed="false">
      <c r="A559" s="6" t="s">
        <v>436</v>
      </c>
      <c r="B559" s="6" t="s">
        <v>109</v>
      </c>
      <c r="C559" s="6" t="s">
        <v>932</v>
      </c>
      <c r="D559" s="6" t="s">
        <v>1169</v>
      </c>
    </row>
    <row r="560" customFormat="false" ht="23.85" hidden="false" customHeight="false" outlineLevel="0" collapsed="false">
      <c r="A560" s="6" t="s">
        <v>436</v>
      </c>
      <c r="B560" s="6" t="s">
        <v>109</v>
      </c>
      <c r="C560" s="6" t="s">
        <v>932</v>
      </c>
      <c r="D560" s="6" t="s">
        <v>1260</v>
      </c>
    </row>
    <row r="561" customFormat="false" ht="46.25" hidden="false" customHeight="false" outlineLevel="0" collapsed="false">
      <c r="A561" s="6" t="s">
        <v>436</v>
      </c>
      <c r="B561" s="6" t="s">
        <v>109</v>
      </c>
      <c r="C561" s="6" t="s">
        <v>932</v>
      </c>
      <c r="D561" s="6" t="s">
        <v>1261</v>
      </c>
    </row>
    <row r="562" customFormat="false" ht="68.65" hidden="false" customHeight="false" outlineLevel="0" collapsed="false">
      <c r="A562" s="6" t="s">
        <v>436</v>
      </c>
      <c r="B562" s="6" t="s">
        <v>109</v>
      </c>
      <c r="C562" s="6" t="s">
        <v>932</v>
      </c>
      <c r="D562" s="6" t="s">
        <v>1149</v>
      </c>
    </row>
    <row r="563" customFormat="false" ht="35.05" hidden="false" customHeight="false" outlineLevel="0" collapsed="false">
      <c r="A563" s="6" t="s">
        <v>436</v>
      </c>
      <c r="B563" s="6" t="s">
        <v>109</v>
      </c>
      <c r="C563" s="6" t="s">
        <v>932</v>
      </c>
      <c r="D563" s="6" t="s">
        <v>1012</v>
      </c>
    </row>
    <row r="564" customFormat="false" ht="35.05" hidden="false" customHeight="false" outlineLevel="0" collapsed="false">
      <c r="A564" s="6" t="s">
        <v>436</v>
      </c>
      <c r="B564" s="6" t="s">
        <v>109</v>
      </c>
      <c r="C564" s="6" t="s">
        <v>932</v>
      </c>
      <c r="D564" s="6" t="s">
        <v>1262</v>
      </c>
    </row>
    <row r="565" customFormat="false" ht="35.05" hidden="false" customHeight="false" outlineLevel="0" collapsed="false">
      <c r="A565" s="6" t="s">
        <v>436</v>
      </c>
      <c r="B565" s="6" t="s">
        <v>95</v>
      </c>
      <c r="C565" s="6" t="s">
        <v>932</v>
      </c>
      <c r="D565" s="6" t="s">
        <v>1263</v>
      </c>
    </row>
    <row r="566" customFormat="false" ht="23.85" hidden="false" customHeight="false" outlineLevel="0" collapsed="false">
      <c r="A566" s="6" t="s">
        <v>436</v>
      </c>
      <c r="B566" s="6" t="s">
        <v>95</v>
      </c>
      <c r="C566" s="6" t="s">
        <v>932</v>
      </c>
      <c r="D566" s="6" t="s">
        <v>1264</v>
      </c>
    </row>
    <row r="567" customFormat="false" ht="35.05" hidden="false" customHeight="false" outlineLevel="0" collapsed="false">
      <c r="A567" s="6" t="s">
        <v>436</v>
      </c>
      <c r="B567" s="6" t="s">
        <v>95</v>
      </c>
      <c r="C567" s="6" t="s">
        <v>932</v>
      </c>
      <c r="D567" s="6" t="s">
        <v>1265</v>
      </c>
    </row>
    <row r="568" customFormat="false" ht="23.85" hidden="false" customHeight="false" outlineLevel="0" collapsed="false">
      <c r="A568" s="6" t="s">
        <v>436</v>
      </c>
      <c r="B568" s="6" t="s">
        <v>229</v>
      </c>
      <c r="C568" s="6" t="s">
        <v>932</v>
      </c>
      <c r="D568" s="6" t="s">
        <v>1266</v>
      </c>
    </row>
    <row r="569" customFormat="false" ht="23.85" hidden="false" customHeight="false" outlineLevel="0" collapsed="false">
      <c r="A569" s="6" t="s">
        <v>436</v>
      </c>
      <c r="B569" s="6" t="s">
        <v>229</v>
      </c>
      <c r="C569" s="6" t="s">
        <v>932</v>
      </c>
      <c r="D569" s="6" t="s">
        <v>1267</v>
      </c>
    </row>
    <row r="570" customFormat="false" ht="15" hidden="false" customHeight="false" outlineLevel="0" collapsed="false">
      <c r="A570" s="6" t="s">
        <v>436</v>
      </c>
      <c r="B570" s="6" t="s">
        <v>229</v>
      </c>
      <c r="C570" s="6" t="s">
        <v>932</v>
      </c>
      <c r="D570" s="6" t="s">
        <v>1268</v>
      </c>
    </row>
    <row r="571" customFormat="false" ht="23.85" hidden="false" customHeight="false" outlineLevel="0" collapsed="false">
      <c r="A571" s="6" t="s">
        <v>436</v>
      </c>
      <c r="B571" s="6" t="s">
        <v>229</v>
      </c>
      <c r="C571" s="6" t="s">
        <v>932</v>
      </c>
      <c r="D571" s="6" t="s">
        <v>939</v>
      </c>
    </row>
    <row r="572" customFormat="false" ht="15" hidden="false" customHeight="false" outlineLevel="0" collapsed="false">
      <c r="A572" s="6" t="s">
        <v>436</v>
      </c>
      <c r="B572" s="6" t="s">
        <v>229</v>
      </c>
      <c r="C572" s="6" t="s">
        <v>932</v>
      </c>
      <c r="D572" s="6" t="s">
        <v>1035</v>
      </c>
    </row>
    <row r="573" customFormat="false" ht="57.45" hidden="false" customHeight="false" outlineLevel="0" collapsed="false">
      <c r="A573" s="6" t="s">
        <v>436</v>
      </c>
      <c r="B573" s="6" t="s">
        <v>229</v>
      </c>
      <c r="C573" s="6" t="s">
        <v>932</v>
      </c>
      <c r="D573" s="6" t="s">
        <v>532</v>
      </c>
    </row>
    <row r="574" customFormat="false" ht="46.25" hidden="false" customHeight="false" outlineLevel="0" collapsed="false">
      <c r="A574" s="6" t="s">
        <v>436</v>
      </c>
      <c r="B574" s="6" t="s">
        <v>168</v>
      </c>
      <c r="C574" s="6" t="s">
        <v>932</v>
      </c>
      <c r="D574" s="6" t="s">
        <v>1269</v>
      </c>
    </row>
    <row r="575" customFormat="false" ht="35.05" hidden="false" customHeight="false" outlineLevel="0" collapsed="false">
      <c r="A575" s="6" t="s">
        <v>436</v>
      </c>
      <c r="B575" s="6" t="s">
        <v>168</v>
      </c>
      <c r="C575" s="6" t="s">
        <v>932</v>
      </c>
      <c r="D575" s="6" t="s">
        <v>1270</v>
      </c>
    </row>
    <row r="576" customFormat="false" ht="46.25" hidden="false" customHeight="false" outlineLevel="0" collapsed="false">
      <c r="A576" s="6" t="s">
        <v>436</v>
      </c>
      <c r="B576" s="6" t="s">
        <v>146</v>
      </c>
      <c r="C576" s="6" t="s">
        <v>932</v>
      </c>
      <c r="D576" s="6" t="s">
        <v>1271</v>
      </c>
    </row>
    <row r="577" customFormat="false" ht="23.85" hidden="false" customHeight="false" outlineLevel="0" collapsed="false">
      <c r="A577" s="6" t="s">
        <v>436</v>
      </c>
      <c r="B577" s="6" t="s">
        <v>146</v>
      </c>
      <c r="C577" s="6" t="s">
        <v>932</v>
      </c>
      <c r="D577" s="6" t="s">
        <v>1081</v>
      </c>
    </row>
    <row r="578" customFormat="false" ht="35.05" hidden="false" customHeight="false" outlineLevel="0" collapsed="false">
      <c r="A578" s="6" t="s">
        <v>436</v>
      </c>
      <c r="B578" s="6" t="s">
        <v>146</v>
      </c>
      <c r="C578" s="6" t="s">
        <v>932</v>
      </c>
      <c r="D578" s="6" t="s">
        <v>1082</v>
      </c>
    </row>
    <row r="579" customFormat="false" ht="23.85" hidden="false" customHeight="false" outlineLevel="0" collapsed="false">
      <c r="A579" s="6" t="s">
        <v>436</v>
      </c>
      <c r="B579" s="6" t="s">
        <v>146</v>
      </c>
      <c r="C579" s="6" t="s">
        <v>932</v>
      </c>
      <c r="D579" s="6" t="s">
        <v>1084</v>
      </c>
    </row>
    <row r="580" customFormat="false" ht="23.85" hidden="false" customHeight="false" outlineLevel="0" collapsed="false">
      <c r="A580" s="6" t="s">
        <v>436</v>
      </c>
      <c r="B580" s="6" t="s">
        <v>62</v>
      </c>
      <c r="C580" s="6" t="s">
        <v>932</v>
      </c>
      <c r="D580" s="6" t="s">
        <v>1272</v>
      </c>
    </row>
    <row r="581" customFormat="false" ht="35.05" hidden="false" customHeight="false" outlineLevel="0" collapsed="false">
      <c r="A581" s="6" t="s">
        <v>436</v>
      </c>
      <c r="B581" s="6" t="s">
        <v>80</v>
      </c>
      <c r="C581" s="6" t="s">
        <v>932</v>
      </c>
      <c r="D581" s="6" t="s">
        <v>419</v>
      </c>
    </row>
    <row r="582" customFormat="false" ht="23.85" hidden="false" customHeight="false" outlineLevel="0" collapsed="false">
      <c r="A582" s="6" t="s">
        <v>436</v>
      </c>
      <c r="B582" s="6" t="s">
        <v>80</v>
      </c>
      <c r="C582" s="6" t="s">
        <v>932</v>
      </c>
      <c r="D582" s="6" t="s">
        <v>130</v>
      </c>
    </row>
    <row r="583" customFormat="false" ht="236.55" hidden="false" customHeight="false" outlineLevel="0" collapsed="false">
      <c r="A583" s="6" t="s">
        <v>436</v>
      </c>
      <c r="B583" s="6" t="s">
        <v>60</v>
      </c>
      <c r="C583" s="6" t="s">
        <v>1038</v>
      </c>
      <c r="D583" s="6" t="s">
        <v>1039</v>
      </c>
    </row>
    <row r="584" customFormat="false" ht="23.85" hidden="false" customHeight="false" outlineLevel="0" collapsed="false">
      <c r="A584" s="6" t="s">
        <v>252</v>
      </c>
      <c r="B584" s="6" t="s">
        <v>61</v>
      </c>
      <c r="C584" s="6" t="s">
        <v>932</v>
      </c>
      <c r="D584" s="6" t="s">
        <v>1088</v>
      </c>
    </row>
    <row r="585" customFormat="false" ht="35.05" hidden="false" customHeight="false" outlineLevel="0" collapsed="false">
      <c r="A585" s="6" t="s">
        <v>252</v>
      </c>
      <c r="B585" s="6" t="s">
        <v>109</v>
      </c>
      <c r="C585" s="6" t="s">
        <v>932</v>
      </c>
      <c r="D585" s="6" t="s">
        <v>1107</v>
      </c>
    </row>
    <row r="586" customFormat="false" ht="23.85" hidden="false" customHeight="false" outlineLevel="0" collapsed="false">
      <c r="A586" s="6" t="s">
        <v>252</v>
      </c>
      <c r="B586" s="6" t="s">
        <v>109</v>
      </c>
      <c r="C586" s="6" t="s">
        <v>932</v>
      </c>
      <c r="D586" s="6" t="s">
        <v>1108</v>
      </c>
    </row>
    <row r="587" customFormat="false" ht="23.85" hidden="false" customHeight="false" outlineLevel="0" collapsed="false">
      <c r="A587" s="6" t="s">
        <v>252</v>
      </c>
      <c r="B587" s="6" t="s">
        <v>109</v>
      </c>
      <c r="C587" s="6" t="s">
        <v>932</v>
      </c>
      <c r="D587" s="6" t="s">
        <v>1109</v>
      </c>
    </row>
    <row r="588" customFormat="false" ht="35.05" hidden="false" customHeight="false" outlineLevel="0" collapsed="false">
      <c r="A588" s="6" t="s">
        <v>252</v>
      </c>
      <c r="B588" s="6" t="s">
        <v>109</v>
      </c>
      <c r="C588" s="6" t="s">
        <v>932</v>
      </c>
      <c r="D588" s="6" t="s">
        <v>1089</v>
      </c>
    </row>
    <row r="589" customFormat="false" ht="35.05" hidden="false" customHeight="false" outlineLevel="0" collapsed="false">
      <c r="A589" s="6" t="s">
        <v>252</v>
      </c>
      <c r="B589" s="6" t="s">
        <v>186</v>
      </c>
      <c r="C589" s="6" t="s">
        <v>932</v>
      </c>
      <c r="D589" s="6" t="s">
        <v>259</v>
      </c>
    </row>
    <row r="590" customFormat="false" ht="46.25" hidden="false" customHeight="false" outlineLevel="0" collapsed="false">
      <c r="A590" s="6" t="s">
        <v>252</v>
      </c>
      <c r="B590" s="6" t="s">
        <v>186</v>
      </c>
      <c r="C590" s="6" t="s">
        <v>932</v>
      </c>
      <c r="D590" s="6" t="s">
        <v>411</v>
      </c>
    </row>
    <row r="591" customFormat="false" ht="23.85" hidden="false" customHeight="false" outlineLevel="0" collapsed="false">
      <c r="A591" s="6" t="s">
        <v>252</v>
      </c>
      <c r="B591" s="6" t="s">
        <v>186</v>
      </c>
      <c r="C591" s="6" t="s">
        <v>932</v>
      </c>
      <c r="D591" s="6" t="s">
        <v>1273</v>
      </c>
    </row>
    <row r="592" customFormat="false" ht="23.85" hidden="false" customHeight="false" outlineLevel="0" collapsed="false">
      <c r="A592" s="6" t="s">
        <v>252</v>
      </c>
      <c r="B592" s="6" t="s">
        <v>186</v>
      </c>
      <c r="C592" s="6" t="s">
        <v>932</v>
      </c>
      <c r="D592" s="6" t="s">
        <v>1274</v>
      </c>
    </row>
    <row r="593" customFormat="false" ht="23.85" hidden="false" customHeight="false" outlineLevel="0" collapsed="false">
      <c r="A593" s="6" t="s">
        <v>252</v>
      </c>
      <c r="B593" s="6" t="s">
        <v>186</v>
      </c>
      <c r="C593" s="6" t="s">
        <v>932</v>
      </c>
      <c r="D593" s="6" t="s">
        <v>1275</v>
      </c>
    </row>
    <row r="594" customFormat="false" ht="23.85" hidden="false" customHeight="false" outlineLevel="0" collapsed="false">
      <c r="A594" s="6" t="s">
        <v>252</v>
      </c>
      <c r="B594" s="6" t="s">
        <v>186</v>
      </c>
      <c r="C594" s="6" t="s">
        <v>932</v>
      </c>
      <c r="D594" s="6" t="s">
        <v>1276</v>
      </c>
    </row>
    <row r="595" customFormat="false" ht="35.05" hidden="false" customHeight="false" outlineLevel="0" collapsed="false">
      <c r="A595" s="6" t="s">
        <v>252</v>
      </c>
      <c r="B595" s="6" t="s">
        <v>186</v>
      </c>
      <c r="C595" s="6" t="s">
        <v>932</v>
      </c>
      <c r="D595" s="6" t="s">
        <v>1277</v>
      </c>
    </row>
    <row r="596" customFormat="false" ht="35.05" hidden="false" customHeight="false" outlineLevel="0" collapsed="false">
      <c r="A596" s="6" t="s">
        <v>252</v>
      </c>
      <c r="B596" s="6" t="s">
        <v>186</v>
      </c>
      <c r="C596" s="6" t="s">
        <v>932</v>
      </c>
      <c r="D596" s="6" t="s">
        <v>1278</v>
      </c>
    </row>
    <row r="597" customFormat="false" ht="15" hidden="false" customHeight="false" outlineLevel="0" collapsed="false">
      <c r="A597" s="6" t="s">
        <v>252</v>
      </c>
      <c r="B597" s="6" t="s">
        <v>186</v>
      </c>
      <c r="C597" s="6" t="s">
        <v>932</v>
      </c>
      <c r="D597" s="6" t="s">
        <v>1279</v>
      </c>
    </row>
    <row r="598" customFormat="false" ht="23.85" hidden="false" customHeight="false" outlineLevel="0" collapsed="false">
      <c r="A598" s="6" t="s">
        <v>252</v>
      </c>
      <c r="B598" s="6" t="s">
        <v>186</v>
      </c>
      <c r="C598" s="6" t="s">
        <v>932</v>
      </c>
      <c r="D598" s="6" t="s">
        <v>1280</v>
      </c>
    </row>
    <row r="599" customFormat="false" ht="15" hidden="false" customHeight="false" outlineLevel="0" collapsed="false">
      <c r="A599" s="6" t="s">
        <v>252</v>
      </c>
      <c r="B599" s="6" t="s">
        <v>186</v>
      </c>
      <c r="C599" s="6" t="s">
        <v>932</v>
      </c>
      <c r="D599" s="6" t="s">
        <v>1281</v>
      </c>
    </row>
    <row r="600" customFormat="false" ht="15" hidden="false" customHeight="false" outlineLevel="0" collapsed="false">
      <c r="A600" s="6" t="s">
        <v>252</v>
      </c>
      <c r="B600" s="6" t="s">
        <v>186</v>
      </c>
      <c r="C600" s="6" t="s">
        <v>932</v>
      </c>
      <c r="D600" s="6" t="s">
        <v>1282</v>
      </c>
    </row>
    <row r="601" customFormat="false" ht="15" hidden="false" customHeight="false" outlineLevel="0" collapsed="false">
      <c r="A601" s="6" t="s">
        <v>252</v>
      </c>
      <c r="B601" s="6" t="s">
        <v>186</v>
      </c>
      <c r="C601" s="6" t="s">
        <v>932</v>
      </c>
      <c r="D601" s="6" t="s">
        <v>1283</v>
      </c>
    </row>
    <row r="602" customFormat="false" ht="15" hidden="false" customHeight="false" outlineLevel="0" collapsed="false">
      <c r="A602" s="6" t="s">
        <v>252</v>
      </c>
      <c r="B602" s="6" t="s">
        <v>186</v>
      </c>
      <c r="C602" s="6" t="s">
        <v>932</v>
      </c>
      <c r="D602" s="6" t="s">
        <v>1284</v>
      </c>
    </row>
    <row r="603" customFormat="false" ht="35.05" hidden="false" customHeight="false" outlineLevel="0" collapsed="false">
      <c r="A603" s="6" t="s">
        <v>252</v>
      </c>
      <c r="B603" s="6" t="s">
        <v>186</v>
      </c>
      <c r="C603" s="6" t="s">
        <v>932</v>
      </c>
      <c r="D603" s="6" t="s">
        <v>1285</v>
      </c>
    </row>
    <row r="604" customFormat="false" ht="23.85" hidden="false" customHeight="false" outlineLevel="0" collapsed="false">
      <c r="A604" s="6" t="s">
        <v>252</v>
      </c>
      <c r="B604" s="6" t="s">
        <v>186</v>
      </c>
      <c r="C604" s="6" t="s">
        <v>932</v>
      </c>
      <c r="D604" s="6" t="s">
        <v>1286</v>
      </c>
    </row>
    <row r="605" customFormat="false" ht="35.05" hidden="false" customHeight="false" outlineLevel="0" collapsed="false">
      <c r="A605" s="6" t="s">
        <v>252</v>
      </c>
      <c r="B605" s="6" t="s">
        <v>186</v>
      </c>
      <c r="C605" s="6" t="s">
        <v>932</v>
      </c>
      <c r="D605" s="6" t="s">
        <v>1287</v>
      </c>
    </row>
    <row r="606" customFormat="false" ht="23.85" hidden="false" customHeight="false" outlineLevel="0" collapsed="false">
      <c r="A606" s="6" t="s">
        <v>252</v>
      </c>
      <c r="B606" s="6" t="s">
        <v>186</v>
      </c>
      <c r="C606" s="6" t="s">
        <v>932</v>
      </c>
      <c r="D606" s="6" t="s">
        <v>1288</v>
      </c>
    </row>
    <row r="607" customFormat="false" ht="23.85" hidden="false" customHeight="false" outlineLevel="0" collapsed="false">
      <c r="A607" s="6" t="s">
        <v>252</v>
      </c>
      <c r="B607" s="6" t="s">
        <v>186</v>
      </c>
      <c r="C607" s="6" t="s">
        <v>932</v>
      </c>
      <c r="D607" s="6" t="s">
        <v>1289</v>
      </c>
    </row>
    <row r="608" customFormat="false" ht="15" hidden="false" customHeight="false" outlineLevel="0" collapsed="false">
      <c r="A608" s="6" t="s">
        <v>252</v>
      </c>
      <c r="B608" s="6" t="s">
        <v>186</v>
      </c>
      <c r="C608" s="6" t="s">
        <v>932</v>
      </c>
      <c r="D608" s="6" t="s">
        <v>1290</v>
      </c>
    </row>
    <row r="609" customFormat="false" ht="23.85" hidden="false" customHeight="false" outlineLevel="0" collapsed="false">
      <c r="A609" s="6" t="s">
        <v>252</v>
      </c>
      <c r="B609" s="6" t="s">
        <v>186</v>
      </c>
      <c r="C609" s="6" t="s">
        <v>932</v>
      </c>
      <c r="D609" s="6" t="s">
        <v>1291</v>
      </c>
    </row>
    <row r="610" customFormat="false" ht="15" hidden="false" customHeight="false" outlineLevel="0" collapsed="false">
      <c r="A610" s="6" t="s">
        <v>252</v>
      </c>
      <c r="B610" s="6" t="s">
        <v>229</v>
      </c>
      <c r="C610" s="6" t="s">
        <v>932</v>
      </c>
      <c r="D610" s="6" t="s">
        <v>965</v>
      </c>
    </row>
    <row r="611" customFormat="false" ht="35.05" hidden="false" customHeight="false" outlineLevel="0" collapsed="false">
      <c r="A611" s="6" t="s">
        <v>252</v>
      </c>
      <c r="B611" s="6" t="s">
        <v>190</v>
      </c>
      <c r="C611" s="6" t="s">
        <v>932</v>
      </c>
      <c r="D611" s="6" t="s">
        <v>1077</v>
      </c>
    </row>
    <row r="612" customFormat="false" ht="23.85" hidden="false" customHeight="false" outlineLevel="0" collapsed="false">
      <c r="A612" s="6" t="s">
        <v>252</v>
      </c>
      <c r="B612" s="6" t="s">
        <v>146</v>
      </c>
      <c r="C612" s="6" t="s">
        <v>932</v>
      </c>
      <c r="D612" s="6" t="s">
        <v>1292</v>
      </c>
    </row>
    <row r="613" customFormat="false" ht="23.85" hidden="false" customHeight="false" outlineLevel="0" collapsed="false">
      <c r="A613" s="6" t="s">
        <v>252</v>
      </c>
      <c r="B613" s="6" t="s">
        <v>146</v>
      </c>
      <c r="C613" s="6" t="s">
        <v>932</v>
      </c>
      <c r="D613" s="6" t="s">
        <v>559</v>
      </c>
    </row>
    <row r="614" customFormat="false" ht="23.85" hidden="false" customHeight="false" outlineLevel="0" collapsed="false">
      <c r="A614" s="6" t="s">
        <v>252</v>
      </c>
      <c r="B614" s="6" t="s">
        <v>146</v>
      </c>
      <c r="C614" s="6" t="s">
        <v>932</v>
      </c>
      <c r="D614" s="6" t="s">
        <v>255</v>
      </c>
    </row>
    <row r="615" customFormat="false" ht="15" hidden="false" customHeight="false" outlineLevel="0" collapsed="false">
      <c r="A615" s="6" t="s">
        <v>252</v>
      </c>
      <c r="B615" s="6" t="s">
        <v>146</v>
      </c>
      <c r="C615" s="6" t="s">
        <v>932</v>
      </c>
      <c r="D615" s="6" t="s">
        <v>1293</v>
      </c>
    </row>
    <row r="616" customFormat="false" ht="91" hidden="false" customHeight="false" outlineLevel="0" collapsed="false">
      <c r="A616" s="6" t="s">
        <v>252</v>
      </c>
      <c r="B616" s="6" t="s">
        <v>238</v>
      </c>
      <c r="C616" s="6" t="s">
        <v>1294</v>
      </c>
      <c r="D616" s="6" t="s">
        <v>1295</v>
      </c>
    </row>
    <row r="617" customFormat="false" ht="15" hidden="false" customHeight="false" outlineLevel="0" collapsed="false">
      <c r="A617" s="6" t="s">
        <v>398</v>
      </c>
      <c r="B617" s="6" t="s">
        <v>186</v>
      </c>
      <c r="C617" s="6" t="s">
        <v>932</v>
      </c>
      <c r="D617" s="6" t="s">
        <v>1296</v>
      </c>
    </row>
    <row r="618" customFormat="false" ht="35.05" hidden="false" customHeight="false" outlineLevel="0" collapsed="false">
      <c r="A618" s="6" t="s">
        <v>398</v>
      </c>
      <c r="B618" s="6" t="s">
        <v>186</v>
      </c>
      <c r="C618" s="6" t="s">
        <v>932</v>
      </c>
      <c r="D618" s="6" t="s">
        <v>259</v>
      </c>
    </row>
    <row r="619" customFormat="false" ht="35.05" hidden="false" customHeight="false" outlineLevel="0" collapsed="false">
      <c r="A619" s="6" t="s">
        <v>398</v>
      </c>
      <c r="B619" s="6" t="s">
        <v>186</v>
      </c>
      <c r="C619" s="6" t="s">
        <v>932</v>
      </c>
      <c r="D619" s="6" t="s">
        <v>1297</v>
      </c>
    </row>
    <row r="620" customFormat="false" ht="35.05" hidden="false" customHeight="false" outlineLevel="0" collapsed="false">
      <c r="A620" s="6" t="s">
        <v>398</v>
      </c>
      <c r="B620" s="6" t="s">
        <v>186</v>
      </c>
      <c r="C620" s="6" t="s">
        <v>932</v>
      </c>
      <c r="D620" s="6" t="s">
        <v>1277</v>
      </c>
    </row>
    <row r="621" customFormat="false" ht="15" hidden="false" customHeight="false" outlineLevel="0" collapsed="false">
      <c r="A621" s="6" t="s">
        <v>398</v>
      </c>
      <c r="B621" s="6" t="s">
        <v>186</v>
      </c>
      <c r="C621" s="6" t="s">
        <v>932</v>
      </c>
      <c r="D621" s="6" t="s">
        <v>1298</v>
      </c>
    </row>
    <row r="622" customFormat="false" ht="46.25" hidden="false" customHeight="false" outlineLevel="0" collapsed="false">
      <c r="A622" s="6" t="s">
        <v>398</v>
      </c>
      <c r="B622" s="6" t="s">
        <v>186</v>
      </c>
      <c r="C622" s="6" t="s">
        <v>932</v>
      </c>
      <c r="D622" s="6" t="s">
        <v>1299</v>
      </c>
    </row>
    <row r="623" customFormat="false" ht="35.05" hidden="false" customHeight="false" outlineLevel="0" collapsed="false">
      <c r="A623" s="6" t="s">
        <v>398</v>
      </c>
      <c r="B623" s="6" t="s">
        <v>186</v>
      </c>
      <c r="C623" s="6" t="s">
        <v>932</v>
      </c>
      <c r="D623" s="6" t="s">
        <v>952</v>
      </c>
    </row>
    <row r="624" customFormat="false" ht="15" hidden="false" customHeight="false" outlineLevel="0" collapsed="false">
      <c r="A624" s="6" t="s">
        <v>398</v>
      </c>
      <c r="B624" s="6" t="s">
        <v>229</v>
      </c>
      <c r="C624" s="6" t="s">
        <v>932</v>
      </c>
      <c r="D624" s="6" t="s">
        <v>1300</v>
      </c>
    </row>
    <row r="625" customFormat="false" ht="15" hidden="false" customHeight="false" outlineLevel="0" collapsed="false">
      <c r="A625" s="6" t="s">
        <v>398</v>
      </c>
      <c r="B625" s="6" t="s">
        <v>229</v>
      </c>
      <c r="C625" s="6" t="s">
        <v>932</v>
      </c>
      <c r="D625" s="6" t="s">
        <v>1301</v>
      </c>
    </row>
    <row r="626" customFormat="false" ht="35.05" hidden="false" customHeight="false" outlineLevel="0" collapsed="false">
      <c r="A626" s="6" t="s">
        <v>398</v>
      </c>
      <c r="B626" s="6" t="s">
        <v>229</v>
      </c>
      <c r="C626" s="6" t="s">
        <v>932</v>
      </c>
      <c r="D626" s="6" t="s">
        <v>401</v>
      </c>
    </row>
    <row r="627" customFormat="false" ht="23.85" hidden="false" customHeight="false" outlineLevel="0" collapsed="false">
      <c r="A627" s="6" t="s">
        <v>143</v>
      </c>
      <c r="B627" s="6" t="s">
        <v>109</v>
      </c>
      <c r="C627" s="6" t="s">
        <v>932</v>
      </c>
      <c r="D627" s="6" t="s">
        <v>991</v>
      </c>
    </row>
    <row r="628" customFormat="false" ht="46.25" hidden="false" customHeight="false" outlineLevel="0" collapsed="false">
      <c r="A628" s="6" t="s">
        <v>143</v>
      </c>
      <c r="B628" s="6" t="s">
        <v>109</v>
      </c>
      <c r="C628" s="6" t="s">
        <v>932</v>
      </c>
      <c r="D628" s="6" t="s">
        <v>992</v>
      </c>
    </row>
    <row r="629" customFormat="false" ht="46.25" hidden="false" customHeight="false" outlineLevel="0" collapsed="false">
      <c r="A629" s="6" t="s">
        <v>143</v>
      </c>
      <c r="B629" s="6" t="s">
        <v>168</v>
      </c>
      <c r="C629" s="6" t="s">
        <v>932</v>
      </c>
      <c r="D629" s="6" t="s">
        <v>267</v>
      </c>
    </row>
    <row r="630" customFormat="false" ht="35.05" hidden="false" customHeight="false" outlineLevel="0" collapsed="false">
      <c r="A630" s="6" t="s">
        <v>143</v>
      </c>
      <c r="B630" s="6" t="s">
        <v>146</v>
      </c>
      <c r="C630" s="6" t="s">
        <v>932</v>
      </c>
      <c r="D630" s="6" t="s">
        <v>147</v>
      </c>
    </row>
    <row r="631" customFormat="false" ht="23.85" hidden="false" customHeight="false" outlineLevel="0" collapsed="false">
      <c r="A631" s="6" t="s">
        <v>143</v>
      </c>
      <c r="B631" s="6" t="s">
        <v>146</v>
      </c>
      <c r="C631" s="6" t="s">
        <v>955</v>
      </c>
      <c r="D631" s="6" t="s">
        <v>956</v>
      </c>
    </row>
    <row r="632" customFormat="false" ht="15" hidden="false" customHeight="false" outlineLevel="0" collapsed="false">
      <c r="A632" s="6" t="s">
        <v>373</v>
      </c>
      <c r="B632" s="6" t="s">
        <v>186</v>
      </c>
      <c r="C632" s="6" t="s">
        <v>932</v>
      </c>
      <c r="D632" s="6" t="s">
        <v>1302</v>
      </c>
    </row>
    <row r="633" customFormat="false" ht="15" hidden="false" customHeight="false" outlineLevel="0" collapsed="false">
      <c r="A633" s="6" t="s">
        <v>373</v>
      </c>
      <c r="B633" s="6" t="s">
        <v>186</v>
      </c>
      <c r="C633" s="6" t="s">
        <v>932</v>
      </c>
      <c r="D633" s="6" t="s">
        <v>1298</v>
      </c>
    </row>
    <row r="634" customFormat="false" ht="46.25" hidden="false" customHeight="false" outlineLevel="0" collapsed="false">
      <c r="A634" s="6" t="s">
        <v>373</v>
      </c>
      <c r="B634" s="6" t="s">
        <v>186</v>
      </c>
      <c r="C634" s="6" t="s">
        <v>932</v>
      </c>
      <c r="D634" s="6" t="s">
        <v>1299</v>
      </c>
    </row>
    <row r="635" customFormat="false" ht="23.85" hidden="false" customHeight="false" outlineLevel="0" collapsed="false">
      <c r="A635" s="6" t="s">
        <v>373</v>
      </c>
      <c r="B635" s="6" t="s">
        <v>229</v>
      </c>
      <c r="C635" s="6" t="s">
        <v>932</v>
      </c>
      <c r="D635" s="6" t="s">
        <v>1303</v>
      </c>
    </row>
    <row r="636" customFormat="false" ht="15" hidden="false" customHeight="false" outlineLevel="0" collapsed="false">
      <c r="A636" s="6" t="s">
        <v>373</v>
      </c>
      <c r="B636" s="6" t="s">
        <v>229</v>
      </c>
      <c r="C636" s="6" t="s">
        <v>932</v>
      </c>
      <c r="D636" s="6" t="s">
        <v>1304</v>
      </c>
    </row>
    <row r="637" customFormat="false" ht="15" hidden="false" customHeight="false" outlineLevel="0" collapsed="false">
      <c r="A637" s="6" t="s">
        <v>373</v>
      </c>
      <c r="B637" s="6" t="s">
        <v>229</v>
      </c>
      <c r="C637" s="6" t="s">
        <v>932</v>
      </c>
      <c r="D637" s="6" t="s">
        <v>1305</v>
      </c>
    </row>
    <row r="638" customFormat="false" ht="23.85" hidden="false" customHeight="false" outlineLevel="0" collapsed="false">
      <c r="A638" s="6" t="s">
        <v>373</v>
      </c>
      <c r="B638" s="6" t="s">
        <v>168</v>
      </c>
      <c r="C638" s="6" t="s">
        <v>932</v>
      </c>
      <c r="D638" s="6" t="s">
        <v>1306</v>
      </c>
    </row>
    <row r="639" customFormat="false" ht="23.85" hidden="false" customHeight="false" outlineLevel="0" collapsed="false">
      <c r="A639" s="6" t="s">
        <v>373</v>
      </c>
      <c r="B639" s="6" t="s">
        <v>168</v>
      </c>
      <c r="C639" s="6" t="s">
        <v>932</v>
      </c>
      <c r="D639" s="6" t="s">
        <v>1307</v>
      </c>
    </row>
    <row r="640" customFormat="false" ht="23.85" hidden="false" customHeight="false" outlineLevel="0" collapsed="false">
      <c r="A640" s="6" t="s">
        <v>373</v>
      </c>
      <c r="B640" s="6" t="s">
        <v>168</v>
      </c>
      <c r="C640" s="6" t="s">
        <v>932</v>
      </c>
      <c r="D640" s="6" t="s">
        <v>1308</v>
      </c>
    </row>
    <row r="641" customFormat="false" ht="23.85" hidden="false" customHeight="false" outlineLevel="0" collapsed="false">
      <c r="A641" s="6" t="s">
        <v>373</v>
      </c>
      <c r="B641" s="6" t="s">
        <v>168</v>
      </c>
      <c r="C641" s="6" t="s">
        <v>932</v>
      </c>
      <c r="D641" s="6" t="s">
        <v>1309</v>
      </c>
    </row>
    <row r="642" customFormat="false" ht="35.05" hidden="false" customHeight="false" outlineLevel="0" collapsed="false">
      <c r="A642" s="6" t="s">
        <v>373</v>
      </c>
      <c r="B642" s="6" t="s">
        <v>168</v>
      </c>
      <c r="C642" s="6" t="s">
        <v>932</v>
      </c>
      <c r="D642" s="6" t="s">
        <v>1310</v>
      </c>
    </row>
    <row r="643" customFormat="false" ht="23.85" hidden="false" customHeight="false" outlineLevel="0" collapsed="false">
      <c r="A643" s="6" t="s">
        <v>373</v>
      </c>
      <c r="B643" s="6" t="s">
        <v>146</v>
      </c>
      <c r="C643" s="6" t="s">
        <v>932</v>
      </c>
      <c r="D643" s="6" t="s">
        <v>377</v>
      </c>
    </row>
    <row r="644" customFormat="false" ht="15" hidden="false" customHeight="false" outlineLevel="0" collapsed="false">
      <c r="A644" s="6" t="s">
        <v>210</v>
      </c>
      <c r="B644" s="6" t="s">
        <v>109</v>
      </c>
      <c r="C644" s="6" t="s">
        <v>932</v>
      </c>
      <c r="D644" s="6" t="s">
        <v>1169</v>
      </c>
    </row>
    <row r="645" customFormat="false" ht="15" hidden="false" customHeight="false" outlineLevel="0" collapsed="false">
      <c r="A645" s="6" t="s">
        <v>210</v>
      </c>
      <c r="B645" s="6" t="s">
        <v>168</v>
      </c>
      <c r="C645" s="6" t="s">
        <v>932</v>
      </c>
      <c r="D645" s="6" t="s">
        <v>1311</v>
      </c>
    </row>
    <row r="646" customFormat="false" ht="35.05" hidden="false" customHeight="false" outlineLevel="0" collapsed="false">
      <c r="A646" s="6" t="s">
        <v>210</v>
      </c>
      <c r="B646" s="6" t="s">
        <v>168</v>
      </c>
      <c r="C646" s="6" t="s">
        <v>932</v>
      </c>
      <c r="D646" s="6" t="s">
        <v>989</v>
      </c>
    </row>
    <row r="647" customFormat="false" ht="35.05" hidden="false" customHeight="false" outlineLevel="0" collapsed="false">
      <c r="A647" s="6" t="s">
        <v>210</v>
      </c>
      <c r="B647" s="6" t="s">
        <v>168</v>
      </c>
      <c r="C647" s="6" t="s">
        <v>932</v>
      </c>
      <c r="D647" s="6" t="s">
        <v>1312</v>
      </c>
    </row>
    <row r="648" customFormat="false" ht="15" hidden="false" customHeight="false" outlineLevel="0" collapsed="false">
      <c r="A648" s="6" t="s">
        <v>210</v>
      </c>
      <c r="B648" s="6" t="s">
        <v>168</v>
      </c>
      <c r="C648" s="6" t="s">
        <v>932</v>
      </c>
      <c r="D648" s="6" t="s">
        <v>1313</v>
      </c>
    </row>
    <row r="649" customFormat="false" ht="35.05" hidden="false" customHeight="false" outlineLevel="0" collapsed="false">
      <c r="A649" s="6" t="s">
        <v>210</v>
      </c>
      <c r="B649" s="6" t="s">
        <v>168</v>
      </c>
      <c r="C649" s="6" t="s">
        <v>932</v>
      </c>
      <c r="D649" s="6" t="s">
        <v>1075</v>
      </c>
    </row>
    <row r="650" customFormat="false" ht="23.85" hidden="false" customHeight="false" outlineLevel="0" collapsed="false">
      <c r="A650" s="6" t="s">
        <v>210</v>
      </c>
      <c r="B650" s="6" t="s">
        <v>168</v>
      </c>
      <c r="C650" s="6" t="s">
        <v>932</v>
      </c>
      <c r="D650" s="6" t="s">
        <v>182</v>
      </c>
    </row>
    <row r="651" customFormat="false" ht="23.85" hidden="false" customHeight="false" outlineLevel="0" collapsed="false">
      <c r="A651" s="6" t="s">
        <v>210</v>
      </c>
      <c r="B651" s="6" t="s">
        <v>168</v>
      </c>
      <c r="C651" s="6" t="s">
        <v>932</v>
      </c>
      <c r="D651" s="6" t="s">
        <v>1314</v>
      </c>
    </row>
    <row r="652" customFormat="false" ht="35.05" hidden="false" customHeight="false" outlineLevel="0" collapsed="false">
      <c r="A652" s="6" t="s">
        <v>210</v>
      </c>
      <c r="B652" s="6" t="s">
        <v>190</v>
      </c>
      <c r="C652" s="6" t="s">
        <v>932</v>
      </c>
      <c r="D652" s="6" t="s">
        <v>1076</v>
      </c>
    </row>
    <row r="653" customFormat="false" ht="35.05" hidden="false" customHeight="false" outlineLevel="0" collapsed="false">
      <c r="A653" s="6" t="s">
        <v>210</v>
      </c>
      <c r="B653" s="6" t="s">
        <v>62</v>
      </c>
      <c r="C653" s="6" t="s">
        <v>932</v>
      </c>
      <c r="D653" s="6" t="s">
        <v>1315</v>
      </c>
    </row>
    <row r="654" customFormat="false" ht="23.85" hidden="false" customHeight="false" outlineLevel="0" collapsed="false">
      <c r="A654" s="6" t="s">
        <v>210</v>
      </c>
      <c r="B654" s="6" t="s">
        <v>62</v>
      </c>
      <c r="C654" s="6" t="s">
        <v>932</v>
      </c>
      <c r="D654" s="6" t="s">
        <v>156</v>
      </c>
    </row>
    <row r="655" customFormat="false" ht="23.85" hidden="false" customHeight="false" outlineLevel="0" collapsed="false">
      <c r="A655" s="6" t="s">
        <v>210</v>
      </c>
      <c r="B655" s="6" t="s">
        <v>62</v>
      </c>
      <c r="C655" s="6" t="s">
        <v>932</v>
      </c>
      <c r="D655" s="6" t="s">
        <v>164</v>
      </c>
    </row>
    <row r="656" customFormat="false" ht="35.05" hidden="false" customHeight="false" outlineLevel="0" collapsed="false">
      <c r="A656" s="6" t="s">
        <v>210</v>
      </c>
      <c r="B656" s="6" t="s">
        <v>75</v>
      </c>
      <c r="C656" s="6" t="s">
        <v>932</v>
      </c>
      <c r="D656" s="6" t="s">
        <v>76</v>
      </c>
    </row>
    <row r="657" customFormat="false" ht="35.05" hidden="false" customHeight="false" outlineLevel="0" collapsed="false">
      <c r="A657" s="6" t="s">
        <v>210</v>
      </c>
      <c r="B657" s="6" t="s">
        <v>75</v>
      </c>
      <c r="C657" s="6" t="s">
        <v>932</v>
      </c>
      <c r="D657" s="6" t="s">
        <v>943</v>
      </c>
    </row>
    <row r="658" customFormat="false" ht="23.85" hidden="false" customHeight="false" outlineLevel="0" collapsed="false">
      <c r="A658" s="6" t="s">
        <v>210</v>
      </c>
      <c r="B658" s="6" t="s">
        <v>80</v>
      </c>
      <c r="C658" s="6" t="s">
        <v>932</v>
      </c>
      <c r="D658" s="6" t="s">
        <v>220</v>
      </c>
    </row>
    <row r="659" customFormat="false" ht="35.05" hidden="false" customHeight="false" outlineLevel="0" collapsed="false">
      <c r="A659" s="6" t="s">
        <v>210</v>
      </c>
      <c r="B659" s="6" t="s">
        <v>80</v>
      </c>
      <c r="C659" s="6" t="s">
        <v>932</v>
      </c>
      <c r="D659" s="6" t="s">
        <v>1115</v>
      </c>
    </row>
    <row r="660" customFormat="false" ht="35.05" hidden="false" customHeight="false" outlineLevel="0" collapsed="false">
      <c r="A660" s="6" t="s">
        <v>210</v>
      </c>
      <c r="B660" s="6" t="s">
        <v>80</v>
      </c>
      <c r="C660" s="6" t="s">
        <v>932</v>
      </c>
      <c r="D660" s="6" t="s">
        <v>134</v>
      </c>
    </row>
    <row r="661" customFormat="false" ht="35.05" hidden="false" customHeight="false" outlineLevel="0" collapsed="false">
      <c r="A661" s="6" t="s">
        <v>210</v>
      </c>
      <c r="B661" s="6" t="s">
        <v>80</v>
      </c>
      <c r="C661" s="6" t="s">
        <v>932</v>
      </c>
      <c r="D661" s="6" t="s">
        <v>195</v>
      </c>
    </row>
    <row r="662" customFormat="false" ht="35.05" hidden="false" customHeight="false" outlineLevel="0" collapsed="false">
      <c r="A662" s="6" t="s">
        <v>210</v>
      </c>
      <c r="B662" s="6" t="s">
        <v>80</v>
      </c>
      <c r="C662" s="6" t="s">
        <v>932</v>
      </c>
      <c r="D662" s="6" t="s">
        <v>199</v>
      </c>
    </row>
    <row r="663" customFormat="false" ht="247.75" hidden="false" customHeight="false" outlineLevel="0" collapsed="false">
      <c r="A663" s="6" t="s">
        <v>210</v>
      </c>
      <c r="B663" s="6" t="s">
        <v>80</v>
      </c>
      <c r="C663" s="6" t="s">
        <v>944</v>
      </c>
      <c r="D663" s="6" t="s">
        <v>945</v>
      </c>
    </row>
    <row r="664" customFormat="false" ht="23.85" hidden="false" customHeight="false" outlineLevel="0" collapsed="false">
      <c r="A664" s="6" t="s">
        <v>461</v>
      </c>
      <c r="B664" s="6" t="s">
        <v>99</v>
      </c>
      <c r="C664" s="6" t="s">
        <v>932</v>
      </c>
      <c r="D664" s="6" t="s">
        <v>1202</v>
      </c>
    </row>
    <row r="665" customFormat="false" ht="15" hidden="false" customHeight="false" outlineLevel="0" collapsed="false">
      <c r="A665" s="6" t="s">
        <v>461</v>
      </c>
      <c r="B665" s="6" t="s">
        <v>99</v>
      </c>
      <c r="C665" s="6" t="s">
        <v>932</v>
      </c>
      <c r="D665" s="6" t="s">
        <v>1316</v>
      </c>
    </row>
    <row r="666" customFormat="false" ht="35.05" hidden="false" customHeight="false" outlineLevel="0" collapsed="false">
      <c r="A666" s="6" t="s">
        <v>461</v>
      </c>
      <c r="B666" s="6" t="s">
        <v>99</v>
      </c>
      <c r="C666" s="6" t="s">
        <v>932</v>
      </c>
      <c r="D666" s="6" t="s">
        <v>1317</v>
      </c>
    </row>
    <row r="667" customFormat="false" ht="15" hidden="false" customHeight="false" outlineLevel="0" collapsed="false">
      <c r="A667" s="6" t="s">
        <v>461</v>
      </c>
      <c r="B667" s="6" t="s">
        <v>75</v>
      </c>
      <c r="C667" s="6" t="s">
        <v>932</v>
      </c>
      <c r="D667" s="6" t="s">
        <v>1318</v>
      </c>
    </row>
    <row r="668" customFormat="false" ht="15" hidden="false" customHeight="false" outlineLevel="0" collapsed="false">
      <c r="A668" s="6" t="s">
        <v>461</v>
      </c>
      <c r="B668" s="6" t="s">
        <v>75</v>
      </c>
      <c r="C668" s="6" t="s">
        <v>932</v>
      </c>
      <c r="D668" s="6" t="s">
        <v>1319</v>
      </c>
    </row>
    <row r="669" customFormat="false" ht="15" hidden="false" customHeight="false" outlineLevel="0" collapsed="false">
      <c r="A669" s="6" t="s">
        <v>461</v>
      </c>
      <c r="B669" s="6" t="s">
        <v>75</v>
      </c>
      <c r="C669" s="6" t="s">
        <v>932</v>
      </c>
      <c r="D669" s="6" t="s">
        <v>1204</v>
      </c>
    </row>
    <row r="670" customFormat="false" ht="35.05" hidden="false" customHeight="false" outlineLevel="0" collapsed="false">
      <c r="A670" s="6" t="s">
        <v>461</v>
      </c>
      <c r="B670" s="6" t="s">
        <v>75</v>
      </c>
      <c r="C670" s="6" t="s">
        <v>932</v>
      </c>
      <c r="D670" s="6" t="s">
        <v>397</v>
      </c>
    </row>
    <row r="671" customFormat="false" ht="35.05" hidden="false" customHeight="false" outlineLevel="0" collapsed="false">
      <c r="A671" s="6" t="s">
        <v>461</v>
      </c>
      <c r="B671" s="6" t="s">
        <v>104</v>
      </c>
      <c r="C671" s="6" t="s">
        <v>1212</v>
      </c>
      <c r="D671" s="6" t="s">
        <v>1213</v>
      </c>
    </row>
    <row r="672" customFormat="false" ht="23.85" hidden="false" customHeight="false" outlineLevel="0" collapsed="false">
      <c r="A672" s="6" t="s">
        <v>461</v>
      </c>
      <c r="B672" s="6" t="s">
        <v>104</v>
      </c>
      <c r="C672" s="6" t="s">
        <v>1214</v>
      </c>
      <c r="D672" s="6" t="s">
        <v>1215</v>
      </c>
    </row>
    <row r="673" customFormat="false" ht="15" hidden="false" customHeight="false" outlineLevel="0" collapsed="false">
      <c r="A673" s="6" t="s">
        <v>148</v>
      </c>
      <c r="B673" s="6" t="s">
        <v>61</v>
      </c>
      <c r="C673" s="6" t="s">
        <v>932</v>
      </c>
      <c r="D673" s="6" t="s">
        <v>990</v>
      </c>
    </row>
    <row r="674" customFormat="false" ht="23.85" hidden="false" customHeight="false" outlineLevel="0" collapsed="false">
      <c r="A674" s="6" t="s">
        <v>148</v>
      </c>
      <c r="B674" s="6" t="s">
        <v>86</v>
      </c>
      <c r="C674" s="6" t="s">
        <v>932</v>
      </c>
      <c r="D674" s="6" t="s">
        <v>1320</v>
      </c>
    </row>
    <row r="675" customFormat="false" ht="46.25" hidden="false" customHeight="false" outlineLevel="0" collapsed="false">
      <c r="A675" s="6" t="s">
        <v>148</v>
      </c>
      <c r="B675" s="6" t="s">
        <v>86</v>
      </c>
      <c r="C675" s="6" t="s">
        <v>932</v>
      </c>
      <c r="D675" s="6" t="s">
        <v>987</v>
      </c>
    </row>
    <row r="676" customFormat="false" ht="23.85" hidden="false" customHeight="false" outlineLevel="0" collapsed="false">
      <c r="A676" s="6" t="s">
        <v>148</v>
      </c>
      <c r="B676" s="6" t="s">
        <v>86</v>
      </c>
      <c r="C676" s="6" t="s">
        <v>932</v>
      </c>
      <c r="D676" s="6" t="s">
        <v>1321</v>
      </c>
    </row>
    <row r="677" customFormat="false" ht="46.25" hidden="false" customHeight="false" outlineLevel="0" collapsed="false">
      <c r="A677" s="6" t="s">
        <v>148</v>
      </c>
      <c r="B677" s="6" t="s">
        <v>86</v>
      </c>
      <c r="C677" s="6" t="s">
        <v>932</v>
      </c>
      <c r="D677" s="6" t="s">
        <v>1253</v>
      </c>
    </row>
    <row r="678" customFormat="false" ht="23.85" hidden="false" customHeight="false" outlineLevel="0" collapsed="false">
      <c r="A678" s="6" t="s">
        <v>148</v>
      </c>
      <c r="B678" s="6" t="s">
        <v>86</v>
      </c>
      <c r="C678" s="6" t="s">
        <v>932</v>
      </c>
      <c r="D678" s="6" t="s">
        <v>1322</v>
      </c>
    </row>
    <row r="679" customFormat="false" ht="15" hidden="false" customHeight="false" outlineLevel="0" collapsed="false">
      <c r="A679" s="6" t="s">
        <v>148</v>
      </c>
      <c r="B679" s="6" t="s">
        <v>86</v>
      </c>
      <c r="C679" s="6" t="s">
        <v>932</v>
      </c>
      <c r="D679" s="6" t="s">
        <v>1049</v>
      </c>
    </row>
    <row r="680" customFormat="false" ht="23.85" hidden="false" customHeight="false" outlineLevel="0" collapsed="false">
      <c r="A680" s="6" t="s">
        <v>148</v>
      </c>
      <c r="B680" s="6" t="s">
        <v>109</v>
      </c>
      <c r="C680" s="6" t="s">
        <v>932</v>
      </c>
      <c r="D680" s="6" t="s">
        <v>991</v>
      </c>
    </row>
    <row r="681" customFormat="false" ht="46.25" hidden="false" customHeight="false" outlineLevel="0" collapsed="false">
      <c r="A681" s="6" t="s">
        <v>148</v>
      </c>
      <c r="B681" s="6" t="s">
        <v>109</v>
      </c>
      <c r="C681" s="6" t="s">
        <v>932</v>
      </c>
      <c r="D681" s="6" t="s">
        <v>992</v>
      </c>
    </row>
    <row r="682" customFormat="false" ht="15" hidden="false" customHeight="false" outlineLevel="0" collapsed="false">
      <c r="A682" s="6" t="s">
        <v>148</v>
      </c>
      <c r="B682" s="6" t="s">
        <v>95</v>
      </c>
      <c r="C682" s="6" t="s">
        <v>932</v>
      </c>
      <c r="D682" s="6" t="s">
        <v>1323</v>
      </c>
    </row>
    <row r="683" customFormat="false" ht="23.85" hidden="false" customHeight="false" outlineLevel="0" collapsed="false">
      <c r="A683" s="6" t="s">
        <v>148</v>
      </c>
      <c r="B683" s="6" t="s">
        <v>186</v>
      </c>
      <c r="C683" s="6" t="s">
        <v>932</v>
      </c>
      <c r="D683" s="6" t="s">
        <v>1273</v>
      </c>
    </row>
    <row r="684" customFormat="false" ht="15" hidden="false" customHeight="false" outlineLevel="0" collapsed="false">
      <c r="A684" s="6" t="s">
        <v>148</v>
      </c>
      <c r="B684" s="6" t="s">
        <v>186</v>
      </c>
      <c r="C684" s="6" t="s">
        <v>932</v>
      </c>
      <c r="D684" s="6" t="s">
        <v>1324</v>
      </c>
    </row>
    <row r="685" customFormat="false" ht="23.85" hidden="false" customHeight="false" outlineLevel="0" collapsed="false">
      <c r="A685" s="6" t="s">
        <v>148</v>
      </c>
      <c r="B685" s="6" t="s">
        <v>229</v>
      </c>
      <c r="C685" s="6" t="s">
        <v>932</v>
      </c>
      <c r="D685" s="6" t="s">
        <v>1325</v>
      </c>
    </row>
    <row r="686" customFormat="false" ht="15" hidden="false" customHeight="false" outlineLevel="0" collapsed="false">
      <c r="A686" s="6" t="s">
        <v>148</v>
      </c>
      <c r="B686" s="6" t="s">
        <v>229</v>
      </c>
      <c r="C686" s="6" t="s">
        <v>932</v>
      </c>
      <c r="D686" s="6" t="s">
        <v>1326</v>
      </c>
    </row>
    <row r="687" customFormat="false" ht="23.85" hidden="false" customHeight="false" outlineLevel="0" collapsed="false">
      <c r="A687" s="6" t="s">
        <v>148</v>
      </c>
      <c r="B687" s="6" t="s">
        <v>229</v>
      </c>
      <c r="C687" s="6" t="s">
        <v>932</v>
      </c>
      <c r="D687" s="6" t="s">
        <v>1147</v>
      </c>
    </row>
    <row r="688" customFormat="false" ht="23.85" hidden="false" customHeight="false" outlineLevel="0" collapsed="false">
      <c r="A688" s="6" t="s">
        <v>148</v>
      </c>
      <c r="B688" s="6" t="s">
        <v>168</v>
      </c>
      <c r="C688" s="6" t="s">
        <v>932</v>
      </c>
      <c r="D688" s="6" t="s">
        <v>1069</v>
      </c>
    </row>
    <row r="689" customFormat="false" ht="35.05" hidden="false" customHeight="false" outlineLevel="0" collapsed="false">
      <c r="A689" s="6" t="s">
        <v>148</v>
      </c>
      <c r="B689" s="6" t="s">
        <v>168</v>
      </c>
      <c r="C689" s="6" t="s">
        <v>932</v>
      </c>
      <c r="D689" s="6" t="s">
        <v>1070</v>
      </c>
    </row>
    <row r="690" customFormat="false" ht="46.25" hidden="false" customHeight="false" outlineLevel="0" collapsed="false">
      <c r="A690" s="6" t="s">
        <v>148</v>
      </c>
      <c r="B690" s="6" t="s">
        <v>168</v>
      </c>
      <c r="C690" s="6" t="s">
        <v>932</v>
      </c>
      <c r="D690" s="6" t="s">
        <v>267</v>
      </c>
    </row>
    <row r="691" customFormat="false" ht="23.85" hidden="false" customHeight="false" outlineLevel="0" collapsed="false">
      <c r="A691" s="6" t="s">
        <v>148</v>
      </c>
      <c r="B691" s="6" t="s">
        <v>146</v>
      </c>
      <c r="C691" s="6" t="s">
        <v>932</v>
      </c>
      <c r="D691" s="6" t="s">
        <v>1327</v>
      </c>
    </row>
    <row r="692" customFormat="false" ht="23.85" hidden="false" customHeight="false" outlineLevel="0" collapsed="false">
      <c r="A692" s="6" t="s">
        <v>148</v>
      </c>
      <c r="B692" s="6" t="s">
        <v>99</v>
      </c>
      <c r="C692" s="6" t="s">
        <v>932</v>
      </c>
      <c r="D692" s="6" t="s">
        <v>1202</v>
      </c>
    </row>
    <row r="693" customFormat="false" ht="23.85" hidden="false" customHeight="false" outlineLevel="0" collapsed="false">
      <c r="A693" s="6" t="s">
        <v>148</v>
      </c>
      <c r="B693" s="6" t="s">
        <v>62</v>
      </c>
      <c r="C693" s="6" t="s">
        <v>932</v>
      </c>
      <c r="D693" s="6" t="s">
        <v>1043</v>
      </c>
    </row>
    <row r="694" customFormat="false" ht="15" hidden="false" customHeight="false" outlineLevel="0" collapsed="false">
      <c r="A694" s="6" t="s">
        <v>148</v>
      </c>
      <c r="B694" s="6" t="s">
        <v>75</v>
      </c>
      <c r="C694" s="6" t="s">
        <v>932</v>
      </c>
      <c r="D694" s="6" t="s">
        <v>1319</v>
      </c>
    </row>
    <row r="695" customFormat="false" ht="15" hidden="false" customHeight="false" outlineLevel="0" collapsed="false">
      <c r="A695" s="6" t="s">
        <v>148</v>
      </c>
      <c r="B695" s="6" t="s">
        <v>80</v>
      </c>
      <c r="C695" s="6" t="s">
        <v>932</v>
      </c>
      <c r="D695" s="6" t="s">
        <v>1328</v>
      </c>
    </row>
    <row r="696" customFormat="false" ht="15" hidden="false" customHeight="false" outlineLevel="0" collapsed="false">
      <c r="A696" s="6" t="s">
        <v>148</v>
      </c>
      <c r="B696" s="6" t="s">
        <v>80</v>
      </c>
      <c r="C696" s="6" t="s">
        <v>932</v>
      </c>
      <c r="D696" s="6" t="s">
        <v>1329</v>
      </c>
    </row>
    <row r="697" customFormat="false" ht="35.05" hidden="false" customHeight="false" outlineLevel="0" collapsed="false">
      <c r="A697" s="6" t="s">
        <v>148</v>
      </c>
      <c r="B697" s="6" t="s">
        <v>80</v>
      </c>
      <c r="C697" s="6" t="s">
        <v>932</v>
      </c>
      <c r="D697" s="6" t="s">
        <v>151</v>
      </c>
    </row>
    <row r="698" customFormat="false" ht="46.25" hidden="false" customHeight="false" outlineLevel="0" collapsed="false">
      <c r="A698" s="6" t="s">
        <v>273</v>
      </c>
      <c r="B698" s="6" t="s">
        <v>186</v>
      </c>
      <c r="C698" s="6" t="s">
        <v>932</v>
      </c>
      <c r="D698" s="6" t="s">
        <v>411</v>
      </c>
    </row>
    <row r="699" customFormat="false" ht="15" hidden="false" customHeight="false" outlineLevel="0" collapsed="false">
      <c r="A699" s="6" t="s">
        <v>273</v>
      </c>
      <c r="B699" s="6" t="s">
        <v>186</v>
      </c>
      <c r="C699" s="6" t="s">
        <v>932</v>
      </c>
      <c r="D699" s="6" t="s">
        <v>1290</v>
      </c>
    </row>
    <row r="700" customFormat="false" ht="23.85" hidden="false" customHeight="false" outlineLevel="0" collapsed="false">
      <c r="A700" s="6" t="s">
        <v>273</v>
      </c>
      <c r="B700" s="6" t="s">
        <v>186</v>
      </c>
      <c r="C700" s="6" t="s">
        <v>932</v>
      </c>
      <c r="D700" s="6" t="s">
        <v>1291</v>
      </c>
    </row>
    <row r="701" customFormat="false" ht="15" hidden="false" customHeight="false" outlineLevel="0" collapsed="false">
      <c r="A701" s="6" t="s">
        <v>273</v>
      </c>
      <c r="B701" s="6" t="s">
        <v>229</v>
      </c>
      <c r="C701" s="6" t="s">
        <v>932</v>
      </c>
      <c r="D701" s="6" t="s">
        <v>965</v>
      </c>
    </row>
    <row r="702" customFormat="false" ht="15" hidden="false" customHeight="false" outlineLevel="0" collapsed="false">
      <c r="A702" s="6" t="s">
        <v>273</v>
      </c>
      <c r="B702" s="6" t="s">
        <v>229</v>
      </c>
      <c r="C702" s="6" t="s">
        <v>932</v>
      </c>
      <c r="D702" s="6" t="s">
        <v>966</v>
      </c>
    </row>
    <row r="703" customFormat="false" ht="15" hidden="false" customHeight="false" outlineLevel="0" collapsed="false">
      <c r="A703" s="6" t="s">
        <v>273</v>
      </c>
      <c r="B703" s="6" t="s">
        <v>229</v>
      </c>
      <c r="C703" s="6" t="s">
        <v>932</v>
      </c>
      <c r="D703" s="6" t="s">
        <v>1330</v>
      </c>
    </row>
    <row r="704" customFormat="false" ht="23.85" hidden="false" customHeight="false" outlineLevel="0" collapsed="false">
      <c r="A704" s="6" t="s">
        <v>273</v>
      </c>
      <c r="B704" s="6" t="s">
        <v>229</v>
      </c>
      <c r="C704" s="6" t="s">
        <v>932</v>
      </c>
      <c r="D704" s="6" t="s">
        <v>276</v>
      </c>
    </row>
    <row r="705" customFormat="false" ht="15" hidden="false" customHeight="false" outlineLevel="0" collapsed="false">
      <c r="A705" s="6" t="s">
        <v>213</v>
      </c>
      <c r="B705" s="6" t="s">
        <v>80</v>
      </c>
      <c r="C705" s="6" t="s">
        <v>932</v>
      </c>
      <c r="D705" s="6" t="s">
        <v>1331</v>
      </c>
    </row>
    <row r="706" customFormat="false" ht="23.85" hidden="false" customHeight="false" outlineLevel="0" collapsed="false">
      <c r="A706" s="6" t="s">
        <v>213</v>
      </c>
      <c r="B706" s="6" t="s">
        <v>80</v>
      </c>
      <c r="C706" s="6" t="s">
        <v>932</v>
      </c>
      <c r="D706" s="6" t="s">
        <v>1097</v>
      </c>
    </row>
    <row r="707" customFormat="false" ht="23.85" hidden="false" customHeight="false" outlineLevel="0" collapsed="false">
      <c r="A707" s="6" t="s">
        <v>213</v>
      </c>
      <c r="B707" s="6" t="s">
        <v>80</v>
      </c>
      <c r="C707" s="6" t="s">
        <v>932</v>
      </c>
      <c r="D707" s="6" t="s">
        <v>216</v>
      </c>
    </row>
    <row r="708" customFormat="false" ht="135.8" hidden="false" customHeight="false" outlineLevel="0" collapsed="false">
      <c r="A708" s="6" t="s">
        <v>213</v>
      </c>
      <c r="B708" s="6" t="s">
        <v>80</v>
      </c>
      <c r="C708" s="6" t="s">
        <v>985</v>
      </c>
      <c r="D708" s="6" t="s">
        <v>986</v>
      </c>
    </row>
    <row r="709" customFormat="false" ht="247.75" hidden="false" customHeight="false" outlineLevel="0" collapsed="false">
      <c r="A709" s="6" t="s">
        <v>213</v>
      </c>
      <c r="B709" s="6" t="s">
        <v>80</v>
      </c>
      <c r="C709" s="6" t="s">
        <v>944</v>
      </c>
      <c r="D709" s="6" t="s">
        <v>945</v>
      </c>
    </row>
    <row r="710" customFormat="false" ht="214.15" hidden="false" customHeight="false" outlineLevel="0" collapsed="false">
      <c r="A710" s="6" t="s">
        <v>213</v>
      </c>
      <c r="B710" s="6" t="s">
        <v>60</v>
      </c>
      <c r="C710" s="6" t="s">
        <v>1138</v>
      </c>
      <c r="D710" s="6" t="s">
        <v>1139</v>
      </c>
    </row>
    <row r="711" customFormat="false" ht="15" hidden="false" customHeight="false" outlineLevel="0" collapsed="false">
      <c r="A711" s="6" t="s">
        <v>464</v>
      </c>
      <c r="B711" s="6" t="s">
        <v>229</v>
      </c>
      <c r="C711" s="6" t="s">
        <v>932</v>
      </c>
      <c r="D711" s="6" t="s">
        <v>467</v>
      </c>
    </row>
    <row r="712" customFormat="false" ht="23.85" hidden="false" customHeight="false" outlineLevel="0" collapsed="false">
      <c r="A712" s="6" t="s">
        <v>378</v>
      </c>
      <c r="B712" s="6" t="s">
        <v>86</v>
      </c>
      <c r="C712" s="6" t="s">
        <v>932</v>
      </c>
      <c r="D712" s="6" t="s">
        <v>1060</v>
      </c>
    </row>
    <row r="713" customFormat="false" ht="35.05" hidden="false" customHeight="false" outlineLevel="0" collapsed="false">
      <c r="A713" s="6" t="s">
        <v>378</v>
      </c>
      <c r="B713" s="6" t="s">
        <v>186</v>
      </c>
      <c r="C713" s="6" t="s">
        <v>932</v>
      </c>
      <c r="D713" s="6" t="s">
        <v>1332</v>
      </c>
    </row>
    <row r="714" customFormat="false" ht="46.25" hidden="false" customHeight="false" outlineLevel="0" collapsed="false">
      <c r="A714" s="6" t="s">
        <v>378</v>
      </c>
      <c r="B714" s="6" t="s">
        <v>186</v>
      </c>
      <c r="C714" s="6" t="s">
        <v>932</v>
      </c>
      <c r="D714" s="6" t="s">
        <v>1299</v>
      </c>
    </row>
    <row r="715" customFormat="false" ht="35.05" hidden="false" customHeight="false" outlineLevel="0" collapsed="false">
      <c r="A715" s="6" t="s">
        <v>378</v>
      </c>
      <c r="B715" s="6" t="s">
        <v>229</v>
      </c>
      <c r="C715" s="6" t="s">
        <v>932</v>
      </c>
      <c r="D715" s="6" t="s">
        <v>381</v>
      </c>
    </row>
    <row r="716" customFormat="false" ht="113.4" hidden="false" customHeight="false" outlineLevel="0" collapsed="false">
      <c r="A716" s="6" t="s">
        <v>101</v>
      </c>
      <c r="B716" s="6" t="s">
        <v>104</v>
      </c>
      <c r="C716" s="6" t="s">
        <v>1333</v>
      </c>
      <c r="D716" s="6" t="s">
        <v>1334</v>
      </c>
    </row>
    <row r="717" customFormat="false" ht="15" hidden="false" customHeight="false" outlineLevel="0" collapsed="false">
      <c r="A717" s="6" t="s">
        <v>348</v>
      </c>
      <c r="B717" s="6" t="s">
        <v>95</v>
      </c>
      <c r="C717" s="6" t="s">
        <v>932</v>
      </c>
      <c r="D717" s="6" t="s">
        <v>1335</v>
      </c>
    </row>
    <row r="718" customFormat="false" ht="35.05" hidden="false" customHeight="false" outlineLevel="0" collapsed="false">
      <c r="A718" s="6" t="s">
        <v>348</v>
      </c>
      <c r="B718" s="6" t="s">
        <v>95</v>
      </c>
      <c r="C718" s="6" t="s">
        <v>932</v>
      </c>
      <c r="D718" s="6" t="s">
        <v>1336</v>
      </c>
    </row>
    <row r="719" customFormat="false" ht="23.85" hidden="false" customHeight="false" outlineLevel="0" collapsed="false">
      <c r="A719" s="6" t="s">
        <v>348</v>
      </c>
      <c r="B719" s="6" t="s">
        <v>95</v>
      </c>
      <c r="C719" s="6" t="s">
        <v>932</v>
      </c>
      <c r="D719" s="6" t="s">
        <v>295</v>
      </c>
    </row>
    <row r="720" customFormat="false" ht="15" hidden="false" customHeight="false" outlineLevel="0" collapsed="false">
      <c r="A720" s="6" t="s">
        <v>348</v>
      </c>
      <c r="B720" s="6" t="s">
        <v>95</v>
      </c>
      <c r="C720" s="6" t="s">
        <v>932</v>
      </c>
      <c r="D720" s="6" t="s">
        <v>1090</v>
      </c>
    </row>
    <row r="721" customFormat="false" ht="23.85" hidden="false" customHeight="false" outlineLevel="0" collapsed="false">
      <c r="A721" s="6" t="s">
        <v>348</v>
      </c>
      <c r="B721" s="6" t="s">
        <v>95</v>
      </c>
      <c r="C721" s="6" t="s">
        <v>932</v>
      </c>
      <c r="D721" s="6" t="s">
        <v>1337</v>
      </c>
    </row>
    <row r="722" customFormat="false" ht="23.85" hidden="false" customHeight="false" outlineLevel="0" collapsed="false">
      <c r="A722" s="6" t="s">
        <v>348</v>
      </c>
      <c r="B722" s="6" t="s">
        <v>330</v>
      </c>
      <c r="C722" s="6" t="s">
        <v>932</v>
      </c>
      <c r="D722" s="6" t="s">
        <v>351</v>
      </c>
    </row>
    <row r="723" customFormat="false" ht="57.45" hidden="false" customHeight="false" outlineLevel="0" collapsed="false">
      <c r="A723" s="6" t="s">
        <v>605</v>
      </c>
      <c r="B723" s="6" t="s">
        <v>95</v>
      </c>
      <c r="C723" s="6" t="s">
        <v>932</v>
      </c>
      <c r="D723" s="6" t="s">
        <v>1206</v>
      </c>
    </row>
    <row r="724" customFormat="false" ht="15" hidden="false" customHeight="false" outlineLevel="0" collapsed="false">
      <c r="A724" s="6" t="s">
        <v>605</v>
      </c>
      <c r="B724" s="6" t="s">
        <v>80</v>
      </c>
      <c r="C724" s="6" t="s">
        <v>932</v>
      </c>
      <c r="D724" s="6" t="s">
        <v>1338</v>
      </c>
    </row>
    <row r="725" customFormat="false" ht="23.85" hidden="false" customHeight="false" outlineLevel="0" collapsed="false">
      <c r="A725" s="6" t="s">
        <v>605</v>
      </c>
      <c r="B725" s="6" t="s">
        <v>80</v>
      </c>
      <c r="C725" s="6" t="s">
        <v>932</v>
      </c>
      <c r="D725" s="6" t="s">
        <v>608</v>
      </c>
    </row>
    <row r="726" customFormat="false" ht="15" hidden="false" customHeight="false" outlineLevel="0" collapsed="false">
      <c r="A726" s="6" t="s">
        <v>605</v>
      </c>
      <c r="B726" s="6" t="s">
        <v>80</v>
      </c>
      <c r="C726" s="6" t="s">
        <v>932</v>
      </c>
      <c r="D726" s="6" t="s">
        <v>1153</v>
      </c>
    </row>
    <row r="727" customFormat="false" ht="15" hidden="false" customHeight="false" outlineLevel="0" collapsed="false">
      <c r="A727" s="6" t="s">
        <v>605</v>
      </c>
      <c r="B727" s="6" t="s">
        <v>80</v>
      </c>
      <c r="C727" s="6" t="s">
        <v>932</v>
      </c>
      <c r="D727" s="6" t="s">
        <v>582</v>
      </c>
    </row>
    <row r="728" customFormat="false" ht="23.85" hidden="false" customHeight="false" outlineLevel="0" collapsed="false">
      <c r="A728" s="6" t="s">
        <v>72</v>
      </c>
      <c r="B728" s="6" t="s">
        <v>61</v>
      </c>
      <c r="C728" s="6" t="s">
        <v>932</v>
      </c>
      <c r="D728" s="6" t="s">
        <v>946</v>
      </c>
    </row>
    <row r="729" customFormat="false" ht="15" hidden="false" customHeight="false" outlineLevel="0" collapsed="false">
      <c r="A729" s="6" t="s">
        <v>72</v>
      </c>
      <c r="B729" s="6" t="s">
        <v>61</v>
      </c>
      <c r="C729" s="6" t="s">
        <v>932</v>
      </c>
      <c r="D729" s="6" t="s">
        <v>1339</v>
      </c>
    </row>
    <row r="730" customFormat="false" ht="23.85" hidden="false" customHeight="false" outlineLevel="0" collapsed="false">
      <c r="A730" s="6" t="s">
        <v>72</v>
      </c>
      <c r="B730" s="6" t="s">
        <v>61</v>
      </c>
      <c r="C730" s="6" t="s">
        <v>932</v>
      </c>
      <c r="D730" s="6" t="s">
        <v>1187</v>
      </c>
    </row>
    <row r="731" customFormat="false" ht="35.05" hidden="false" customHeight="false" outlineLevel="0" collapsed="false">
      <c r="A731" s="6" t="s">
        <v>72</v>
      </c>
      <c r="B731" s="6" t="s">
        <v>61</v>
      </c>
      <c r="C731" s="6" t="s">
        <v>932</v>
      </c>
      <c r="D731" s="6" t="s">
        <v>1340</v>
      </c>
    </row>
    <row r="732" customFormat="false" ht="23.85" hidden="false" customHeight="false" outlineLevel="0" collapsed="false">
      <c r="A732" s="6" t="s">
        <v>72</v>
      </c>
      <c r="B732" s="6" t="s">
        <v>61</v>
      </c>
      <c r="C732" s="6" t="s">
        <v>932</v>
      </c>
      <c r="D732" s="6" t="s">
        <v>1341</v>
      </c>
    </row>
    <row r="733" customFormat="false" ht="35.05" hidden="false" customHeight="false" outlineLevel="0" collapsed="false">
      <c r="A733" s="6" t="s">
        <v>72</v>
      </c>
      <c r="B733" s="6" t="s">
        <v>61</v>
      </c>
      <c r="C733" s="6" t="s">
        <v>932</v>
      </c>
      <c r="D733" s="6" t="s">
        <v>1342</v>
      </c>
    </row>
    <row r="734" customFormat="false" ht="23.85" hidden="false" customHeight="false" outlineLevel="0" collapsed="false">
      <c r="A734" s="6" t="s">
        <v>72</v>
      </c>
      <c r="B734" s="6" t="s">
        <v>86</v>
      </c>
      <c r="C734" s="6" t="s">
        <v>932</v>
      </c>
      <c r="D734" s="6" t="s">
        <v>1343</v>
      </c>
    </row>
    <row r="735" customFormat="false" ht="23.85" hidden="false" customHeight="false" outlineLevel="0" collapsed="false">
      <c r="A735" s="6" t="s">
        <v>72</v>
      </c>
      <c r="B735" s="6" t="s">
        <v>86</v>
      </c>
      <c r="C735" s="6" t="s">
        <v>932</v>
      </c>
      <c r="D735" s="6" t="s">
        <v>1228</v>
      </c>
    </row>
    <row r="736" customFormat="false" ht="35.05" hidden="false" customHeight="false" outlineLevel="0" collapsed="false">
      <c r="A736" s="6" t="s">
        <v>72</v>
      </c>
      <c r="B736" s="6" t="s">
        <v>109</v>
      </c>
      <c r="C736" s="6" t="s">
        <v>932</v>
      </c>
      <c r="D736" s="6" t="s">
        <v>1012</v>
      </c>
    </row>
    <row r="737" customFormat="false" ht="23.85" hidden="false" customHeight="false" outlineLevel="0" collapsed="false">
      <c r="A737" s="6" t="s">
        <v>72</v>
      </c>
      <c r="B737" s="6" t="s">
        <v>95</v>
      </c>
      <c r="C737" s="6" t="s">
        <v>932</v>
      </c>
      <c r="D737" s="6" t="s">
        <v>1017</v>
      </c>
    </row>
    <row r="738" customFormat="false" ht="23.85" hidden="false" customHeight="false" outlineLevel="0" collapsed="false">
      <c r="A738" s="6" t="s">
        <v>72</v>
      </c>
      <c r="B738" s="6" t="s">
        <v>95</v>
      </c>
      <c r="C738" s="6" t="s">
        <v>932</v>
      </c>
      <c r="D738" s="6" t="s">
        <v>1344</v>
      </c>
    </row>
    <row r="739" customFormat="false" ht="23.85" hidden="false" customHeight="false" outlineLevel="0" collapsed="false">
      <c r="A739" s="6" t="s">
        <v>72</v>
      </c>
      <c r="B739" s="6" t="s">
        <v>95</v>
      </c>
      <c r="C739" s="6" t="s">
        <v>932</v>
      </c>
      <c r="D739" s="6" t="s">
        <v>1345</v>
      </c>
    </row>
    <row r="740" customFormat="false" ht="15" hidden="false" customHeight="false" outlineLevel="0" collapsed="false">
      <c r="A740" s="6" t="s">
        <v>72</v>
      </c>
      <c r="B740" s="6" t="s">
        <v>186</v>
      </c>
      <c r="C740" s="6" t="s">
        <v>932</v>
      </c>
      <c r="D740" s="6" t="s">
        <v>1346</v>
      </c>
    </row>
    <row r="741" customFormat="false" ht="23.85" hidden="false" customHeight="false" outlineLevel="0" collapsed="false">
      <c r="A741" s="6" t="s">
        <v>72</v>
      </c>
      <c r="B741" s="6" t="s">
        <v>186</v>
      </c>
      <c r="C741" s="6" t="s">
        <v>932</v>
      </c>
      <c r="D741" s="6" t="s">
        <v>1347</v>
      </c>
    </row>
    <row r="742" customFormat="false" ht="23.85" hidden="false" customHeight="false" outlineLevel="0" collapsed="false">
      <c r="A742" s="6" t="s">
        <v>72</v>
      </c>
      <c r="B742" s="6" t="s">
        <v>186</v>
      </c>
      <c r="C742" s="6" t="s">
        <v>932</v>
      </c>
      <c r="D742" s="6" t="s">
        <v>1348</v>
      </c>
    </row>
    <row r="743" customFormat="false" ht="35.05" hidden="false" customHeight="false" outlineLevel="0" collapsed="false">
      <c r="A743" s="6" t="s">
        <v>72</v>
      </c>
      <c r="B743" s="6" t="s">
        <v>186</v>
      </c>
      <c r="C743" s="6" t="s">
        <v>932</v>
      </c>
      <c r="D743" s="6" t="s">
        <v>1349</v>
      </c>
    </row>
    <row r="744" customFormat="false" ht="23.85" hidden="false" customHeight="false" outlineLevel="0" collapsed="false">
      <c r="A744" s="6" t="s">
        <v>72</v>
      </c>
      <c r="B744" s="6" t="s">
        <v>330</v>
      </c>
      <c r="C744" s="6" t="s">
        <v>932</v>
      </c>
      <c r="D744" s="6" t="s">
        <v>1350</v>
      </c>
    </row>
    <row r="745" customFormat="false" ht="23.85" hidden="false" customHeight="false" outlineLevel="0" collapsed="false">
      <c r="A745" s="6" t="s">
        <v>72</v>
      </c>
      <c r="B745" s="6" t="s">
        <v>330</v>
      </c>
      <c r="C745" s="6" t="s">
        <v>932</v>
      </c>
      <c r="D745" s="6" t="s">
        <v>1351</v>
      </c>
    </row>
    <row r="746" customFormat="false" ht="35.05" hidden="false" customHeight="false" outlineLevel="0" collapsed="false">
      <c r="A746" s="6" t="s">
        <v>72</v>
      </c>
      <c r="B746" s="6" t="s">
        <v>168</v>
      </c>
      <c r="C746" s="6" t="s">
        <v>932</v>
      </c>
      <c r="D746" s="6" t="s">
        <v>1352</v>
      </c>
    </row>
    <row r="747" customFormat="false" ht="23.85" hidden="false" customHeight="false" outlineLevel="0" collapsed="false">
      <c r="A747" s="6" t="s">
        <v>72</v>
      </c>
      <c r="B747" s="6" t="s">
        <v>168</v>
      </c>
      <c r="C747" s="6" t="s">
        <v>932</v>
      </c>
      <c r="D747" s="6" t="s">
        <v>1033</v>
      </c>
    </row>
    <row r="748" customFormat="false" ht="23.85" hidden="false" customHeight="false" outlineLevel="0" collapsed="false">
      <c r="A748" s="6" t="s">
        <v>72</v>
      </c>
      <c r="B748" s="6" t="s">
        <v>168</v>
      </c>
      <c r="C748" s="6" t="s">
        <v>932</v>
      </c>
      <c r="D748" s="6" t="s">
        <v>1353</v>
      </c>
    </row>
    <row r="749" customFormat="false" ht="35.05" hidden="false" customHeight="false" outlineLevel="0" collapsed="false">
      <c r="A749" s="6" t="s">
        <v>72</v>
      </c>
      <c r="B749" s="6" t="s">
        <v>168</v>
      </c>
      <c r="C749" s="6" t="s">
        <v>932</v>
      </c>
      <c r="D749" s="6" t="s">
        <v>1075</v>
      </c>
    </row>
    <row r="750" customFormat="false" ht="35.05" hidden="false" customHeight="false" outlineLevel="0" collapsed="false">
      <c r="A750" s="6" t="s">
        <v>72</v>
      </c>
      <c r="B750" s="6" t="s">
        <v>168</v>
      </c>
      <c r="C750" s="6" t="s">
        <v>932</v>
      </c>
      <c r="D750" s="6" t="s">
        <v>1354</v>
      </c>
    </row>
    <row r="751" customFormat="false" ht="23.85" hidden="false" customHeight="false" outlineLevel="0" collapsed="false">
      <c r="A751" s="6" t="s">
        <v>72</v>
      </c>
      <c r="B751" s="6" t="s">
        <v>190</v>
      </c>
      <c r="C751" s="6" t="s">
        <v>932</v>
      </c>
      <c r="D751" s="6" t="s">
        <v>1355</v>
      </c>
    </row>
    <row r="752" customFormat="false" ht="35.05" hidden="false" customHeight="false" outlineLevel="0" collapsed="false">
      <c r="A752" s="6" t="s">
        <v>72</v>
      </c>
      <c r="B752" s="6" t="s">
        <v>190</v>
      </c>
      <c r="C752" s="6" t="s">
        <v>932</v>
      </c>
      <c r="D752" s="6" t="s">
        <v>1076</v>
      </c>
    </row>
    <row r="753" customFormat="false" ht="23.85" hidden="false" customHeight="false" outlineLevel="0" collapsed="false">
      <c r="A753" s="6" t="s">
        <v>72</v>
      </c>
      <c r="B753" s="6" t="s">
        <v>190</v>
      </c>
      <c r="C753" s="6" t="s">
        <v>932</v>
      </c>
      <c r="D753" s="6" t="s">
        <v>191</v>
      </c>
    </row>
    <row r="754" customFormat="false" ht="35.05" hidden="false" customHeight="false" outlineLevel="0" collapsed="false">
      <c r="A754" s="6" t="s">
        <v>72</v>
      </c>
      <c r="B754" s="6" t="s">
        <v>190</v>
      </c>
      <c r="C754" s="6" t="s">
        <v>932</v>
      </c>
      <c r="D754" s="6" t="s">
        <v>1077</v>
      </c>
    </row>
    <row r="755" customFormat="false" ht="15" hidden="false" customHeight="false" outlineLevel="0" collapsed="false">
      <c r="A755" s="6" t="s">
        <v>72</v>
      </c>
      <c r="B755" s="6" t="s">
        <v>190</v>
      </c>
      <c r="C755" s="6" t="s">
        <v>932</v>
      </c>
      <c r="D755" s="6" t="s">
        <v>1356</v>
      </c>
    </row>
    <row r="756" customFormat="false" ht="23.85" hidden="false" customHeight="false" outlineLevel="0" collapsed="false">
      <c r="A756" s="6" t="s">
        <v>72</v>
      </c>
      <c r="B756" s="6" t="s">
        <v>190</v>
      </c>
      <c r="C756" s="6" t="s">
        <v>932</v>
      </c>
      <c r="D756" s="6" t="s">
        <v>1078</v>
      </c>
    </row>
    <row r="757" customFormat="false" ht="35.05" hidden="false" customHeight="false" outlineLevel="0" collapsed="false">
      <c r="A757" s="6" t="s">
        <v>72</v>
      </c>
      <c r="B757" s="6" t="s">
        <v>146</v>
      </c>
      <c r="C757" s="6" t="s">
        <v>932</v>
      </c>
      <c r="D757" s="6" t="s">
        <v>1357</v>
      </c>
    </row>
    <row r="758" customFormat="false" ht="23.85" hidden="false" customHeight="false" outlineLevel="0" collapsed="false">
      <c r="A758" s="6" t="s">
        <v>72</v>
      </c>
      <c r="B758" s="6" t="s">
        <v>146</v>
      </c>
      <c r="C758" s="6" t="s">
        <v>932</v>
      </c>
      <c r="D758" s="6" t="s">
        <v>1358</v>
      </c>
    </row>
    <row r="759" customFormat="false" ht="23.85" hidden="false" customHeight="false" outlineLevel="0" collapsed="false">
      <c r="A759" s="6" t="s">
        <v>72</v>
      </c>
      <c r="B759" s="6" t="s">
        <v>146</v>
      </c>
      <c r="C759" s="6" t="s">
        <v>932</v>
      </c>
      <c r="D759" s="6" t="s">
        <v>1292</v>
      </c>
    </row>
    <row r="760" customFormat="false" ht="23.85" hidden="false" customHeight="false" outlineLevel="0" collapsed="false">
      <c r="A760" s="6" t="s">
        <v>72</v>
      </c>
      <c r="B760" s="6" t="s">
        <v>146</v>
      </c>
      <c r="C760" s="6" t="s">
        <v>932</v>
      </c>
      <c r="D760" s="6" t="s">
        <v>1359</v>
      </c>
    </row>
    <row r="761" customFormat="false" ht="23.85" hidden="false" customHeight="false" outlineLevel="0" collapsed="false">
      <c r="A761" s="6" t="s">
        <v>72</v>
      </c>
      <c r="B761" s="6" t="s">
        <v>146</v>
      </c>
      <c r="C761" s="6" t="s">
        <v>932</v>
      </c>
      <c r="D761" s="6" t="s">
        <v>1360</v>
      </c>
    </row>
    <row r="762" customFormat="false" ht="23.85" hidden="false" customHeight="false" outlineLevel="0" collapsed="false">
      <c r="A762" s="6" t="s">
        <v>72</v>
      </c>
      <c r="B762" s="6" t="s">
        <v>146</v>
      </c>
      <c r="C762" s="6" t="s">
        <v>932</v>
      </c>
      <c r="D762" s="6" t="s">
        <v>1361</v>
      </c>
    </row>
    <row r="763" customFormat="false" ht="15" hidden="false" customHeight="false" outlineLevel="0" collapsed="false">
      <c r="A763" s="6" t="s">
        <v>72</v>
      </c>
      <c r="B763" s="6" t="s">
        <v>146</v>
      </c>
      <c r="C763" s="6" t="s">
        <v>1362</v>
      </c>
      <c r="D763" s="6" t="s">
        <v>1363</v>
      </c>
    </row>
    <row r="764" customFormat="false" ht="15" hidden="false" customHeight="false" outlineLevel="0" collapsed="false">
      <c r="A764" s="6" t="s">
        <v>72</v>
      </c>
      <c r="B764" s="6" t="s">
        <v>169</v>
      </c>
      <c r="C764" s="6" t="s">
        <v>932</v>
      </c>
      <c r="D764" s="6" t="s">
        <v>1364</v>
      </c>
    </row>
    <row r="765" customFormat="false" ht="23.85" hidden="false" customHeight="false" outlineLevel="0" collapsed="false">
      <c r="A765" s="6" t="s">
        <v>72</v>
      </c>
      <c r="B765" s="6" t="s">
        <v>169</v>
      </c>
      <c r="C765" s="6" t="s">
        <v>932</v>
      </c>
      <c r="D765" s="6" t="s">
        <v>1365</v>
      </c>
    </row>
    <row r="766" customFormat="false" ht="15" hidden="false" customHeight="false" outlineLevel="0" collapsed="false">
      <c r="A766" s="6" t="s">
        <v>72</v>
      </c>
      <c r="B766" s="6" t="s">
        <v>99</v>
      </c>
      <c r="C766" s="6" t="s">
        <v>932</v>
      </c>
      <c r="D766" s="6" t="s">
        <v>1366</v>
      </c>
    </row>
    <row r="767" customFormat="false" ht="15" hidden="false" customHeight="false" outlineLevel="0" collapsed="false">
      <c r="A767" s="6" t="s">
        <v>72</v>
      </c>
      <c r="B767" s="6" t="s">
        <v>99</v>
      </c>
      <c r="C767" s="6" t="s">
        <v>932</v>
      </c>
      <c r="D767" s="6" t="s">
        <v>1367</v>
      </c>
    </row>
    <row r="768" customFormat="false" ht="23.85" hidden="false" customHeight="false" outlineLevel="0" collapsed="false">
      <c r="A768" s="6" t="s">
        <v>72</v>
      </c>
      <c r="B768" s="6" t="s">
        <v>99</v>
      </c>
      <c r="C768" s="6" t="s">
        <v>932</v>
      </c>
      <c r="D768" s="6" t="s">
        <v>1368</v>
      </c>
    </row>
    <row r="769" customFormat="false" ht="35.05" hidden="false" customHeight="false" outlineLevel="0" collapsed="false">
      <c r="A769" s="6" t="s">
        <v>72</v>
      </c>
      <c r="B769" s="6" t="s">
        <v>99</v>
      </c>
      <c r="C769" s="6" t="s">
        <v>932</v>
      </c>
      <c r="D769" s="6" t="s">
        <v>1020</v>
      </c>
    </row>
    <row r="770" customFormat="false" ht="15" hidden="false" customHeight="false" outlineLevel="0" collapsed="false">
      <c r="A770" s="6" t="s">
        <v>72</v>
      </c>
      <c r="B770" s="6" t="s">
        <v>99</v>
      </c>
      <c r="C770" s="6" t="s">
        <v>932</v>
      </c>
      <c r="D770" s="6" t="s">
        <v>1369</v>
      </c>
    </row>
    <row r="771" customFormat="false" ht="46.25" hidden="false" customHeight="false" outlineLevel="0" collapsed="false">
      <c r="A771" s="6" t="s">
        <v>72</v>
      </c>
      <c r="B771" s="6" t="s">
        <v>99</v>
      </c>
      <c r="C771" s="6" t="s">
        <v>932</v>
      </c>
      <c r="D771" s="6" t="s">
        <v>1024</v>
      </c>
    </row>
    <row r="772" customFormat="false" ht="35.05" hidden="false" customHeight="false" outlineLevel="0" collapsed="false">
      <c r="A772" s="6" t="s">
        <v>72</v>
      </c>
      <c r="B772" s="6" t="s">
        <v>99</v>
      </c>
      <c r="C772" s="6" t="s">
        <v>932</v>
      </c>
      <c r="D772" s="6" t="s">
        <v>1370</v>
      </c>
    </row>
    <row r="773" customFormat="false" ht="23.85" hidden="false" customHeight="false" outlineLevel="0" collapsed="false">
      <c r="A773" s="6" t="s">
        <v>72</v>
      </c>
      <c r="B773" s="6" t="s">
        <v>99</v>
      </c>
      <c r="C773" s="6" t="s">
        <v>932</v>
      </c>
      <c r="D773" s="6" t="s">
        <v>1371</v>
      </c>
    </row>
    <row r="774" customFormat="false" ht="35.05" hidden="false" customHeight="false" outlineLevel="0" collapsed="false">
      <c r="A774" s="6" t="s">
        <v>72</v>
      </c>
      <c r="B774" s="6" t="s">
        <v>99</v>
      </c>
      <c r="C774" s="6" t="s">
        <v>932</v>
      </c>
      <c r="D774" s="6" t="s">
        <v>1117</v>
      </c>
    </row>
    <row r="775" customFormat="false" ht="23.85" hidden="false" customHeight="false" outlineLevel="0" collapsed="false">
      <c r="A775" s="6" t="s">
        <v>72</v>
      </c>
      <c r="B775" s="6" t="s">
        <v>99</v>
      </c>
      <c r="C775" s="6" t="s">
        <v>932</v>
      </c>
      <c r="D775" s="6" t="s">
        <v>1372</v>
      </c>
    </row>
    <row r="776" customFormat="false" ht="15" hidden="false" customHeight="false" outlineLevel="0" collapsed="false">
      <c r="A776" s="6" t="s">
        <v>72</v>
      </c>
      <c r="B776" s="6" t="s">
        <v>99</v>
      </c>
      <c r="C776" s="6" t="s">
        <v>932</v>
      </c>
      <c r="D776" s="6" t="s">
        <v>1373</v>
      </c>
    </row>
    <row r="777" customFormat="false" ht="15" hidden="false" customHeight="false" outlineLevel="0" collapsed="false">
      <c r="A777" s="6" t="s">
        <v>72</v>
      </c>
      <c r="B777" s="6" t="s">
        <v>99</v>
      </c>
      <c r="C777" s="6" t="s">
        <v>932</v>
      </c>
      <c r="D777" s="6" t="s">
        <v>1374</v>
      </c>
    </row>
    <row r="778" customFormat="false" ht="15" hidden="false" customHeight="false" outlineLevel="0" collapsed="false">
      <c r="A778" s="6" t="s">
        <v>72</v>
      </c>
      <c r="B778" s="6" t="s">
        <v>99</v>
      </c>
      <c r="C778" s="6" t="s">
        <v>932</v>
      </c>
      <c r="D778" s="6" t="s">
        <v>1375</v>
      </c>
    </row>
    <row r="779" customFormat="false" ht="23.85" hidden="false" customHeight="false" outlineLevel="0" collapsed="false">
      <c r="A779" s="6" t="s">
        <v>72</v>
      </c>
      <c r="B779" s="6" t="s">
        <v>99</v>
      </c>
      <c r="C779" s="6" t="s">
        <v>932</v>
      </c>
      <c r="D779" s="6" t="s">
        <v>1376</v>
      </c>
    </row>
    <row r="780" customFormat="false" ht="15" hidden="false" customHeight="false" outlineLevel="0" collapsed="false">
      <c r="A780" s="6" t="s">
        <v>72</v>
      </c>
      <c r="B780" s="6" t="s">
        <v>99</v>
      </c>
      <c r="C780" s="6" t="s">
        <v>932</v>
      </c>
      <c r="D780" s="6" t="s">
        <v>1377</v>
      </c>
    </row>
    <row r="781" customFormat="false" ht="35.05" hidden="false" customHeight="false" outlineLevel="0" collapsed="false">
      <c r="A781" s="6" t="s">
        <v>72</v>
      </c>
      <c r="B781" s="6" t="s">
        <v>99</v>
      </c>
      <c r="C781" s="6" t="s">
        <v>932</v>
      </c>
      <c r="D781" s="6" t="s">
        <v>1317</v>
      </c>
    </row>
    <row r="782" customFormat="false" ht="23.85" hidden="false" customHeight="false" outlineLevel="0" collapsed="false">
      <c r="A782" s="6" t="s">
        <v>72</v>
      </c>
      <c r="B782" s="6" t="s">
        <v>62</v>
      </c>
      <c r="C782" s="6" t="s">
        <v>932</v>
      </c>
      <c r="D782" s="6" t="s">
        <v>1201</v>
      </c>
    </row>
    <row r="783" customFormat="false" ht="35.05" hidden="false" customHeight="false" outlineLevel="0" collapsed="false">
      <c r="A783" s="6" t="s">
        <v>72</v>
      </c>
      <c r="B783" s="6" t="s">
        <v>62</v>
      </c>
      <c r="C783" s="6" t="s">
        <v>932</v>
      </c>
      <c r="D783" s="6" t="s">
        <v>71</v>
      </c>
    </row>
    <row r="784" customFormat="false" ht="46.25" hidden="false" customHeight="false" outlineLevel="0" collapsed="false">
      <c r="A784" s="6" t="s">
        <v>72</v>
      </c>
      <c r="B784" s="6" t="s">
        <v>62</v>
      </c>
      <c r="C784" s="6" t="s">
        <v>932</v>
      </c>
      <c r="D784" s="6" t="s">
        <v>246</v>
      </c>
    </row>
    <row r="785" customFormat="false" ht="23.85" hidden="false" customHeight="false" outlineLevel="0" collapsed="false">
      <c r="A785" s="6" t="s">
        <v>72</v>
      </c>
      <c r="B785" s="6" t="s">
        <v>62</v>
      </c>
      <c r="C785" s="6" t="s">
        <v>932</v>
      </c>
      <c r="D785" s="6" t="s">
        <v>1378</v>
      </c>
    </row>
    <row r="786" customFormat="false" ht="15" hidden="false" customHeight="false" outlineLevel="0" collapsed="false">
      <c r="A786" s="6" t="s">
        <v>72</v>
      </c>
      <c r="B786" s="6" t="s">
        <v>62</v>
      </c>
      <c r="C786" s="6" t="s">
        <v>932</v>
      </c>
      <c r="D786" s="6" t="s">
        <v>1379</v>
      </c>
    </row>
    <row r="787" customFormat="false" ht="35.05" hidden="false" customHeight="false" outlineLevel="0" collapsed="false">
      <c r="A787" s="6" t="s">
        <v>72</v>
      </c>
      <c r="B787" s="6" t="s">
        <v>62</v>
      </c>
      <c r="C787" s="6" t="s">
        <v>932</v>
      </c>
      <c r="D787" s="6" t="s">
        <v>1380</v>
      </c>
    </row>
    <row r="788" customFormat="false" ht="23.85" hidden="false" customHeight="false" outlineLevel="0" collapsed="false">
      <c r="A788" s="6" t="s">
        <v>72</v>
      </c>
      <c r="B788" s="6" t="s">
        <v>62</v>
      </c>
      <c r="C788" s="6" t="s">
        <v>932</v>
      </c>
      <c r="D788" s="6" t="s">
        <v>1381</v>
      </c>
    </row>
    <row r="789" customFormat="false" ht="35.05" hidden="false" customHeight="false" outlineLevel="0" collapsed="false">
      <c r="A789" s="6" t="s">
        <v>72</v>
      </c>
      <c r="B789" s="6" t="s">
        <v>62</v>
      </c>
      <c r="C789" s="6" t="s">
        <v>932</v>
      </c>
      <c r="D789" s="6" t="s">
        <v>63</v>
      </c>
    </row>
    <row r="790" customFormat="false" ht="15" hidden="false" customHeight="false" outlineLevel="0" collapsed="false">
      <c r="A790" s="6" t="s">
        <v>72</v>
      </c>
      <c r="B790" s="6" t="s">
        <v>62</v>
      </c>
      <c r="C790" s="6" t="s">
        <v>932</v>
      </c>
      <c r="D790" s="6" t="s">
        <v>1382</v>
      </c>
    </row>
    <row r="791" customFormat="false" ht="23.85" hidden="false" customHeight="false" outlineLevel="0" collapsed="false">
      <c r="A791" s="6" t="s">
        <v>72</v>
      </c>
      <c r="B791" s="6" t="s">
        <v>62</v>
      </c>
      <c r="C791" s="6" t="s">
        <v>932</v>
      </c>
      <c r="D791" s="6" t="s">
        <v>1383</v>
      </c>
    </row>
    <row r="792" customFormat="false" ht="35.05" hidden="false" customHeight="false" outlineLevel="0" collapsed="false">
      <c r="A792" s="6" t="s">
        <v>72</v>
      </c>
      <c r="B792" s="6" t="s">
        <v>62</v>
      </c>
      <c r="C792" s="6" t="s">
        <v>932</v>
      </c>
      <c r="D792" s="6" t="s">
        <v>1384</v>
      </c>
    </row>
    <row r="793" customFormat="false" ht="35.05" hidden="false" customHeight="false" outlineLevel="0" collapsed="false">
      <c r="A793" s="6" t="s">
        <v>72</v>
      </c>
      <c r="B793" s="6" t="s">
        <v>62</v>
      </c>
      <c r="C793" s="6" t="s">
        <v>932</v>
      </c>
      <c r="D793" s="6" t="s">
        <v>1385</v>
      </c>
    </row>
    <row r="794" customFormat="false" ht="35.05" hidden="false" customHeight="false" outlineLevel="0" collapsed="false">
      <c r="A794" s="6" t="s">
        <v>72</v>
      </c>
      <c r="B794" s="6" t="s">
        <v>62</v>
      </c>
      <c r="C794" s="6" t="s">
        <v>932</v>
      </c>
      <c r="D794" s="6" t="s">
        <v>1386</v>
      </c>
    </row>
    <row r="795" customFormat="false" ht="46.25" hidden="false" customHeight="false" outlineLevel="0" collapsed="false">
      <c r="A795" s="6" t="s">
        <v>72</v>
      </c>
      <c r="B795" s="6" t="s">
        <v>62</v>
      </c>
      <c r="C795" s="6" t="s">
        <v>932</v>
      </c>
      <c r="D795" s="6" t="s">
        <v>1387</v>
      </c>
    </row>
    <row r="796" customFormat="false" ht="23.85" hidden="false" customHeight="false" outlineLevel="0" collapsed="false">
      <c r="A796" s="6" t="s">
        <v>72</v>
      </c>
      <c r="B796" s="6" t="s">
        <v>62</v>
      </c>
      <c r="C796" s="6" t="s">
        <v>932</v>
      </c>
      <c r="D796" s="6" t="s">
        <v>1272</v>
      </c>
    </row>
    <row r="797" customFormat="false" ht="23.85" hidden="false" customHeight="false" outlineLevel="0" collapsed="false">
      <c r="A797" s="6" t="s">
        <v>72</v>
      </c>
      <c r="B797" s="6" t="s">
        <v>62</v>
      </c>
      <c r="C797" s="6" t="s">
        <v>932</v>
      </c>
      <c r="D797" s="6" t="s">
        <v>1388</v>
      </c>
    </row>
    <row r="798" customFormat="false" ht="35.05" hidden="false" customHeight="false" outlineLevel="0" collapsed="false">
      <c r="A798" s="6" t="s">
        <v>72</v>
      </c>
      <c r="B798" s="6" t="s">
        <v>62</v>
      </c>
      <c r="C798" s="6" t="s">
        <v>932</v>
      </c>
      <c r="D798" s="6" t="s">
        <v>142</v>
      </c>
    </row>
    <row r="799" customFormat="false" ht="35.05" hidden="false" customHeight="false" outlineLevel="0" collapsed="false">
      <c r="A799" s="6" t="s">
        <v>72</v>
      </c>
      <c r="B799" s="6" t="s">
        <v>62</v>
      </c>
      <c r="C799" s="6" t="s">
        <v>932</v>
      </c>
      <c r="D799" s="6" t="s">
        <v>1389</v>
      </c>
    </row>
    <row r="800" customFormat="false" ht="23.85" hidden="false" customHeight="false" outlineLevel="0" collapsed="false">
      <c r="A800" s="6" t="s">
        <v>72</v>
      </c>
      <c r="B800" s="6" t="s">
        <v>62</v>
      </c>
      <c r="C800" s="6" t="s">
        <v>932</v>
      </c>
      <c r="D800" s="6" t="s">
        <v>156</v>
      </c>
    </row>
    <row r="801" customFormat="false" ht="23.85" hidden="false" customHeight="false" outlineLevel="0" collapsed="false">
      <c r="A801" s="6" t="s">
        <v>72</v>
      </c>
      <c r="B801" s="6" t="s">
        <v>62</v>
      </c>
      <c r="C801" s="6" t="s">
        <v>932</v>
      </c>
      <c r="D801" s="6" t="s">
        <v>1390</v>
      </c>
    </row>
    <row r="802" customFormat="false" ht="23.85" hidden="false" customHeight="false" outlineLevel="0" collapsed="false">
      <c r="A802" s="6" t="s">
        <v>72</v>
      </c>
      <c r="B802" s="6" t="s">
        <v>62</v>
      </c>
      <c r="C802" s="6" t="s">
        <v>932</v>
      </c>
      <c r="D802" s="6" t="s">
        <v>164</v>
      </c>
    </row>
    <row r="803" customFormat="false" ht="35.05" hidden="false" customHeight="false" outlineLevel="0" collapsed="false">
      <c r="A803" s="6" t="s">
        <v>72</v>
      </c>
      <c r="B803" s="6" t="s">
        <v>62</v>
      </c>
      <c r="C803" s="6" t="s">
        <v>932</v>
      </c>
      <c r="D803" s="6" t="s">
        <v>1391</v>
      </c>
    </row>
    <row r="804" customFormat="false" ht="15" hidden="false" customHeight="false" outlineLevel="0" collapsed="false">
      <c r="A804" s="6" t="s">
        <v>72</v>
      </c>
      <c r="B804" s="6" t="s">
        <v>62</v>
      </c>
      <c r="C804" s="6" t="s">
        <v>932</v>
      </c>
      <c r="D804" s="6" t="s">
        <v>1392</v>
      </c>
    </row>
    <row r="805" customFormat="false" ht="35.05" hidden="false" customHeight="false" outlineLevel="0" collapsed="false">
      <c r="A805" s="6" t="s">
        <v>72</v>
      </c>
      <c r="B805" s="6" t="s">
        <v>75</v>
      </c>
      <c r="C805" s="6" t="s">
        <v>932</v>
      </c>
      <c r="D805" s="6" t="s">
        <v>76</v>
      </c>
    </row>
    <row r="806" customFormat="false" ht="15" hidden="false" customHeight="false" outlineLevel="0" collapsed="false">
      <c r="A806" s="6" t="s">
        <v>556</v>
      </c>
      <c r="B806" s="6" t="s">
        <v>86</v>
      </c>
      <c r="C806" s="6" t="s">
        <v>932</v>
      </c>
      <c r="D806" s="6" t="s">
        <v>1393</v>
      </c>
    </row>
    <row r="807" customFormat="false" ht="15" hidden="false" customHeight="false" outlineLevel="0" collapsed="false">
      <c r="A807" s="6" t="s">
        <v>556</v>
      </c>
      <c r="B807" s="6" t="s">
        <v>109</v>
      </c>
      <c r="C807" s="6" t="s">
        <v>932</v>
      </c>
      <c r="D807" s="6" t="s">
        <v>1169</v>
      </c>
    </row>
    <row r="808" customFormat="false" ht="23.85" hidden="false" customHeight="false" outlineLevel="0" collapsed="false">
      <c r="A808" s="6" t="s">
        <v>556</v>
      </c>
      <c r="B808" s="6" t="s">
        <v>146</v>
      </c>
      <c r="C808" s="6" t="s">
        <v>932</v>
      </c>
      <c r="D808" s="6" t="s">
        <v>255</v>
      </c>
    </row>
    <row r="809" customFormat="false" ht="23.85" hidden="false" customHeight="false" outlineLevel="0" collapsed="false">
      <c r="A809" s="6" t="s">
        <v>556</v>
      </c>
      <c r="B809" s="6" t="s">
        <v>146</v>
      </c>
      <c r="C809" s="6" t="s">
        <v>932</v>
      </c>
      <c r="D809" s="6" t="s">
        <v>559</v>
      </c>
    </row>
    <row r="810" customFormat="false" ht="15" hidden="false" customHeight="false" outlineLevel="0" collapsed="false">
      <c r="A810" s="6" t="s">
        <v>556</v>
      </c>
      <c r="B810" s="6" t="s">
        <v>169</v>
      </c>
      <c r="C810" s="6" t="s">
        <v>932</v>
      </c>
      <c r="D810" s="6" t="s">
        <v>1100</v>
      </c>
    </row>
    <row r="811" customFormat="false" ht="23.85" hidden="false" customHeight="false" outlineLevel="0" collapsed="false">
      <c r="A811" s="6" t="s">
        <v>556</v>
      </c>
      <c r="B811" s="6" t="s">
        <v>62</v>
      </c>
      <c r="C811" s="6" t="s">
        <v>932</v>
      </c>
      <c r="D811" s="6" t="s">
        <v>1172</v>
      </c>
    </row>
    <row r="812" customFormat="false" ht="46.25" hidden="false" customHeight="false" outlineLevel="0" collapsed="false">
      <c r="A812" s="6" t="s">
        <v>556</v>
      </c>
      <c r="B812" s="6" t="s">
        <v>60</v>
      </c>
      <c r="C812" s="6" t="s">
        <v>1394</v>
      </c>
      <c r="D812" s="6" t="s">
        <v>1395</v>
      </c>
    </row>
    <row r="813" customFormat="false" ht="35.05" hidden="false" customHeight="false" outlineLevel="0" collapsed="false">
      <c r="A813" s="6" t="s">
        <v>106</v>
      </c>
      <c r="B813" s="6" t="s">
        <v>109</v>
      </c>
      <c r="C813" s="6" t="s">
        <v>932</v>
      </c>
      <c r="D813" s="6" t="s">
        <v>1012</v>
      </c>
    </row>
    <row r="814" customFormat="false" ht="46.25" hidden="false" customHeight="false" outlineLevel="0" collapsed="false">
      <c r="A814" s="6" t="s">
        <v>106</v>
      </c>
      <c r="B814" s="6" t="s">
        <v>95</v>
      </c>
      <c r="C814" s="6" t="s">
        <v>932</v>
      </c>
      <c r="D814" s="6" t="s">
        <v>110</v>
      </c>
    </row>
    <row r="815" customFormat="false" ht="23.85" hidden="false" customHeight="false" outlineLevel="0" collapsed="false">
      <c r="A815" s="6" t="s">
        <v>77</v>
      </c>
      <c r="B815" s="6" t="s">
        <v>61</v>
      </c>
      <c r="C815" s="6" t="s">
        <v>932</v>
      </c>
      <c r="D815" s="6" t="s">
        <v>946</v>
      </c>
    </row>
    <row r="816" customFormat="false" ht="35.05" hidden="false" customHeight="false" outlineLevel="0" collapsed="false">
      <c r="A816" s="6" t="s">
        <v>77</v>
      </c>
      <c r="B816" s="6" t="s">
        <v>61</v>
      </c>
      <c r="C816" s="6" t="s">
        <v>932</v>
      </c>
      <c r="D816" s="6" t="s">
        <v>1185</v>
      </c>
    </row>
    <row r="817" customFormat="false" ht="23.85" hidden="false" customHeight="false" outlineLevel="0" collapsed="false">
      <c r="A817" s="6" t="s">
        <v>77</v>
      </c>
      <c r="B817" s="6" t="s">
        <v>61</v>
      </c>
      <c r="C817" s="6" t="s">
        <v>932</v>
      </c>
      <c r="D817" s="6" t="s">
        <v>1396</v>
      </c>
    </row>
    <row r="818" customFormat="false" ht="35.05" hidden="false" customHeight="false" outlineLevel="0" collapsed="false">
      <c r="A818" s="6" t="s">
        <v>77</v>
      </c>
      <c r="B818" s="6" t="s">
        <v>61</v>
      </c>
      <c r="C818" s="6" t="s">
        <v>932</v>
      </c>
      <c r="D818" s="6" t="s">
        <v>1186</v>
      </c>
    </row>
    <row r="819" customFormat="false" ht="23.85" hidden="false" customHeight="false" outlineLevel="0" collapsed="false">
      <c r="A819" s="6" t="s">
        <v>77</v>
      </c>
      <c r="B819" s="6" t="s">
        <v>61</v>
      </c>
      <c r="C819" s="6" t="s">
        <v>932</v>
      </c>
      <c r="D819" s="6" t="s">
        <v>1187</v>
      </c>
    </row>
    <row r="820" customFormat="false" ht="46.25" hidden="false" customHeight="false" outlineLevel="0" collapsed="false">
      <c r="A820" s="6" t="s">
        <v>77</v>
      </c>
      <c r="B820" s="6" t="s">
        <v>61</v>
      </c>
      <c r="C820" s="6" t="s">
        <v>932</v>
      </c>
      <c r="D820" s="6" t="s">
        <v>1188</v>
      </c>
    </row>
    <row r="821" customFormat="false" ht="23.85" hidden="false" customHeight="false" outlineLevel="0" collapsed="false">
      <c r="A821" s="6" t="s">
        <v>77</v>
      </c>
      <c r="B821" s="6" t="s">
        <v>61</v>
      </c>
      <c r="C821" s="6" t="s">
        <v>932</v>
      </c>
      <c r="D821" s="6" t="s">
        <v>1397</v>
      </c>
    </row>
    <row r="822" customFormat="false" ht="23.85" hidden="false" customHeight="false" outlineLevel="0" collapsed="false">
      <c r="A822" s="6" t="s">
        <v>77</v>
      </c>
      <c r="B822" s="6" t="s">
        <v>86</v>
      </c>
      <c r="C822" s="6" t="s">
        <v>932</v>
      </c>
      <c r="D822" s="6" t="s">
        <v>1189</v>
      </c>
    </row>
    <row r="823" customFormat="false" ht="15" hidden="false" customHeight="false" outlineLevel="0" collapsed="false">
      <c r="A823" s="6" t="s">
        <v>77</v>
      </c>
      <c r="B823" s="6" t="s">
        <v>86</v>
      </c>
      <c r="C823" s="6" t="s">
        <v>932</v>
      </c>
      <c r="D823" s="6" t="s">
        <v>1398</v>
      </c>
    </row>
    <row r="824" customFormat="false" ht="35.05" hidden="false" customHeight="false" outlineLevel="0" collapsed="false">
      <c r="A824" s="6" t="s">
        <v>77</v>
      </c>
      <c r="B824" s="6" t="s">
        <v>86</v>
      </c>
      <c r="C824" s="6" t="s">
        <v>932</v>
      </c>
      <c r="D824" s="6" t="s">
        <v>994</v>
      </c>
    </row>
    <row r="825" customFormat="false" ht="15" hidden="false" customHeight="false" outlineLevel="0" collapsed="false">
      <c r="A825" s="6" t="s">
        <v>77</v>
      </c>
      <c r="B825" s="6" t="s">
        <v>86</v>
      </c>
      <c r="C825" s="6" t="s">
        <v>932</v>
      </c>
      <c r="D825" s="6" t="s">
        <v>951</v>
      </c>
    </row>
    <row r="826" customFormat="false" ht="35.05" hidden="false" customHeight="false" outlineLevel="0" collapsed="false">
      <c r="A826" s="6" t="s">
        <v>77</v>
      </c>
      <c r="B826" s="6" t="s">
        <v>109</v>
      </c>
      <c r="C826" s="6" t="s">
        <v>932</v>
      </c>
      <c r="D826" s="6" t="s">
        <v>1012</v>
      </c>
    </row>
    <row r="827" customFormat="false" ht="46.25" hidden="false" customHeight="false" outlineLevel="0" collapsed="false">
      <c r="A827" s="6" t="s">
        <v>77</v>
      </c>
      <c r="B827" s="6" t="s">
        <v>95</v>
      </c>
      <c r="C827" s="6" t="s">
        <v>932</v>
      </c>
      <c r="D827" s="6" t="s">
        <v>1016</v>
      </c>
    </row>
    <row r="828" customFormat="false" ht="35.05" hidden="false" customHeight="false" outlineLevel="0" collapsed="false">
      <c r="A828" s="6" t="s">
        <v>77</v>
      </c>
      <c r="B828" s="6" t="s">
        <v>186</v>
      </c>
      <c r="C828" s="6" t="s">
        <v>932</v>
      </c>
      <c r="D828" s="6" t="s">
        <v>952</v>
      </c>
    </row>
    <row r="829" customFormat="false" ht="35.05" hidden="false" customHeight="false" outlineLevel="0" collapsed="false">
      <c r="A829" s="6" t="s">
        <v>77</v>
      </c>
      <c r="B829" s="6" t="s">
        <v>229</v>
      </c>
      <c r="C829" s="6" t="s">
        <v>932</v>
      </c>
      <c r="D829" s="6" t="s">
        <v>1399</v>
      </c>
    </row>
    <row r="830" customFormat="false" ht="23.85" hidden="false" customHeight="false" outlineLevel="0" collapsed="false">
      <c r="A830" s="6" t="s">
        <v>77</v>
      </c>
      <c r="B830" s="6" t="s">
        <v>330</v>
      </c>
      <c r="C830" s="6" t="s">
        <v>932</v>
      </c>
      <c r="D830" s="6" t="s">
        <v>1350</v>
      </c>
    </row>
    <row r="831" customFormat="false" ht="35.05" hidden="false" customHeight="false" outlineLevel="0" collapsed="false">
      <c r="A831" s="6" t="s">
        <v>77</v>
      </c>
      <c r="B831" s="6" t="s">
        <v>168</v>
      </c>
      <c r="C831" s="6" t="s">
        <v>932</v>
      </c>
      <c r="D831" s="6" t="s">
        <v>1400</v>
      </c>
    </row>
    <row r="832" customFormat="false" ht="23.85" hidden="false" customHeight="false" outlineLevel="0" collapsed="false">
      <c r="A832" s="6" t="s">
        <v>77</v>
      </c>
      <c r="B832" s="6" t="s">
        <v>168</v>
      </c>
      <c r="C832" s="6" t="s">
        <v>932</v>
      </c>
      <c r="D832" s="6" t="s">
        <v>1307</v>
      </c>
    </row>
    <row r="833" customFormat="false" ht="23.85" hidden="false" customHeight="false" outlineLevel="0" collapsed="false">
      <c r="A833" s="6" t="s">
        <v>77</v>
      </c>
      <c r="B833" s="6" t="s">
        <v>168</v>
      </c>
      <c r="C833" s="6" t="s">
        <v>932</v>
      </c>
      <c r="D833" s="6" t="s">
        <v>1309</v>
      </c>
    </row>
    <row r="834" customFormat="false" ht="35.05" hidden="false" customHeight="false" outlineLevel="0" collapsed="false">
      <c r="A834" s="6" t="s">
        <v>77</v>
      </c>
      <c r="B834" s="6" t="s">
        <v>168</v>
      </c>
      <c r="C834" s="6" t="s">
        <v>932</v>
      </c>
      <c r="D834" s="6" t="s">
        <v>1310</v>
      </c>
    </row>
    <row r="835" customFormat="false" ht="23.85" hidden="false" customHeight="false" outlineLevel="0" collapsed="false">
      <c r="A835" s="6" t="s">
        <v>77</v>
      </c>
      <c r="B835" s="6" t="s">
        <v>168</v>
      </c>
      <c r="C835" s="6" t="s">
        <v>932</v>
      </c>
      <c r="D835" s="6" t="s">
        <v>1401</v>
      </c>
    </row>
    <row r="836" customFormat="false" ht="23.85" hidden="false" customHeight="false" outlineLevel="0" collapsed="false">
      <c r="A836" s="6" t="s">
        <v>77</v>
      </c>
      <c r="B836" s="6" t="s">
        <v>168</v>
      </c>
      <c r="C836" s="6" t="s">
        <v>932</v>
      </c>
      <c r="D836" s="6" t="s">
        <v>1402</v>
      </c>
    </row>
    <row r="837" customFormat="false" ht="23.85" hidden="false" customHeight="false" outlineLevel="0" collapsed="false">
      <c r="A837" s="6" t="s">
        <v>77</v>
      </c>
      <c r="B837" s="6" t="s">
        <v>190</v>
      </c>
      <c r="C837" s="6" t="s">
        <v>932</v>
      </c>
      <c r="D837" s="6" t="s">
        <v>1403</v>
      </c>
    </row>
    <row r="838" customFormat="false" ht="15" hidden="false" customHeight="false" outlineLevel="0" collapsed="false">
      <c r="A838" s="6" t="s">
        <v>77</v>
      </c>
      <c r="B838" s="6" t="s">
        <v>190</v>
      </c>
      <c r="C838" s="6" t="s">
        <v>932</v>
      </c>
      <c r="D838" s="6" t="s">
        <v>1404</v>
      </c>
    </row>
    <row r="839" customFormat="false" ht="15" hidden="false" customHeight="false" outlineLevel="0" collapsed="false">
      <c r="A839" s="6" t="s">
        <v>77</v>
      </c>
      <c r="B839" s="6" t="s">
        <v>190</v>
      </c>
      <c r="C839" s="6" t="s">
        <v>932</v>
      </c>
      <c r="D839" s="6" t="s">
        <v>1356</v>
      </c>
    </row>
    <row r="840" customFormat="false" ht="23.85" hidden="false" customHeight="false" outlineLevel="0" collapsed="false">
      <c r="A840" s="6" t="s">
        <v>77</v>
      </c>
      <c r="B840" s="6" t="s">
        <v>190</v>
      </c>
      <c r="C840" s="6" t="s">
        <v>932</v>
      </c>
      <c r="D840" s="6" t="s">
        <v>1078</v>
      </c>
    </row>
    <row r="841" customFormat="false" ht="35.05" hidden="false" customHeight="false" outlineLevel="0" collapsed="false">
      <c r="A841" s="6" t="s">
        <v>77</v>
      </c>
      <c r="B841" s="6" t="s">
        <v>190</v>
      </c>
      <c r="C841" s="6" t="s">
        <v>932</v>
      </c>
      <c r="D841" s="6" t="s">
        <v>1405</v>
      </c>
    </row>
    <row r="842" customFormat="false" ht="23.85" hidden="false" customHeight="false" outlineLevel="0" collapsed="false">
      <c r="A842" s="6" t="s">
        <v>77</v>
      </c>
      <c r="B842" s="6" t="s">
        <v>190</v>
      </c>
      <c r="C842" s="6" t="s">
        <v>932</v>
      </c>
      <c r="D842" s="6" t="s">
        <v>1116</v>
      </c>
    </row>
    <row r="843" customFormat="false" ht="23.85" hidden="false" customHeight="false" outlineLevel="0" collapsed="false">
      <c r="A843" s="6" t="s">
        <v>77</v>
      </c>
      <c r="B843" s="6" t="s">
        <v>146</v>
      </c>
      <c r="C843" s="6" t="s">
        <v>932</v>
      </c>
      <c r="D843" s="6" t="s">
        <v>1406</v>
      </c>
    </row>
    <row r="844" customFormat="false" ht="23.85" hidden="false" customHeight="false" outlineLevel="0" collapsed="false">
      <c r="A844" s="6" t="s">
        <v>77</v>
      </c>
      <c r="B844" s="6" t="s">
        <v>146</v>
      </c>
      <c r="C844" s="6" t="s">
        <v>932</v>
      </c>
      <c r="D844" s="6" t="s">
        <v>1407</v>
      </c>
    </row>
    <row r="845" customFormat="false" ht="35.05" hidden="false" customHeight="false" outlineLevel="0" collapsed="false">
      <c r="A845" s="6" t="s">
        <v>77</v>
      </c>
      <c r="B845" s="6" t="s">
        <v>146</v>
      </c>
      <c r="C845" s="6" t="s">
        <v>932</v>
      </c>
      <c r="D845" s="6" t="s">
        <v>1357</v>
      </c>
    </row>
    <row r="846" customFormat="false" ht="23.85" hidden="false" customHeight="false" outlineLevel="0" collapsed="false">
      <c r="A846" s="6" t="s">
        <v>77</v>
      </c>
      <c r="B846" s="6" t="s">
        <v>146</v>
      </c>
      <c r="C846" s="6" t="s">
        <v>932</v>
      </c>
      <c r="D846" s="6" t="s">
        <v>1358</v>
      </c>
    </row>
    <row r="847" customFormat="false" ht="15" hidden="false" customHeight="false" outlineLevel="0" collapsed="false">
      <c r="A847" s="6" t="s">
        <v>77</v>
      </c>
      <c r="B847" s="6" t="s">
        <v>146</v>
      </c>
      <c r="C847" s="6" t="s">
        <v>1362</v>
      </c>
      <c r="D847" s="6" t="s">
        <v>1363</v>
      </c>
    </row>
    <row r="848" customFormat="false" ht="15" hidden="false" customHeight="false" outlineLevel="0" collapsed="false">
      <c r="A848" s="6" t="s">
        <v>77</v>
      </c>
      <c r="B848" s="6" t="s">
        <v>99</v>
      </c>
      <c r="C848" s="6" t="s">
        <v>932</v>
      </c>
      <c r="D848" s="6" t="s">
        <v>1021</v>
      </c>
    </row>
    <row r="849" customFormat="false" ht="15" hidden="false" customHeight="false" outlineLevel="0" collapsed="false">
      <c r="A849" s="6" t="s">
        <v>77</v>
      </c>
      <c r="B849" s="6" t="s">
        <v>99</v>
      </c>
      <c r="C849" s="6" t="s">
        <v>932</v>
      </c>
      <c r="D849" s="6" t="s">
        <v>1408</v>
      </c>
    </row>
    <row r="850" customFormat="false" ht="35.05" hidden="false" customHeight="false" outlineLevel="0" collapsed="false">
      <c r="A850" s="6" t="s">
        <v>77</v>
      </c>
      <c r="B850" s="6" t="s">
        <v>99</v>
      </c>
      <c r="C850" s="6" t="s">
        <v>932</v>
      </c>
      <c r="D850" s="6" t="s">
        <v>225</v>
      </c>
    </row>
    <row r="851" customFormat="false" ht="15" hidden="false" customHeight="false" outlineLevel="0" collapsed="false">
      <c r="A851" s="6" t="s">
        <v>77</v>
      </c>
      <c r="B851" s="6" t="s">
        <v>99</v>
      </c>
      <c r="C851" s="6" t="s">
        <v>932</v>
      </c>
      <c r="D851" s="6" t="s">
        <v>1409</v>
      </c>
    </row>
    <row r="852" customFormat="false" ht="15" hidden="false" customHeight="false" outlineLevel="0" collapsed="false">
      <c r="A852" s="6" t="s">
        <v>77</v>
      </c>
      <c r="B852" s="6" t="s">
        <v>99</v>
      </c>
      <c r="C852" s="6" t="s">
        <v>932</v>
      </c>
      <c r="D852" s="6" t="s">
        <v>1410</v>
      </c>
    </row>
    <row r="853" customFormat="false" ht="46.25" hidden="false" customHeight="false" outlineLevel="0" collapsed="false">
      <c r="A853" s="6" t="s">
        <v>77</v>
      </c>
      <c r="B853" s="6" t="s">
        <v>99</v>
      </c>
      <c r="C853" s="6" t="s">
        <v>932</v>
      </c>
      <c r="D853" s="6" t="s">
        <v>1024</v>
      </c>
    </row>
    <row r="854" customFormat="false" ht="15" hidden="false" customHeight="false" outlineLevel="0" collapsed="false">
      <c r="A854" s="6" t="s">
        <v>77</v>
      </c>
      <c r="B854" s="6" t="s">
        <v>62</v>
      </c>
      <c r="C854" s="6" t="s">
        <v>932</v>
      </c>
      <c r="D854" s="6" t="s">
        <v>1411</v>
      </c>
    </row>
    <row r="855" customFormat="false" ht="23.85" hidden="false" customHeight="false" outlineLevel="0" collapsed="false">
      <c r="A855" s="6" t="s">
        <v>77</v>
      </c>
      <c r="B855" s="6" t="s">
        <v>62</v>
      </c>
      <c r="C855" s="6" t="s">
        <v>932</v>
      </c>
      <c r="D855" s="6" t="s">
        <v>1201</v>
      </c>
    </row>
    <row r="856" customFormat="false" ht="35.05" hidden="false" customHeight="false" outlineLevel="0" collapsed="false">
      <c r="A856" s="6" t="s">
        <v>77</v>
      </c>
      <c r="B856" s="6" t="s">
        <v>62</v>
      </c>
      <c r="C856" s="6" t="s">
        <v>932</v>
      </c>
      <c r="D856" s="6" t="s">
        <v>71</v>
      </c>
    </row>
    <row r="857" customFormat="false" ht="23.85" hidden="false" customHeight="false" outlineLevel="0" collapsed="false">
      <c r="A857" s="6" t="s">
        <v>77</v>
      </c>
      <c r="B857" s="6" t="s">
        <v>80</v>
      </c>
      <c r="C857" s="6" t="s">
        <v>932</v>
      </c>
      <c r="D857" s="6" t="s">
        <v>81</v>
      </c>
    </row>
    <row r="858" customFormat="false" ht="23.85" hidden="false" customHeight="false" outlineLevel="0" collapsed="false">
      <c r="A858" s="6" t="s">
        <v>152</v>
      </c>
      <c r="B858" s="6" t="s">
        <v>61</v>
      </c>
      <c r="C858" s="6" t="s">
        <v>932</v>
      </c>
      <c r="D858" s="6" t="s">
        <v>1412</v>
      </c>
    </row>
    <row r="859" customFormat="false" ht="35.05" hidden="false" customHeight="false" outlineLevel="0" collapsed="false">
      <c r="A859" s="6" t="s">
        <v>152</v>
      </c>
      <c r="B859" s="6" t="s">
        <v>61</v>
      </c>
      <c r="C859" s="6" t="s">
        <v>932</v>
      </c>
      <c r="D859" s="6" t="s">
        <v>1186</v>
      </c>
    </row>
    <row r="860" customFormat="false" ht="23.85" hidden="false" customHeight="false" outlineLevel="0" collapsed="false">
      <c r="A860" s="6" t="s">
        <v>152</v>
      </c>
      <c r="B860" s="6" t="s">
        <v>86</v>
      </c>
      <c r="C860" s="6" t="s">
        <v>932</v>
      </c>
      <c r="D860" s="6" t="s">
        <v>995</v>
      </c>
    </row>
    <row r="861" customFormat="false" ht="23.85" hidden="false" customHeight="false" outlineLevel="0" collapsed="false">
      <c r="A861" s="6" t="s">
        <v>152</v>
      </c>
      <c r="B861" s="6" t="s">
        <v>86</v>
      </c>
      <c r="C861" s="6" t="s">
        <v>932</v>
      </c>
      <c r="D861" s="6" t="s">
        <v>996</v>
      </c>
    </row>
    <row r="862" customFormat="false" ht="57.45" hidden="false" customHeight="false" outlineLevel="0" collapsed="false">
      <c r="A862" s="6" t="s">
        <v>152</v>
      </c>
      <c r="B862" s="6" t="s">
        <v>86</v>
      </c>
      <c r="C862" s="6" t="s">
        <v>932</v>
      </c>
      <c r="D862" s="6" t="s">
        <v>1413</v>
      </c>
    </row>
    <row r="863" customFormat="false" ht="23.85" hidden="false" customHeight="false" outlineLevel="0" collapsed="false">
      <c r="A863" s="6" t="s">
        <v>152</v>
      </c>
      <c r="B863" s="6" t="s">
        <v>86</v>
      </c>
      <c r="C863" s="6" t="s">
        <v>932</v>
      </c>
      <c r="D863" s="6" t="s">
        <v>1414</v>
      </c>
    </row>
    <row r="864" customFormat="false" ht="57.45" hidden="false" customHeight="false" outlineLevel="0" collapsed="false">
      <c r="A864" s="6" t="s">
        <v>152</v>
      </c>
      <c r="B864" s="6" t="s">
        <v>86</v>
      </c>
      <c r="C864" s="6" t="s">
        <v>932</v>
      </c>
      <c r="D864" s="6" t="s">
        <v>1415</v>
      </c>
    </row>
    <row r="865" customFormat="false" ht="23.85" hidden="false" customHeight="false" outlineLevel="0" collapsed="false">
      <c r="A865" s="6" t="s">
        <v>152</v>
      </c>
      <c r="B865" s="6" t="s">
        <v>86</v>
      </c>
      <c r="C865" s="6" t="s">
        <v>932</v>
      </c>
      <c r="D865" s="6" t="s">
        <v>1416</v>
      </c>
    </row>
    <row r="866" customFormat="false" ht="35.05" hidden="false" customHeight="false" outlineLevel="0" collapsed="false">
      <c r="A866" s="6" t="s">
        <v>152</v>
      </c>
      <c r="B866" s="6" t="s">
        <v>86</v>
      </c>
      <c r="C866" s="6" t="s">
        <v>932</v>
      </c>
      <c r="D866" s="6" t="s">
        <v>1417</v>
      </c>
    </row>
    <row r="867" customFormat="false" ht="15" hidden="false" customHeight="false" outlineLevel="0" collapsed="false">
      <c r="A867" s="6" t="s">
        <v>152</v>
      </c>
      <c r="B867" s="6" t="s">
        <v>86</v>
      </c>
      <c r="C867" s="6" t="s">
        <v>932</v>
      </c>
      <c r="D867" s="6" t="s">
        <v>1418</v>
      </c>
    </row>
    <row r="868" customFormat="false" ht="15" hidden="false" customHeight="false" outlineLevel="0" collapsed="false">
      <c r="A868" s="6" t="s">
        <v>152</v>
      </c>
      <c r="B868" s="6" t="s">
        <v>86</v>
      </c>
      <c r="C868" s="6" t="s">
        <v>932</v>
      </c>
      <c r="D868" s="6" t="s">
        <v>1419</v>
      </c>
    </row>
    <row r="869" customFormat="false" ht="23.85" hidden="false" customHeight="false" outlineLevel="0" collapsed="false">
      <c r="A869" s="6" t="s">
        <v>152</v>
      </c>
      <c r="B869" s="6" t="s">
        <v>86</v>
      </c>
      <c r="C869" s="6" t="s">
        <v>932</v>
      </c>
      <c r="D869" s="6" t="s">
        <v>1251</v>
      </c>
    </row>
    <row r="870" customFormat="false" ht="35.05" hidden="false" customHeight="false" outlineLevel="0" collapsed="false">
      <c r="A870" s="6" t="s">
        <v>152</v>
      </c>
      <c r="B870" s="6" t="s">
        <v>86</v>
      </c>
      <c r="C870" s="6" t="s">
        <v>932</v>
      </c>
      <c r="D870" s="6" t="s">
        <v>1420</v>
      </c>
    </row>
    <row r="871" customFormat="false" ht="23.85" hidden="false" customHeight="false" outlineLevel="0" collapsed="false">
      <c r="A871" s="6" t="s">
        <v>152</v>
      </c>
      <c r="B871" s="6" t="s">
        <v>86</v>
      </c>
      <c r="C871" s="6" t="s">
        <v>932</v>
      </c>
      <c r="D871" s="6" t="s">
        <v>1421</v>
      </c>
    </row>
    <row r="872" customFormat="false" ht="23.85" hidden="false" customHeight="false" outlineLevel="0" collapsed="false">
      <c r="A872" s="6" t="s">
        <v>152</v>
      </c>
      <c r="B872" s="6" t="s">
        <v>86</v>
      </c>
      <c r="C872" s="6" t="s">
        <v>932</v>
      </c>
      <c r="D872" s="6" t="s">
        <v>1422</v>
      </c>
    </row>
    <row r="873" customFormat="false" ht="23.85" hidden="false" customHeight="false" outlineLevel="0" collapsed="false">
      <c r="A873" s="6" t="s">
        <v>152</v>
      </c>
      <c r="B873" s="6" t="s">
        <v>86</v>
      </c>
      <c r="C873" s="6" t="s">
        <v>932</v>
      </c>
      <c r="D873" s="6" t="s">
        <v>1423</v>
      </c>
    </row>
    <row r="874" customFormat="false" ht="15" hidden="false" customHeight="false" outlineLevel="0" collapsed="false">
      <c r="A874" s="6" t="s">
        <v>152</v>
      </c>
      <c r="B874" s="6" t="s">
        <v>86</v>
      </c>
      <c r="C874" s="6" t="s">
        <v>932</v>
      </c>
      <c r="D874" s="6" t="s">
        <v>1252</v>
      </c>
    </row>
    <row r="875" customFormat="false" ht="23.85" hidden="false" customHeight="false" outlineLevel="0" collapsed="false">
      <c r="A875" s="6" t="s">
        <v>152</v>
      </c>
      <c r="B875" s="6" t="s">
        <v>86</v>
      </c>
      <c r="C875" s="6" t="s">
        <v>932</v>
      </c>
      <c r="D875" s="6" t="s">
        <v>1321</v>
      </c>
    </row>
    <row r="876" customFormat="false" ht="46.25" hidden="false" customHeight="false" outlineLevel="0" collapsed="false">
      <c r="A876" s="6" t="s">
        <v>152</v>
      </c>
      <c r="B876" s="6" t="s">
        <v>86</v>
      </c>
      <c r="C876" s="6" t="s">
        <v>932</v>
      </c>
      <c r="D876" s="6" t="s">
        <v>1254</v>
      </c>
    </row>
    <row r="877" customFormat="false" ht="23.85" hidden="false" customHeight="false" outlineLevel="0" collapsed="false">
      <c r="A877" s="6" t="s">
        <v>152</v>
      </c>
      <c r="B877" s="6" t="s">
        <v>86</v>
      </c>
      <c r="C877" s="6" t="s">
        <v>932</v>
      </c>
      <c r="D877" s="6" t="s">
        <v>1424</v>
      </c>
    </row>
    <row r="878" customFormat="false" ht="15" hidden="false" customHeight="false" outlineLevel="0" collapsed="false">
      <c r="A878" s="6" t="s">
        <v>152</v>
      </c>
      <c r="B878" s="6" t="s">
        <v>86</v>
      </c>
      <c r="C878" s="6" t="s">
        <v>932</v>
      </c>
      <c r="D878" s="6" t="s">
        <v>1255</v>
      </c>
    </row>
    <row r="879" customFormat="false" ht="35.05" hidden="false" customHeight="false" outlineLevel="0" collapsed="false">
      <c r="A879" s="6" t="s">
        <v>152</v>
      </c>
      <c r="B879" s="6" t="s">
        <v>86</v>
      </c>
      <c r="C879" s="6" t="s">
        <v>932</v>
      </c>
      <c r="D879" s="6" t="s">
        <v>1052</v>
      </c>
    </row>
    <row r="880" customFormat="false" ht="46.25" hidden="false" customHeight="false" outlineLevel="0" collapsed="false">
      <c r="A880" s="6" t="s">
        <v>152</v>
      </c>
      <c r="B880" s="6" t="s">
        <v>86</v>
      </c>
      <c r="C880" s="6" t="s">
        <v>932</v>
      </c>
      <c r="D880" s="6" t="s">
        <v>1053</v>
      </c>
    </row>
    <row r="881" customFormat="false" ht="46.25" hidden="false" customHeight="false" outlineLevel="0" collapsed="false">
      <c r="A881" s="6" t="s">
        <v>152</v>
      </c>
      <c r="B881" s="6" t="s">
        <v>86</v>
      </c>
      <c r="C881" s="6" t="s">
        <v>932</v>
      </c>
      <c r="D881" s="6" t="s">
        <v>1055</v>
      </c>
    </row>
    <row r="882" customFormat="false" ht="15" hidden="false" customHeight="false" outlineLevel="0" collapsed="false">
      <c r="A882" s="6" t="s">
        <v>152</v>
      </c>
      <c r="B882" s="6" t="s">
        <v>86</v>
      </c>
      <c r="C882" s="6" t="s">
        <v>932</v>
      </c>
      <c r="D882" s="6" t="s">
        <v>1056</v>
      </c>
    </row>
    <row r="883" customFormat="false" ht="35.05" hidden="false" customHeight="false" outlineLevel="0" collapsed="false">
      <c r="A883" s="6" t="s">
        <v>152</v>
      </c>
      <c r="B883" s="6" t="s">
        <v>86</v>
      </c>
      <c r="C883" s="6" t="s">
        <v>932</v>
      </c>
      <c r="D883" s="6" t="s">
        <v>1425</v>
      </c>
    </row>
    <row r="884" customFormat="false" ht="15" hidden="false" customHeight="false" outlineLevel="0" collapsed="false">
      <c r="A884" s="6" t="s">
        <v>152</v>
      </c>
      <c r="B884" s="6" t="s">
        <v>86</v>
      </c>
      <c r="C884" s="6" t="s">
        <v>932</v>
      </c>
      <c r="D884" s="6" t="s">
        <v>1256</v>
      </c>
    </row>
    <row r="885" customFormat="false" ht="35.05" hidden="false" customHeight="false" outlineLevel="0" collapsed="false">
      <c r="A885" s="6" t="s">
        <v>152</v>
      </c>
      <c r="B885" s="6" t="s">
        <v>86</v>
      </c>
      <c r="C885" s="6" t="s">
        <v>932</v>
      </c>
      <c r="D885" s="6" t="s">
        <v>1426</v>
      </c>
    </row>
    <row r="886" customFormat="false" ht="35.05" hidden="false" customHeight="false" outlineLevel="0" collapsed="false">
      <c r="A886" s="6" t="s">
        <v>152</v>
      </c>
      <c r="B886" s="6" t="s">
        <v>86</v>
      </c>
      <c r="C886" s="6" t="s">
        <v>932</v>
      </c>
      <c r="D886" s="6" t="s">
        <v>1427</v>
      </c>
    </row>
    <row r="887" customFormat="false" ht="15" hidden="false" customHeight="false" outlineLevel="0" collapsed="false">
      <c r="A887" s="6" t="s">
        <v>152</v>
      </c>
      <c r="B887" s="6" t="s">
        <v>109</v>
      </c>
      <c r="C887" s="6" t="s">
        <v>932</v>
      </c>
      <c r="D887" s="6" t="s">
        <v>1428</v>
      </c>
    </row>
    <row r="888" customFormat="false" ht="23.85" hidden="false" customHeight="false" outlineLevel="0" collapsed="false">
      <c r="A888" s="6" t="s">
        <v>152</v>
      </c>
      <c r="B888" s="6" t="s">
        <v>109</v>
      </c>
      <c r="C888" s="6" t="s">
        <v>932</v>
      </c>
      <c r="D888" s="6" t="s">
        <v>1258</v>
      </c>
    </row>
    <row r="889" customFormat="false" ht="23.85" hidden="false" customHeight="false" outlineLevel="0" collapsed="false">
      <c r="A889" s="6" t="s">
        <v>152</v>
      </c>
      <c r="B889" s="6" t="s">
        <v>109</v>
      </c>
      <c r="C889" s="6" t="s">
        <v>932</v>
      </c>
      <c r="D889" s="6" t="s">
        <v>1259</v>
      </c>
    </row>
    <row r="890" customFormat="false" ht="15" hidden="false" customHeight="false" outlineLevel="0" collapsed="false">
      <c r="A890" s="6" t="s">
        <v>152</v>
      </c>
      <c r="B890" s="6" t="s">
        <v>109</v>
      </c>
      <c r="C890" s="6" t="s">
        <v>932</v>
      </c>
      <c r="D890" s="6" t="s">
        <v>1429</v>
      </c>
    </row>
    <row r="891" customFormat="false" ht="23.85" hidden="false" customHeight="false" outlineLevel="0" collapsed="false">
      <c r="A891" s="6" t="s">
        <v>152</v>
      </c>
      <c r="B891" s="6" t="s">
        <v>109</v>
      </c>
      <c r="C891" s="6" t="s">
        <v>932</v>
      </c>
      <c r="D891" s="6" t="s">
        <v>1108</v>
      </c>
    </row>
    <row r="892" customFormat="false" ht="35.05" hidden="false" customHeight="false" outlineLevel="0" collapsed="false">
      <c r="A892" s="6" t="s">
        <v>152</v>
      </c>
      <c r="B892" s="6" t="s">
        <v>109</v>
      </c>
      <c r="C892" s="6" t="s">
        <v>932</v>
      </c>
      <c r="D892" s="6" t="s">
        <v>1089</v>
      </c>
    </row>
    <row r="893" customFormat="false" ht="35.05" hidden="false" customHeight="false" outlineLevel="0" collapsed="false">
      <c r="A893" s="6" t="s">
        <v>152</v>
      </c>
      <c r="B893" s="6" t="s">
        <v>109</v>
      </c>
      <c r="C893" s="6" t="s">
        <v>932</v>
      </c>
      <c r="D893" s="6" t="s">
        <v>1430</v>
      </c>
    </row>
    <row r="894" customFormat="false" ht="46.25" hidden="false" customHeight="false" outlineLevel="0" collapsed="false">
      <c r="A894" s="6" t="s">
        <v>152</v>
      </c>
      <c r="B894" s="6" t="s">
        <v>109</v>
      </c>
      <c r="C894" s="6" t="s">
        <v>932</v>
      </c>
      <c r="D894" s="6" t="s">
        <v>1431</v>
      </c>
    </row>
    <row r="895" customFormat="false" ht="46.25" hidden="false" customHeight="false" outlineLevel="0" collapsed="false">
      <c r="A895" s="6" t="s">
        <v>152</v>
      </c>
      <c r="B895" s="6" t="s">
        <v>109</v>
      </c>
      <c r="C895" s="6" t="s">
        <v>932</v>
      </c>
      <c r="D895" s="6" t="s">
        <v>992</v>
      </c>
    </row>
    <row r="896" customFormat="false" ht="35.05" hidden="false" customHeight="false" outlineLevel="0" collapsed="false">
      <c r="A896" s="6" t="s">
        <v>152</v>
      </c>
      <c r="B896" s="6" t="s">
        <v>109</v>
      </c>
      <c r="C896" s="6" t="s">
        <v>932</v>
      </c>
      <c r="D896" s="6" t="s">
        <v>1432</v>
      </c>
    </row>
    <row r="897" customFormat="false" ht="35.05" hidden="false" customHeight="false" outlineLevel="0" collapsed="false">
      <c r="A897" s="6" t="s">
        <v>152</v>
      </c>
      <c r="B897" s="6" t="s">
        <v>109</v>
      </c>
      <c r="C897" s="6" t="s">
        <v>932</v>
      </c>
      <c r="D897" s="6" t="s">
        <v>1433</v>
      </c>
    </row>
    <row r="898" customFormat="false" ht="23.85" hidden="false" customHeight="false" outlineLevel="0" collapsed="false">
      <c r="A898" s="6" t="s">
        <v>152</v>
      </c>
      <c r="B898" s="6" t="s">
        <v>109</v>
      </c>
      <c r="C898" s="6" t="s">
        <v>932</v>
      </c>
      <c r="D898" s="6" t="s">
        <v>991</v>
      </c>
    </row>
    <row r="899" customFormat="false" ht="35.05" hidden="false" customHeight="false" outlineLevel="0" collapsed="false">
      <c r="A899" s="6" t="s">
        <v>152</v>
      </c>
      <c r="B899" s="6" t="s">
        <v>186</v>
      </c>
      <c r="C899" s="6" t="s">
        <v>932</v>
      </c>
      <c r="D899" s="6" t="s">
        <v>1434</v>
      </c>
    </row>
    <row r="900" customFormat="false" ht="35.05" hidden="false" customHeight="false" outlineLevel="0" collapsed="false">
      <c r="A900" s="6" t="s">
        <v>152</v>
      </c>
      <c r="B900" s="6" t="s">
        <v>186</v>
      </c>
      <c r="C900" s="6" t="s">
        <v>932</v>
      </c>
      <c r="D900" s="6" t="s">
        <v>1435</v>
      </c>
    </row>
    <row r="901" customFormat="false" ht="46.25" hidden="false" customHeight="false" outlineLevel="0" collapsed="false">
      <c r="A901" s="6" t="s">
        <v>152</v>
      </c>
      <c r="B901" s="6" t="s">
        <v>186</v>
      </c>
      <c r="C901" s="6" t="s">
        <v>932</v>
      </c>
      <c r="D901" s="6" t="s">
        <v>1027</v>
      </c>
    </row>
    <row r="902" customFormat="false" ht="23.85" hidden="false" customHeight="false" outlineLevel="0" collapsed="false">
      <c r="A902" s="6" t="s">
        <v>152</v>
      </c>
      <c r="B902" s="6" t="s">
        <v>186</v>
      </c>
      <c r="C902" s="6" t="s">
        <v>932</v>
      </c>
      <c r="D902" s="6" t="s">
        <v>1028</v>
      </c>
    </row>
    <row r="903" customFormat="false" ht="35.05" hidden="false" customHeight="false" outlineLevel="0" collapsed="false">
      <c r="A903" s="6" t="s">
        <v>152</v>
      </c>
      <c r="B903" s="6" t="s">
        <v>186</v>
      </c>
      <c r="C903" s="6" t="s">
        <v>932</v>
      </c>
      <c r="D903" s="6" t="s">
        <v>1029</v>
      </c>
    </row>
    <row r="904" customFormat="false" ht="23.85" hidden="false" customHeight="false" outlineLevel="0" collapsed="false">
      <c r="A904" s="6" t="s">
        <v>152</v>
      </c>
      <c r="B904" s="6" t="s">
        <v>186</v>
      </c>
      <c r="C904" s="6" t="s">
        <v>932</v>
      </c>
      <c r="D904" s="6" t="s">
        <v>1436</v>
      </c>
    </row>
    <row r="905" customFormat="false" ht="15" hidden="false" customHeight="false" outlineLevel="0" collapsed="false">
      <c r="A905" s="6" t="s">
        <v>152</v>
      </c>
      <c r="B905" s="6" t="s">
        <v>186</v>
      </c>
      <c r="C905" s="6" t="s">
        <v>932</v>
      </c>
      <c r="D905" s="6" t="s">
        <v>1437</v>
      </c>
    </row>
    <row r="906" customFormat="false" ht="23.85" hidden="false" customHeight="false" outlineLevel="0" collapsed="false">
      <c r="A906" s="6" t="s">
        <v>152</v>
      </c>
      <c r="B906" s="6" t="s">
        <v>186</v>
      </c>
      <c r="C906" s="6" t="s">
        <v>932</v>
      </c>
      <c r="D906" s="6" t="s">
        <v>1438</v>
      </c>
    </row>
    <row r="907" customFormat="false" ht="23.85" hidden="false" customHeight="false" outlineLevel="0" collapsed="false">
      <c r="A907" s="6" t="s">
        <v>152</v>
      </c>
      <c r="B907" s="6" t="s">
        <v>186</v>
      </c>
      <c r="C907" s="6" t="s">
        <v>932</v>
      </c>
      <c r="D907" s="6" t="s">
        <v>1439</v>
      </c>
    </row>
    <row r="908" customFormat="false" ht="35.05" hidden="false" customHeight="false" outlineLevel="0" collapsed="false">
      <c r="A908" s="6" t="s">
        <v>152</v>
      </c>
      <c r="B908" s="6" t="s">
        <v>229</v>
      </c>
      <c r="C908" s="6" t="s">
        <v>932</v>
      </c>
      <c r="D908" s="6" t="s">
        <v>1163</v>
      </c>
    </row>
    <row r="909" customFormat="false" ht="15" hidden="false" customHeight="false" outlineLevel="0" collapsed="false">
      <c r="A909" s="6" t="s">
        <v>152</v>
      </c>
      <c r="B909" s="6" t="s">
        <v>1440</v>
      </c>
      <c r="C909" s="6" t="s">
        <v>932</v>
      </c>
      <c r="D909" s="6" t="s">
        <v>1441</v>
      </c>
    </row>
    <row r="910" customFormat="false" ht="23.85" hidden="false" customHeight="false" outlineLevel="0" collapsed="false">
      <c r="A910" s="6" t="s">
        <v>152</v>
      </c>
      <c r="B910" s="6" t="s">
        <v>1440</v>
      </c>
      <c r="C910" s="6" t="s">
        <v>932</v>
      </c>
      <c r="D910" s="6" t="s">
        <v>1442</v>
      </c>
    </row>
    <row r="911" customFormat="false" ht="15" hidden="false" customHeight="false" outlineLevel="0" collapsed="false">
      <c r="A911" s="6" t="s">
        <v>152</v>
      </c>
      <c r="B911" s="6" t="s">
        <v>1440</v>
      </c>
      <c r="C911" s="6" t="s">
        <v>932</v>
      </c>
      <c r="D911" s="6" t="s">
        <v>1443</v>
      </c>
    </row>
    <row r="912" customFormat="false" ht="35.05" hidden="false" customHeight="false" outlineLevel="0" collapsed="false">
      <c r="A912" s="6" t="s">
        <v>152</v>
      </c>
      <c r="B912" s="6" t="s">
        <v>1440</v>
      </c>
      <c r="C912" s="6" t="s">
        <v>932</v>
      </c>
      <c r="D912" s="6" t="s">
        <v>1444</v>
      </c>
    </row>
    <row r="913" customFormat="false" ht="35.05" hidden="false" customHeight="false" outlineLevel="0" collapsed="false">
      <c r="A913" s="6" t="s">
        <v>152</v>
      </c>
      <c r="B913" s="6" t="s">
        <v>1440</v>
      </c>
      <c r="C913" s="6" t="s">
        <v>932</v>
      </c>
      <c r="D913" s="6" t="s">
        <v>1445</v>
      </c>
    </row>
    <row r="914" customFormat="false" ht="23.85" hidden="false" customHeight="false" outlineLevel="0" collapsed="false">
      <c r="A914" s="6" t="s">
        <v>152</v>
      </c>
      <c r="B914" s="6" t="s">
        <v>1440</v>
      </c>
      <c r="C914" s="6" t="s">
        <v>932</v>
      </c>
      <c r="D914" s="6" t="s">
        <v>1446</v>
      </c>
    </row>
    <row r="915" customFormat="false" ht="15" hidden="false" customHeight="false" outlineLevel="0" collapsed="false">
      <c r="A915" s="6" t="s">
        <v>152</v>
      </c>
      <c r="B915" s="6" t="s">
        <v>1440</v>
      </c>
      <c r="C915" s="6" t="s">
        <v>932</v>
      </c>
      <c r="D915" s="6" t="s">
        <v>1447</v>
      </c>
    </row>
    <row r="916" customFormat="false" ht="23.85" hidden="false" customHeight="false" outlineLevel="0" collapsed="false">
      <c r="A916" s="6" t="s">
        <v>152</v>
      </c>
      <c r="B916" s="6" t="s">
        <v>1440</v>
      </c>
      <c r="C916" s="6" t="s">
        <v>932</v>
      </c>
      <c r="D916" s="6" t="s">
        <v>1448</v>
      </c>
    </row>
    <row r="917" customFormat="false" ht="15" hidden="false" customHeight="false" outlineLevel="0" collapsed="false">
      <c r="A917" s="6" t="s">
        <v>152</v>
      </c>
      <c r="B917" s="6" t="s">
        <v>1440</v>
      </c>
      <c r="C917" s="6" t="s">
        <v>932</v>
      </c>
      <c r="D917" s="6" t="s">
        <v>1449</v>
      </c>
    </row>
    <row r="918" customFormat="false" ht="23.85" hidden="false" customHeight="false" outlineLevel="0" collapsed="false">
      <c r="A918" s="6" t="s">
        <v>152</v>
      </c>
      <c r="B918" s="6" t="s">
        <v>1440</v>
      </c>
      <c r="C918" s="6" t="s">
        <v>932</v>
      </c>
      <c r="D918" s="6" t="s">
        <v>1450</v>
      </c>
    </row>
    <row r="919" customFormat="false" ht="46.25" hidden="false" customHeight="false" outlineLevel="0" collapsed="false">
      <c r="A919" s="6" t="s">
        <v>152</v>
      </c>
      <c r="B919" s="6" t="s">
        <v>1440</v>
      </c>
      <c r="C919" s="6" t="s">
        <v>932</v>
      </c>
      <c r="D919" s="6" t="s">
        <v>1451</v>
      </c>
    </row>
    <row r="920" customFormat="false" ht="15" hidden="false" customHeight="false" outlineLevel="0" collapsed="false">
      <c r="A920" s="6" t="s">
        <v>152</v>
      </c>
      <c r="B920" s="6" t="s">
        <v>330</v>
      </c>
      <c r="C920" s="6" t="s">
        <v>932</v>
      </c>
      <c r="D920" s="6" t="s">
        <v>1452</v>
      </c>
    </row>
    <row r="921" customFormat="false" ht="15" hidden="false" customHeight="false" outlineLevel="0" collapsed="false">
      <c r="A921" s="6" t="s">
        <v>152</v>
      </c>
      <c r="B921" s="6" t="s">
        <v>330</v>
      </c>
      <c r="C921" s="6" t="s">
        <v>932</v>
      </c>
      <c r="D921" s="6" t="s">
        <v>1453</v>
      </c>
    </row>
    <row r="922" customFormat="false" ht="15" hidden="false" customHeight="false" outlineLevel="0" collapsed="false">
      <c r="A922" s="6" t="s">
        <v>152</v>
      </c>
      <c r="B922" s="6" t="s">
        <v>330</v>
      </c>
      <c r="C922" s="6" t="s">
        <v>932</v>
      </c>
      <c r="D922" s="6" t="s">
        <v>1454</v>
      </c>
    </row>
    <row r="923" customFormat="false" ht="46.25" hidden="false" customHeight="false" outlineLevel="0" collapsed="false">
      <c r="A923" s="6" t="s">
        <v>152</v>
      </c>
      <c r="B923" s="6" t="s">
        <v>330</v>
      </c>
      <c r="C923" s="6" t="s">
        <v>932</v>
      </c>
      <c r="D923" s="6" t="s">
        <v>1455</v>
      </c>
    </row>
    <row r="924" customFormat="false" ht="23.85" hidden="false" customHeight="false" outlineLevel="0" collapsed="false">
      <c r="A924" s="6" t="s">
        <v>152</v>
      </c>
      <c r="B924" s="6" t="s">
        <v>330</v>
      </c>
      <c r="C924" s="6" t="s">
        <v>932</v>
      </c>
      <c r="D924" s="6" t="s">
        <v>1456</v>
      </c>
    </row>
    <row r="925" customFormat="false" ht="57.45" hidden="false" customHeight="false" outlineLevel="0" collapsed="false">
      <c r="A925" s="6" t="s">
        <v>152</v>
      </c>
      <c r="B925" s="6" t="s">
        <v>330</v>
      </c>
      <c r="C925" s="6" t="s">
        <v>932</v>
      </c>
      <c r="D925" s="6" t="s">
        <v>1457</v>
      </c>
    </row>
    <row r="926" customFormat="false" ht="23.85" hidden="false" customHeight="false" outlineLevel="0" collapsed="false">
      <c r="A926" s="6" t="s">
        <v>152</v>
      </c>
      <c r="B926" s="6" t="s">
        <v>330</v>
      </c>
      <c r="C926" s="6" t="s">
        <v>932</v>
      </c>
      <c r="D926" s="6" t="s">
        <v>1458</v>
      </c>
    </row>
    <row r="927" customFormat="false" ht="23.85" hidden="false" customHeight="false" outlineLevel="0" collapsed="false">
      <c r="A927" s="6" t="s">
        <v>152</v>
      </c>
      <c r="B927" s="6" t="s">
        <v>330</v>
      </c>
      <c r="C927" s="6" t="s">
        <v>932</v>
      </c>
      <c r="D927" s="6" t="s">
        <v>1459</v>
      </c>
    </row>
    <row r="928" customFormat="false" ht="15" hidden="false" customHeight="false" outlineLevel="0" collapsed="false">
      <c r="A928" s="6" t="s">
        <v>152</v>
      </c>
      <c r="B928" s="6" t="s">
        <v>330</v>
      </c>
      <c r="C928" s="6" t="s">
        <v>932</v>
      </c>
      <c r="D928" s="6" t="s">
        <v>1460</v>
      </c>
    </row>
    <row r="929" customFormat="false" ht="23.85" hidden="false" customHeight="false" outlineLevel="0" collapsed="false">
      <c r="A929" s="6" t="s">
        <v>152</v>
      </c>
      <c r="B929" s="6" t="s">
        <v>330</v>
      </c>
      <c r="C929" s="6" t="s">
        <v>932</v>
      </c>
      <c r="D929" s="6" t="s">
        <v>1461</v>
      </c>
    </row>
    <row r="930" customFormat="false" ht="15" hidden="false" customHeight="false" outlineLevel="0" collapsed="false">
      <c r="A930" s="6" t="s">
        <v>152</v>
      </c>
      <c r="B930" s="6" t="s">
        <v>330</v>
      </c>
      <c r="C930" s="6" t="s">
        <v>932</v>
      </c>
      <c r="D930" s="6" t="s">
        <v>1462</v>
      </c>
    </row>
    <row r="931" customFormat="false" ht="23.85" hidden="false" customHeight="false" outlineLevel="0" collapsed="false">
      <c r="A931" s="6" t="s">
        <v>152</v>
      </c>
      <c r="B931" s="6" t="s">
        <v>168</v>
      </c>
      <c r="C931" s="6" t="s">
        <v>932</v>
      </c>
      <c r="D931" s="6" t="s">
        <v>1069</v>
      </c>
    </row>
    <row r="932" customFormat="false" ht="23.85" hidden="false" customHeight="false" outlineLevel="0" collapsed="false">
      <c r="A932" s="6" t="s">
        <v>152</v>
      </c>
      <c r="B932" s="6" t="s">
        <v>168</v>
      </c>
      <c r="C932" s="6" t="s">
        <v>932</v>
      </c>
      <c r="D932" s="6" t="s">
        <v>1004</v>
      </c>
    </row>
    <row r="933" customFormat="false" ht="35.05" hidden="false" customHeight="false" outlineLevel="0" collapsed="false">
      <c r="A933" s="6" t="s">
        <v>152</v>
      </c>
      <c r="B933" s="6" t="s">
        <v>168</v>
      </c>
      <c r="C933" s="6" t="s">
        <v>932</v>
      </c>
      <c r="D933" s="6" t="s">
        <v>1070</v>
      </c>
    </row>
    <row r="934" customFormat="false" ht="23.85" hidden="false" customHeight="false" outlineLevel="0" collapsed="false">
      <c r="A934" s="6" t="s">
        <v>152</v>
      </c>
      <c r="B934" s="6" t="s">
        <v>168</v>
      </c>
      <c r="C934" s="6" t="s">
        <v>932</v>
      </c>
      <c r="D934" s="6" t="s">
        <v>138</v>
      </c>
    </row>
    <row r="935" customFormat="false" ht="15" hidden="false" customHeight="false" outlineLevel="0" collapsed="false">
      <c r="A935" s="6" t="s">
        <v>152</v>
      </c>
      <c r="B935" s="6" t="s">
        <v>168</v>
      </c>
      <c r="C935" s="6" t="s">
        <v>932</v>
      </c>
      <c r="D935" s="6" t="s">
        <v>1463</v>
      </c>
    </row>
    <row r="936" customFormat="false" ht="23.85" hidden="false" customHeight="false" outlineLevel="0" collapsed="false">
      <c r="A936" s="6" t="s">
        <v>152</v>
      </c>
      <c r="B936" s="6" t="s">
        <v>168</v>
      </c>
      <c r="C936" s="6" t="s">
        <v>932</v>
      </c>
      <c r="D936" s="6" t="s">
        <v>1464</v>
      </c>
    </row>
    <row r="937" customFormat="false" ht="23.85" hidden="false" customHeight="false" outlineLevel="0" collapsed="false">
      <c r="A937" s="6" t="s">
        <v>152</v>
      </c>
      <c r="B937" s="6" t="s">
        <v>146</v>
      </c>
      <c r="C937" s="6" t="s">
        <v>932</v>
      </c>
      <c r="D937" s="6" t="s">
        <v>1079</v>
      </c>
    </row>
    <row r="938" customFormat="false" ht="23.85" hidden="false" customHeight="false" outlineLevel="0" collapsed="false">
      <c r="A938" s="6" t="s">
        <v>152</v>
      </c>
      <c r="B938" s="6" t="s">
        <v>146</v>
      </c>
      <c r="C938" s="6" t="s">
        <v>932</v>
      </c>
      <c r="D938" s="6" t="s">
        <v>993</v>
      </c>
    </row>
    <row r="939" customFormat="false" ht="23.85" hidden="false" customHeight="false" outlineLevel="0" collapsed="false">
      <c r="A939" s="6" t="s">
        <v>152</v>
      </c>
      <c r="B939" s="6" t="s">
        <v>146</v>
      </c>
      <c r="C939" s="6" t="s">
        <v>932</v>
      </c>
      <c r="D939" s="6" t="s">
        <v>255</v>
      </c>
    </row>
    <row r="940" customFormat="false" ht="23.85" hidden="false" customHeight="false" outlineLevel="0" collapsed="false">
      <c r="A940" s="6" t="s">
        <v>152</v>
      </c>
      <c r="B940" s="6" t="s">
        <v>146</v>
      </c>
      <c r="C940" s="6" t="s">
        <v>932</v>
      </c>
      <c r="D940" s="6" t="s">
        <v>559</v>
      </c>
    </row>
    <row r="941" customFormat="false" ht="23.85" hidden="false" customHeight="false" outlineLevel="0" collapsed="false">
      <c r="A941" s="6" t="s">
        <v>152</v>
      </c>
      <c r="B941" s="6" t="s">
        <v>169</v>
      </c>
      <c r="C941" s="6" t="s">
        <v>932</v>
      </c>
      <c r="D941" s="6" t="s">
        <v>1465</v>
      </c>
    </row>
    <row r="942" customFormat="false" ht="15" hidden="false" customHeight="false" outlineLevel="0" collapsed="false">
      <c r="A942" s="6" t="s">
        <v>152</v>
      </c>
      <c r="B942" s="6" t="s">
        <v>99</v>
      </c>
      <c r="C942" s="6" t="s">
        <v>932</v>
      </c>
      <c r="D942" s="6" t="s">
        <v>1366</v>
      </c>
    </row>
    <row r="943" customFormat="false" ht="23.85" hidden="false" customHeight="false" outlineLevel="0" collapsed="false">
      <c r="A943" s="6" t="s">
        <v>152</v>
      </c>
      <c r="B943" s="6" t="s">
        <v>99</v>
      </c>
      <c r="C943" s="6" t="s">
        <v>932</v>
      </c>
      <c r="D943" s="6" t="s">
        <v>1466</v>
      </c>
    </row>
    <row r="944" customFormat="false" ht="35.05" hidden="false" customHeight="false" outlineLevel="0" collapsed="false">
      <c r="A944" s="6" t="s">
        <v>152</v>
      </c>
      <c r="B944" s="6" t="s">
        <v>99</v>
      </c>
      <c r="C944" s="6" t="s">
        <v>932</v>
      </c>
      <c r="D944" s="6" t="s">
        <v>1467</v>
      </c>
    </row>
    <row r="945" customFormat="false" ht="15" hidden="false" customHeight="false" outlineLevel="0" collapsed="false">
      <c r="A945" s="6" t="s">
        <v>152</v>
      </c>
      <c r="B945" s="6" t="s">
        <v>99</v>
      </c>
      <c r="C945" s="6" t="s">
        <v>932</v>
      </c>
      <c r="D945" s="6" t="s">
        <v>1468</v>
      </c>
    </row>
    <row r="946" customFormat="false" ht="35.05" hidden="false" customHeight="false" outlineLevel="0" collapsed="false">
      <c r="A946" s="6" t="s">
        <v>152</v>
      </c>
      <c r="B946" s="6" t="s">
        <v>99</v>
      </c>
      <c r="C946" s="6" t="s">
        <v>932</v>
      </c>
      <c r="D946" s="6" t="s">
        <v>225</v>
      </c>
    </row>
    <row r="947" customFormat="false" ht="35.05" hidden="false" customHeight="false" outlineLevel="0" collapsed="false">
      <c r="A947" s="6" t="s">
        <v>152</v>
      </c>
      <c r="B947" s="6" t="s">
        <v>99</v>
      </c>
      <c r="C947" s="6" t="s">
        <v>932</v>
      </c>
      <c r="D947" s="6" t="s">
        <v>1469</v>
      </c>
    </row>
    <row r="948" customFormat="false" ht="15" hidden="false" customHeight="false" outlineLevel="0" collapsed="false">
      <c r="A948" s="6" t="s">
        <v>152</v>
      </c>
      <c r="B948" s="6" t="s">
        <v>99</v>
      </c>
      <c r="C948" s="6" t="s">
        <v>932</v>
      </c>
      <c r="D948" s="6" t="s">
        <v>1470</v>
      </c>
    </row>
    <row r="949" customFormat="false" ht="23.85" hidden="false" customHeight="false" outlineLevel="0" collapsed="false">
      <c r="A949" s="6" t="s">
        <v>152</v>
      </c>
      <c r="B949" s="6" t="s">
        <v>62</v>
      </c>
      <c r="C949" s="6" t="s">
        <v>932</v>
      </c>
      <c r="D949" s="6" t="s">
        <v>1471</v>
      </c>
    </row>
    <row r="950" customFormat="false" ht="23.85" hidden="false" customHeight="false" outlineLevel="0" collapsed="false">
      <c r="A950" s="6" t="s">
        <v>152</v>
      </c>
      <c r="B950" s="6" t="s">
        <v>62</v>
      </c>
      <c r="C950" s="6" t="s">
        <v>932</v>
      </c>
      <c r="D950" s="6" t="s">
        <v>156</v>
      </c>
    </row>
    <row r="951" customFormat="false" ht="15" hidden="false" customHeight="false" outlineLevel="0" collapsed="false">
      <c r="A951" s="6" t="s">
        <v>442</v>
      </c>
      <c r="B951" s="6" t="s">
        <v>86</v>
      </c>
      <c r="C951" s="6" t="s">
        <v>932</v>
      </c>
      <c r="D951" s="6" t="s">
        <v>1123</v>
      </c>
    </row>
    <row r="952" customFormat="false" ht="23.85" hidden="false" customHeight="false" outlineLevel="0" collapsed="false">
      <c r="A952" s="6" t="s">
        <v>442</v>
      </c>
      <c r="B952" s="6" t="s">
        <v>86</v>
      </c>
      <c r="C952" s="6" t="s">
        <v>932</v>
      </c>
      <c r="D952" s="6" t="s">
        <v>1101</v>
      </c>
    </row>
    <row r="953" customFormat="false" ht="35.05" hidden="false" customHeight="false" outlineLevel="0" collapsed="false">
      <c r="A953" s="6" t="s">
        <v>442</v>
      </c>
      <c r="B953" s="6" t="s">
        <v>86</v>
      </c>
      <c r="C953" s="6" t="s">
        <v>932</v>
      </c>
      <c r="D953" s="6" t="s">
        <v>1234</v>
      </c>
    </row>
    <row r="954" customFormat="false" ht="23.85" hidden="false" customHeight="false" outlineLevel="0" collapsed="false">
      <c r="A954" s="6" t="s">
        <v>442</v>
      </c>
      <c r="B954" s="6" t="s">
        <v>86</v>
      </c>
      <c r="C954" s="6" t="s">
        <v>932</v>
      </c>
      <c r="D954" s="6" t="s">
        <v>1235</v>
      </c>
    </row>
    <row r="955" customFormat="false" ht="23.85" hidden="false" customHeight="false" outlineLevel="0" collapsed="false">
      <c r="A955" s="6" t="s">
        <v>442</v>
      </c>
      <c r="B955" s="6" t="s">
        <v>86</v>
      </c>
      <c r="C955" s="6" t="s">
        <v>932</v>
      </c>
      <c r="D955" s="6" t="s">
        <v>1236</v>
      </c>
    </row>
    <row r="956" customFormat="false" ht="23.85" hidden="false" customHeight="false" outlineLevel="0" collapsed="false">
      <c r="A956" s="6" t="s">
        <v>442</v>
      </c>
      <c r="B956" s="6" t="s">
        <v>86</v>
      </c>
      <c r="C956" s="6" t="s">
        <v>932</v>
      </c>
      <c r="D956" s="6" t="s">
        <v>1102</v>
      </c>
    </row>
    <row r="957" customFormat="false" ht="15" hidden="false" customHeight="false" outlineLevel="0" collapsed="false">
      <c r="A957" s="6" t="s">
        <v>442</v>
      </c>
      <c r="B957" s="6" t="s">
        <v>86</v>
      </c>
      <c r="C957" s="6" t="s">
        <v>932</v>
      </c>
      <c r="D957" s="6" t="s">
        <v>1238</v>
      </c>
    </row>
    <row r="958" customFormat="false" ht="23.85" hidden="false" customHeight="false" outlineLevel="0" collapsed="false">
      <c r="A958" s="6" t="s">
        <v>442</v>
      </c>
      <c r="B958" s="6" t="s">
        <v>86</v>
      </c>
      <c r="C958" s="6" t="s">
        <v>932</v>
      </c>
      <c r="D958" s="6" t="s">
        <v>1239</v>
      </c>
    </row>
    <row r="959" customFormat="false" ht="15" hidden="false" customHeight="false" outlineLevel="0" collapsed="false">
      <c r="A959" s="6" t="s">
        <v>442</v>
      </c>
      <c r="B959" s="6" t="s">
        <v>86</v>
      </c>
      <c r="C959" s="6" t="s">
        <v>932</v>
      </c>
      <c r="D959" s="6" t="s">
        <v>1240</v>
      </c>
    </row>
    <row r="960" customFormat="false" ht="35.05" hidden="false" customHeight="false" outlineLevel="0" collapsed="false">
      <c r="A960" s="6" t="s">
        <v>442</v>
      </c>
      <c r="B960" s="6" t="s">
        <v>86</v>
      </c>
      <c r="C960" s="6" t="s">
        <v>932</v>
      </c>
      <c r="D960" s="6" t="s">
        <v>1241</v>
      </c>
    </row>
    <row r="961" customFormat="false" ht="15" hidden="false" customHeight="false" outlineLevel="0" collapsed="false">
      <c r="A961" s="6" t="s">
        <v>442</v>
      </c>
      <c r="B961" s="6" t="s">
        <v>86</v>
      </c>
      <c r="C961" s="6" t="s">
        <v>932</v>
      </c>
      <c r="D961" s="6" t="s">
        <v>1472</v>
      </c>
    </row>
    <row r="962" customFormat="false" ht="15" hidden="false" customHeight="false" outlineLevel="0" collapsed="false">
      <c r="A962" s="6" t="s">
        <v>442</v>
      </c>
      <c r="B962" s="6" t="s">
        <v>86</v>
      </c>
      <c r="C962" s="6" t="s">
        <v>932</v>
      </c>
      <c r="D962" s="6" t="s">
        <v>1473</v>
      </c>
    </row>
    <row r="963" customFormat="false" ht="23.85" hidden="false" customHeight="false" outlineLevel="0" collapsed="false">
      <c r="A963" s="6" t="s">
        <v>442</v>
      </c>
      <c r="B963" s="6" t="s">
        <v>86</v>
      </c>
      <c r="C963" s="6" t="s">
        <v>932</v>
      </c>
      <c r="D963" s="6" t="s">
        <v>1245</v>
      </c>
    </row>
    <row r="964" customFormat="false" ht="23.85" hidden="false" customHeight="false" outlineLevel="0" collapsed="false">
      <c r="A964" s="6" t="s">
        <v>442</v>
      </c>
      <c r="B964" s="6" t="s">
        <v>86</v>
      </c>
      <c r="C964" s="6" t="s">
        <v>932</v>
      </c>
      <c r="D964" s="6" t="s">
        <v>1246</v>
      </c>
    </row>
    <row r="965" customFormat="false" ht="15" hidden="false" customHeight="false" outlineLevel="0" collapsed="false">
      <c r="A965" s="6" t="s">
        <v>442</v>
      </c>
      <c r="B965" s="6" t="s">
        <v>86</v>
      </c>
      <c r="C965" s="6" t="s">
        <v>932</v>
      </c>
      <c r="D965" s="6" t="s">
        <v>1247</v>
      </c>
    </row>
    <row r="966" customFormat="false" ht="23.85" hidden="false" customHeight="false" outlineLevel="0" collapsed="false">
      <c r="A966" s="6" t="s">
        <v>442</v>
      </c>
      <c r="B966" s="6" t="s">
        <v>86</v>
      </c>
      <c r="C966" s="6" t="s">
        <v>932</v>
      </c>
      <c r="D966" s="6" t="s">
        <v>1251</v>
      </c>
    </row>
    <row r="967" customFormat="false" ht="15" hidden="false" customHeight="false" outlineLevel="0" collapsed="false">
      <c r="A967" s="6" t="s">
        <v>442</v>
      </c>
      <c r="B967" s="6" t="s">
        <v>86</v>
      </c>
      <c r="C967" s="6" t="s">
        <v>932</v>
      </c>
      <c r="D967" s="6" t="s">
        <v>1252</v>
      </c>
    </row>
    <row r="968" customFormat="false" ht="15" hidden="false" customHeight="false" outlineLevel="0" collapsed="false">
      <c r="A968" s="6" t="s">
        <v>442</v>
      </c>
      <c r="B968" s="6" t="s">
        <v>86</v>
      </c>
      <c r="C968" s="6" t="s">
        <v>932</v>
      </c>
      <c r="D968" s="6" t="s">
        <v>1255</v>
      </c>
    </row>
    <row r="969" customFormat="false" ht="15" hidden="false" customHeight="false" outlineLevel="0" collapsed="false">
      <c r="A969" s="6" t="s">
        <v>442</v>
      </c>
      <c r="B969" s="6" t="s">
        <v>86</v>
      </c>
      <c r="C969" s="6" t="s">
        <v>932</v>
      </c>
      <c r="D969" s="6" t="s">
        <v>1056</v>
      </c>
    </row>
    <row r="970" customFormat="false" ht="15" hidden="false" customHeight="false" outlineLevel="0" collapsed="false">
      <c r="A970" s="6" t="s">
        <v>442</v>
      </c>
      <c r="B970" s="6" t="s">
        <v>86</v>
      </c>
      <c r="C970" s="6" t="s">
        <v>932</v>
      </c>
      <c r="D970" s="6" t="s">
        <v>1256</v>
      </c>
    </row>
    <row r="971" customFormat="false" ht="23.85" hidden="false" customHeight="false" outlineLevel="0" collapsed="false">
      <c r="A971" s="6" t="s">
        <v>442</v>
      </c>
      <c r="B971" s="6" t="s">
        <v>109</v>
      </c>
      <c r="C971" s="6" t="s">
        <v>932</v>
      </c>
      <c r="D971" s="6" t="s">
        <v>1258</v>
      </c>
    </row>
    <row r="972" customFormat="false" ht="23.85" hidden="false" customHeight="false" outlineLevel="0" collapsed="false">
      <c r="A972" s="6" t="s">
        <v>442</v>
      </c>
      <c r="B972" s="6" t="s">
        <v>109</v>
      </c>
      <c r="C972" s="6" t="s">
        <v>932</v>
      </c>
      <c r="D972" s="6" t="s">
        <v>1259</v>
      </c>
    </row>
    <row r="973" customFormat="false" ht="15" hidden="false" customHeight="false" outlineLevel="0" collapsed="false">
      <c r="A973" s="6" t="s">
        <v>442</v>
      </c>
      <c r="B973" s="6" t="s">
        <v>109</v>
      </c>
      <c r="C973" s="6" t="s">
        <v>932</v>
      </c>
      <c r="D973" s="6" t="s">
        <v>1169</v>
      </c>
    </row>
    <row r="974" customFormat="false" ht="46.25" hidden="false" customHeight="false" outlineLevel="0" collapsed="false">
      <c r="A974" s="6" t="s">
        <v>442</v>
      </c>
      <c r="B974" s="6" t="s">
        <v>109</v>
      </c>
      <c r="C974" s="6" t="s">
        <v>932</v>
      </c>
      <c r="D974" s="6" t="s">
        <v>1261</v>
      </c>
    </row>
    <row r="975" customFormat="false" ht="68.65" hidden="false" customHeight="false" outlineLevel="0" collapsed="false">
      <c r="A975" s="6" t="s">
        <v>442</v>
      </c>
      <c r="B975" s="6" t="s">
        <v>109</v>
      </c>
      <c r="C975" s="6" t="s">
        <v>932</v>
      </c>
      <c r="D975" s="6" t="s">
        <v>1149</v>
      </c>
    </row>
    <row r="976" customFormat="false" ht="23.85" hidden="false" customHeight="false" outlineLevel="0" collapsed="false">
      <c r="A976" s="6" t="s">
        <v>442</v>
      </c>
      <c r="B976" s="6" t="s">
        <v>95</v>
      </c>
      <c r="C976" s="6" t="s">
        <v>932</v>
      </c>
      <c r="D976" s="6" t="s">
        <v>1264</v>
      </c>
    </row>
    <row r="977" customFormat="false" ht="57.45" hidden="false" customHeight="false" outlineLevel="0" collapsed="false">
      <c r="A977" s="6" t="s">
        <v>442</v>
      </c>
      <c r="B977" s="6" t="s">
        <v>95</v>
      </c>
      <c r="C977" s="6" t="s">
        <v>932</v>
      </c>
      <c r="D977" s="6" t="s">
        <v>1206</v>
      </c>
    </row>
    <row r="978" customFormat="false" ht="23.85" hidden="false" customHeight="false" outlineLevel="0" collapsed="false">
      <c r="A978" s="6" t="s">
        <v>442</v>
      </c>
      <c r="B978" s="6" t="s">
        <v>95</v>
      </c>
      <c r="C978" s="6" t="s">
        <v>932</v>
      </c>
      <c r="D978" s="6" t="s">
        <v>1474</v>
      </c>
    </row>
    <row r="979" customFormat="false" ht="46.25" hidden="false" customHeight="false" outlineLevel="0" collapsed="false">
      <c r="A979" s="6" t="s">
        <v>442</v>
      </c>
      <c r="B979" s="6" t="s">
        <v>95</v>
      </c>
      <c r="C979" s="6" t="s">
        <v>932</v>
      </c>
      <c r="D979" s="6" t="s">
        <v>1231</v>
      </c>
    </row>
    <row r="980" customFormat="false" ht="35.05" hidden="false" customHeight="false" outlineLevel="0" collapsed="false">
      <c r="A980" s="6" t="s">
        <v>442</v>
      </c>
      <c r="B980" s="6" t="s">
        <v>95</v>
      </c>
      <c r="C980" s="6" t="s">
        <v>932</v>
      </c>
      <c r="D980" s="6" t="s">
        <v>1265</v>
      </c>
    </row>
    <row r="981" customFormat="false" ht="23.85" hidden="false" customHeight="false" outlineLevel="0" collapsed="false">
      <c r="A981" s="6" t="s">
        <v>442</v>
      </c>
      <c r="B981" s="6" t="s">
        <v>186</v>
      </c>
      <c r="C981" s="6" t="s">
        <v>932</v>
      </c>
      <c r="D981" s="6" t="s">
        <v>1475</v>
      </c>
    </row>
    <row r="982" customFormat="false" ht="23.85" hidden="false" customHeight="false" outlineLevel="0" collapsed="false">
      <c r="A982" s="6" t="s">
        <v>442</v>
      </c>
      <c r="B982" s="6" t="s">
        <v>229</v>
      </c>
      <c r="C982" s="6" t="s">
        <v>932</v>
      </c>
      <c r="D982" s="6" t="s">
        <v>939</v>
      </c>
    </row>
    <row r="983" customFormat="false" ht="15" hidden="false" customHeight="false" outlineLevel="0" collapsed="false">
      <c r="A983" s="6" t="s">
        <v>442</v>
      </c>
      <c r="B983" s="6" t="s">
        <v>229</v>
      </c>
      <c r="C983" s="6" t="s">
        <v>932</v>
      </c>
      <c r="D983" s="6" t="s">
        <v>1035</v>
      </c>
    </row>
    <row r="984" customFormat="false" ht="57.45" hidden="false" customHeight="false" outlineLevel="0" collapsed="false">
      <c r="A984" s="6" t="s">
        <v>442</v>
      </c>
      <c r="B984" s="6" t="s">
        <v>229</v>
      </c>
      <c r="C984" s="6" t="s">
        <v>932</v>
      </c>
      <c r="D984" s="6" t="s">
        <v>532</v>
      </c>
    </row>
    <row r="985" customFormat="false" ht="35.05" hidden="false" customHeight="false" outlineLevel="0" collapsed="false">
      <c r="A985" s="6" t="s">
        <v>442</v>
      </c>
      <c r="B985" s="6" t="s">
        <v>146</v>
      </c>
      <c r="C985" s="6" t="s">
        <v>932</v>
      </c>
      <c r="D985" s="6" t="s">
        <v>160</v>
      </c>
    </row>
    <row r="986" customFormat="false" ht="23.85" hidden="false" customHeight="false" outlineLevel="0" collapsed="false">
      <c r="A986" s="6" t="s">
        <v>442</v>
      </c>
      <c r="B986" s="6" t="s">
        <v>99</v>
      </c>
      <c r="C986" s="6" t="s">
        <v>1005</v>
      </c>
      <c r="D986" s="6" t="s">
        <v>1006</v>
      </c>
    </row>
    <row r="987" customFormat="false" ht="236.55" hidden="false" customHeight="false" outlineLevel="0" collapsed="false">
      <c r="A987" s="6" t="s">
        <v>442</v>
      </c>
      <c r="B987" s="6" t="s">
        <v>60</v>
      </c>
      <c r="C987" s="6" t="s">
        <v>1038</v>
      </c>
      <c r="D987" s="6" t="s">
        <v>1039</v>
      </c>
    </row>
    <row r="988" customFormat="false" ht="68.65" hidden="false" customHeight="false" outlineLevel="0" collapsed="false">
      <c r="A988" s="6" t="s">
        <v>586</v>
      </c>
      <c r="B988" s="6" t="s">
        <v>229</v>
      </c>
      <c r="C988" s="6" t="s">
        <v>932</v>
      </c>
      <c r="D988" s="6" t="s">
        <v>230</v>
      </c>
    </row>
    <row r="989" customFormat="false" ht="23.85" hidden="false" customHeight="false" outlineLevel="0" collapsed="false">
      <c r="A989" s="6" t="s">
        <v>586</v>
      </c>
      <c r="B989" s="6" t="s">
        <v>229</v>
      </c>
      <c r="C989" s="6" t="s">
        <v>932</v>
      </c>
      <c r="D989" s="6" t="s">
        <v>513</v>
      </c>
    </row>
    <row r="990" customFormat="false" ht="23.85" hidden="false" customHeight="false" outlineLevel="0" collapsed="false">
      <c r="A990" s="6" t="s">
        <v>586</v>
      </c>
      <c r="B990" s="6" t="s">
        <v>62</v>
      </c>
      <c r="C990" s="6" t="s">
        <v>932</v>
      </c>
      <c r="D990" s="6" t="s">
        <v>1172</v>
      </c>
    </row>
    <row r="991" customFormat="false" ht="15" hidden="false" customHeight="false" outlineLevel="0" collapsed="false">
      <c r="A991" s="6" t="s">
        <v>490</v>
      </c>
      <c r="B991" s="6" t="s">
        <v>229</v>
      </c>
      <c r="C991" s="6" t="s">
        <v>932</v>
      </c>
      <c r="D991" s="6" t="s">
        <v>1145</v>
      </c>
    </row>
    <row r="992" customFormat="false" ht="15" hidden="false" customHeight="false" outlineLevel="0" collapsed="false">
      <c r="A992" s="6" t="s">
        <v>490</v>
      </c>
      <c r="B992" s="6" t="s">
        <v>229</v>
      </c>
      <c r="C992" s="6" t="s">
        <v>932</v>
      </c>
      <c r="D992" s="6" t="s">
        <v>1476</v>
      </c>
    </row>
    <row r="993" customFormat="false" ht="46.25" hidden="false" customHeight="false" outlineLevel="0" collapsed="false">
      <c r="A993" s="6" t="s">
        <v>490</v>
      </c>
      <c r="B993" s="6" t="s">
        <v>229</v>
      </c>
      <c r="C993" s="6" t="s">
        <v>932</v>
      </c>
      <c r="D993" s="6" t="s">
        <v>1477</v>
      </c>
    </row>
    <row r="994" customFormat="false" ht="35.05" hidden="false" customHeight="false" outlineLevel="0" collapsed="false">
      <c r="A994" s="6" t="s">
        <v>490</v>
      </c>
      <c r="B994" s="6" t="s">
        <v>229</v>
      </c>
      <c r="C994" s="6" t="s">
        <v>932</v>
      </c>
      <c r="D994" s="6" t="s">
        <v>497</v>
      </c>
    </row>
    <row r="995" customFormat="false" ht="23.85" hidden="false" customHeight="false" outlineLevel="0" collapsed="false">
      <c r="A995" s="6" t="s">
        <v>490</v>
      </c>
      <c r="B995" s="6" t="s">
        <v>75</v>
      </c>
      <c r="C995" s="6" t="s">
        <v>932</v>
      </c>
      <c r="D995" s="6" t="s">
        <v>493</v>
      </c>
    </row>
    <row r="996" customFormat="false" ht="46.25" hidden="false" customHeight="false" outlineLevel="0" collapsed="false">
      <c r="A996" s="6" t="s">
        <v>521</v>
      </c>
      <c r="B996" s="6" t="s">
        <v>229</v>
      </c>
      <c r="C996" s="6" t="s">
        <v>932</v>
      </c>
      <c r="D996" s="6" t="s">
        <v>1167</v>
      </c>
    </row>
    <row r="997" customFormat="false" ht="23.85" hidden="false" customHeight="false" outlineLevel="0" collapsed="false">
      <c r="A997" s="6" t="s">
        <v>521</v>
      </c>
      <c r="B997" s="6" t="s">
        <v>190</v>
      </c>
      <c r="C997" s="6" t="s">
        <v>932</v>
      </c>
      <c r="D997" s="6" t="s">
        <v>524</v>
      </c>
    </row>
    <row r="998" customFormat="false" ht="23.85" hidden="false" customHeight="false" outlineLevel="0" collapsed="false">
      <c r="A998" s="6" t="s">
        <v>445</v>
      </c>
      <c r="B998" s="6" t="s">
        <v>99</v>
      </c>
      <c r="C998" s="6" t="s">
        <v>932</v>
      </c>
      <c r="D998" s="6" t="s">
        <v>1008</v>
      </c>
    </row>
    <row r="999" customFormat="false" ht="23.85" hidden="false" customHeight="false" outlineLevel="0" collapsed="false">
      <c r="A999" s="6" t="s">
        <v>445</v>
      </c>
      <c r="B999" s="6" t="s">
        <v>99</v>
      </c>
      <c r="C999" s="6" t="s">
        <v>932</v>
      </c>
      <c r="D999" s="6" t="s">
        <v>448</v>
      </c>
    </row>
    <row r="1000" customFormat="false" ht="23.85" hidden="false" customHeight="false" outlineLevel="0" collapsed="false">
      <c r="A1000" s="6" t="s">
        <v>445</v>
      </c>
      <c r="B1000" s="6" t="s">
        <v>99</v>
      </c>
      <c r="C1000" s="6" t="s">
        <v>974</v>
      </c>
      <c r="D1000" s="6" t="s">
        <v>975</v>
      </c>
    </row>
    <row r="1001" customFormat="false" ht="23.85" hidden="false" customHeight="false" outlineLevel="0" collapsed="false">
      <c r="A1001" s="6" t="s">
        <v>352</v>
      </c>
      <c r="B1001" s="6" t="s">
        <v>190</v>
      </c>
      <c r="C1001" s="6" t="s">
        <v>932</v>
      </c>
      <c r="D1001" s="6" t="s">
        <v>362</v>
      </c>
    </row>
    <row r="1002" customFormat="false" ht="46.25" hidden="false" customHeight="false" outlineLevel="0" collapsed="false">
      <c r="A1002" s="6" t="s">
        <v>352</v>
      </c>
      <c r="B1002" s="6" t="s">
        <v>80</v>
      </c>
      <c r="C1002" s="6" t="s">
        <v>932</v>
      </c>
      <c r="D1002" s="6" t="s">
        <v>335</v>
      </c>
    </row>
    <row r="1003" customFormat="false" ht="236.55" hidden="false" customHeight="false" outlineLevel="0" collapsed="false">
      <c r="A1003" s="6" t="s">
        <v>589</v>
      </c>
      <c r="B1003" s="6" t="s">
        <v>60</v>
      </c>
      <c r="C1003" s="6" t="s">
        <v>1038</v>
      </c>
      <c r="D1003" s="6" t="s">
        <v>1039</v>
      </c>
    </row>
    <row r="1004" customFormat="false" ht="35.05" hidden="false" customHeight="false" outlineLevel="0" collapsed="false">
      <c r="A1004" s="6" t="s">
        <v>111</v>
      </c>
      <c r="B1004" s="6" t="s">
        <v>61</v>
      </c>
      <c r="C1004" s="6" t="s">
        <v>932</v>
      </c>
      <c r="D1004" s="6" t="s">
        <v>1185</v>
      </c>
    </row>
    <row r="1005" customFormat="false" ht="15" hidden="false" customHeight="false" outlineLevel="0" collapsed="false">
      <c r="A1005" s="6" t="s">
        <v>111</v>
      </c>
      <c r="B1005" s="6" t="s">
        <v>61</v>
      </c>
      <c r="C1005" s="6" t="s">
        <v>932</v>
      </c>
      <c r="D1005" s="6" t="s">
        <v>1478</v>
      </c>
    </row>
    <row r="1006" customFormat="false" ht="46.25" hidden="false" customHeight="false" outlineLevel="0" collapsed="false">
      <c r="A1006" s="6" t="s">
        <v>111</v>
      </c>
      <c r="B1006" s="6" t="s">
        <v>61</v>
      </c>
      <c r="C1006" s="6" t="s">
        <v>932</v>
      </c>
      <c r="D1006" s="6" t="s">
        <v>1188</v>
      </c>
    </row>
    <row r="1007" customFormat="false" ht="23.85" hidden="false" customHeight="false" outlineLevel="0" collapsed="false">
      <c r="A1007" s="6" t="s">
        <v>111</v>
      </c>
      <c r="B1007" s="6" t="s">
        <v>86</v>
      </c>
      <c r="C1007" s="6" t="s">
        <v>932</v>
      </c>
      <c r="D1007" s="6" t="s">
        <v>1479</v>
      </c>
    </row>
    <row r="1008" customFormat="false" ht="15" hidden="false" customHeight="false" outlineLevel="0" collapsed="false">
      <c r="A1008" s="6" t="s">
        <v>111</v>
      </c>
      <c r="B1008" s="6" t="s">
        <v>86</v>
      </c>
      <c r="C1008" s="6" t="s">
        <v>932</v>
      </c>
      <c r="D1008" s="6" t="s">
        <v>1398</v>
      </c>
    </row>
    <row r="1009" customFormat="false" ht="15" hidden="false" customHeight="false" outlineLevel="0" collapsed="false">
      <c r="A1009" s="6" t="s">
        <v>111</v>
      </c>
      <c r="B1009" s="6" t="s">
        <v>86</v>
      </c>
      <c r="C1009" s="6" t="s">
        <v>932</v>
      </c>
      <c r="D1009" s="6" t="s">
        <v>1480</v>
      </c>
    </row>
    <row r="1010" customFormat="false" ht="57.45" hidden="false" customHeight="false" outlineLevel="0" collapsed="false">
      <c r="A1010" s="6" t="s">
        <v>111</v>
      </c>
      <c r="B1010" s="6" t="s">
        <v>86</v>
      </c>
      <c r="C1010" s="6" t="s">
        <v>932</v>
      </c>
      <c r="D1010" s="6" t="s">
        <v>1104</v>
      </c>
    </row>
    <row r="1011" customFormat="false" ht="46.25" hidden="false" customHeight="false" outlineLevel="0" collapsed="false">
      <c r="A1011" s="6" t="s">
        <v>111</v>
      </c>
      <c r="B1011" s="6" t="s">
        <v>86</v>
      </c>
      <c r="C1011" s="6" t="s">
        <v>932</v>
      </c>
      <c r="D1011" s="6" t="s">
        <v>1481</v>
      </c>
    </row>
    <row r="1012" customFormat="false" ht="46.25" hidden="false" customHeight="false" outlineLevel="0" collapsed="false">
      <c r="A1012" s="6" t="s">
        <v>111</v>
      </c>
      <c r="B1012" s="6" t="s">
        <v>86</v>
      </c>
      <c r="C1012" s="6" t="s">
        <v>932</v>
      </c>
      <c r="D1012" s="6" t="s">
        <v>1482</v>
      </c>
    </row>
    <row r="1013" customFormat="false" ht="23.85" hidden="false" customHeight="false" outlineLevel="0" collapsed="false">
      <c r="A1013" s="6" t="s">
        <v>111</v>
      </c>
      <c r="B1013" s="6" t="s">
        <v>86</v>
      </c>
      <c r="C1013" s="6" t="s">
        <v>932</v>
      </c>
      <c r="D1013" s="6" t="s">
        <v>1483</v>
      </c>
    </row>
    <row r="1014" customFormat="false" ht="35.05" hidden="false" customHeight="false" outlineLevel="0" collapsed="false">
      <c r="A1014" s="6" t="s">
        <v>111</v>
      </c>
      <c r="B1014" s="6" t="s">
        <v>86</v>
      </c>
      <c r="C1014" s="6" t="s">
        <v>932</v>
      </c>
      <c r="D1014" s="6" t="s">
        <v>994</v>
      </c>
    </row>
    <row r="1015" customFormat="false" ht="15" hidden="false" customHeight="false" outlineLevel="0" collapsed="false">
      <c r="A1015" s="6" t="s">
        <v>111</v>
      </c>
      <c r="B1015" s="6" t="s">
        <v>86</v>
      </c>
      <c r="C1015" s="6" t="s">
        <v>932</v>
      </c>
      <c r="D1015" s="6" t="s">
        <v>951</v>
      </c>
    </row>
    <row r="1016" customFormat="false" ht="46.25" hidden="false" customHeight="false" outlineLevel="0" collapsed="false">
      <c r="A1016" s="6" t="s">
        <v>111</v>
      </c>
      <c r="B1016" s="6" t="s">
        <v>86</v>
      </c>
      <c r="C1016" s="6" t="s">
        <v>932</v>
      </c>
      <c r="D1016" s="6" t="s">
        <v>988</v>
      </c>
    </row>
    <row r="1017" customFormat="false" ht="23.85" hidden="false" customHeight="false" outlineLevel="0" collapsed="false">
      <c r="A1017" s="6" t="s">
        <v>111</v>
      </c>
      <c r="B1017" s="6" t="s">
        <v>86</v>
      </c>
      <c r="C1017" s="6" t="s">
        <v>932</v>
      </c>
      <c r="D1017" s="6" t="s">
        <v>995</v>
      </c>
    </row>
    <row r="1018" customFormat="false" ht="15" hidden="false" customHeight="false" outlineLevel="0" collapsed="false">
      <c r="A1018" s="6" t="s">
        <v>111</v>
      </c>
      <c r="B1018" s="6" t="s">
        <v>86</v>
      </c>
      <c r="C1018" s="6" t="s">
        <v>932</v>
      </c>
      <c r="D1018" s="6" t="s">
        <v>1484</v>
      </c>
    </row>
    <row r="1019" customFormat="false" ht="23.85" hidden="false" customHeight="false" outlineLevel="0" collapsed="false">
      <c r="A1019" s="6" t="s">
        <v>111</v>
      </c>
      <c r="B1019" s="6" t="s">
        <v>86</v>
      </c>
      <c r="C1019" s="6" t="s">
        <v>932</v>
      </c>
      <c r="D1019" s="6" t="s">
        <v>996</v>
      </c>
    </row>
    <row r="1020" customFormat="false" ht="46.25" hidden="false" customHeight="false" outlineLevel="0" collapsed="false">
      <c r="A1020" s="6" t="s">
        <v>111</v>
      </c>
      <c r="B1020" s="6" t="s">
        <v>86</v>
      </c>
      <c r="C1020" s="6" t="s">
        <v>932</v>
      </c>
      <c r="D1020" s="6" t="s">
        <v>1003</v>
      </c>
    </row>
    <row r="1021" customFormat="false" ht="23.85" hidden="false" customHeight="false" outlineLevel="0" collapsed="false">
      <c r="A1021" s="6" t="s">
        <v>111</v>
      </c>
      <c r="B1021" s="6" t="s">
        <v>86</v>
      </c>
      <c r="C1021" s="6" t="s">
        <v>932</v>
      </c>
      <c r="D1021" s="6" t="s">
        <v>1085</v>
      </c>
    </row>
    <row r="1022" customFormat="false" ht="57.45" hidden="false" customHeight="false" outlineLevel="0" collapsed="false">
      <c r="A1022" s="6" t="s">
        <v>111</v>
      </c>
      <c r="B1022" s="6" t="s">
        <v>86</v>
      </c>
      <c r="C1022" s="6" t="s">
        <v>932</v>
      </c>
      <c r="D1022" s="6" t="s">
        <v>1413</v>
      </c>
    </row>
    <row r="1023" customFormat="false" ht="46.25" hidden="false" customHeight="false" outlineLevel="0" collapsed="false">
      <c r="A1023" s="6" t="s">
        <v>111</v>
      </c>
      <c r="B1023" s="6" t="s">
        <v>86</v>
      </c>
      <c r="C1023" s="6" t="s">
        <v>932</v>
      </c>
      <c r="D1023" s="6" t="s">
        <v>1051</v>
      </c>
    </row>
    <row r="1024" customFormat="false" ht="46.25" hidden="false" customHeight="false" outlineLevel="0" collapsed="false">
      <c r="A1024" s="6" t="s">
        <v>111</v>
      </c>
      <c r="B1024" s="6" t="s">
        <v>86</v>
      </c>
      <c r="C1024" s="6" t="s">
        <v>932</v>
      </c>
      <c r="D1024" s="6" t="s">
        <v>1053</v>
      </c>
    </row>
    <row r="1025" customFormat="false" ht="35.05" hidden="false" customHeight="false" outlineLevel="0" collapsed="false">
      <c r="A1025" s="6" t="s">
        <v>111</v>
      </c>
      <c r="B1025" s="6" t="s">
        <v>109</v>
      </c>
      <c r="C1025" s="6" t="s">
        <v>932</v>
      </c>
      <c r="D1025" s="6" t="s">
        <v>1432</v>
      </c>
    </row>
    <row r="1026" customFormat="false" ht="23.85" hidden="false" customHeight="false" outlineLevel="0" collapsed="false">
      <c r="A1026" s="6" t="s">
        <v>111</v>
      </c>
      <c r="B1026" s="6" t="s">
        <v>95</v>
      </c>
      <c r="C1026" s="6" t="s">
        <v>932</v>
      </c>
      <c r="D1026" s="6" t="s">
        <v>1091</v>
      </c>
    </row>
    <row r="1027" customFormat="false" ht="46.25" hidden="false" customHeight="false" outlineLevel="0" collapsed="false">
      <c r="A1027" s="6" t="s">
        <v>111</v>
      </c>
      <c r="B1027" s="6" t="s">
        <v>186</v>
      </c>
      <c r="C1027" s="6" t="s">
        <v>932</v>
      </c>
      <c r="D1027" s="6" t="s">
        <v>411</v>
      </c>
    </row>
    <row r="1028" customFormat="false" ht="35.05" hidden="false" customHeight="false" outlineLevel="0" collapsed="false">
      <c r="A1028" s="6" t="s">
        <v>111</v>
      </c>
      <c r="B1028" s="6" t="s">
        <v>186</v>
      </c>
      <c r="C1028" s="6" t="s">
        <v>932</v>
      </c>
      <c r="D1028" s="6" t="s">
        <v>1435</v>
      </c>
    </row>
    <row r="1029" customFormat="false" ht="46.25" hidden="false" customHeight="false" outlineLevel="0" collapsed="false">
      <c r="A1029" s="6" t="s">
        <v>111</v>
      </c>
      <c r="B1029" s="6" t="s">
        <v>186</v>
      </c>
      <c r="C1029" s="6" t="s">
        <v>932</v>
      </c>
      <c r="D1029" s="6" t="s">
        <v>1027</v>
      </c>
    </row>
    <row r="1030" customFormat="false" ht="23.85" hidden="false" customHeight="false" outlineLevel="0" collapsed="false">
      <c r="A1030" s="6" t="s">
        <v>111</v>
      </c>
      <c r="B1030" s="6" t="s">
        <v>186</v>
      </c>
      <c r="C1030" s="6" t="s">
        <v>932</v>
      </c>
      <c r="D1030" s="6" t="s">
        <v>1028</v>
      </c>
    </row>
    <row r="1031" customFormat="false" ht="35.05" hidden="false" customHeight="false" outlineLevel="0" collapsed="false">
      <c r="A1031" s="6" t="s">
        <v>111</v>
      </c>
      <c r="B1031" s="6" t="s">
        <v>186</v>
      </c>
      <c r="C1031" s="6" t="s">
        <v>932</v>
      </c>
      <c r="D1031" s="6" t="s">
        <v>1029</v>
      </c>
    </row>
    <row r="1032" customFormat="false" ht="15" hidden="false" customHeight="false" outlineLevel="0" collapsed="false">
      <c r="A1032" s="6" t="s">
        <v>111</v>
      </c>
      <c r="B1032" s="6" t="s">
        <v>186</v>
      </c>
      <c r="C1032" s="6" t="s">
        <v>932</v>
      </c>
      <c r="D1032" s="6" t="s">
        <v>1485</v>
      </c>
    </row>
    <row r="1033" customFormat="false" ht="23.85" hidden="false" customHeight="false" outlineLevel="0" collapsed="false">
      <c r="A1033" s="6" t="s">
        <v>111</v>
      </c>
      <c r="B1033" s="6" t="s">
        <v>186</v>
      </c>
      <c r="C1033" s="6" t="s">
        <v>932</v>
      </c>
      <c r="D1033" s="6" t="s">
        <v>1348</v>
      </c>
    </row>
    <row r="1034" customFormat="false" ht="15" hidden="false" customHeight="false" outlineLevel="0" collapsed="false">
      <c r="A1034" s="6" t="s">
        <v>111</v>
      </c>
      <c r="B1034" s="6" t="s">
        <v>186</v>
      </c>
      <c r="C1034" s="6" t="s">
        <v>932</v>
      </c>
      <c r="D1034" s="6" t="s">
        <v>1486</v>
      </c>
    </row>
    <row r="1035" customFormat="false" ht="46.25" hidden="false" customHeight="false" outlineLevel="0" collapsed="false">
      <c r="A1035" s="6" t="s">
        <v>111</v>
      </c>
      <c r="B1035" s="6" t="s">
        <v>186</v>
      </c>
      <c r="C1035" s="6" t="s">
        <v>932</v>
      </c>
      <c r="D1035" s="6" t="s">
        <v>1487</v>
      </c>
    </row>
    <row r="1036" customFormat="false" ht="23.85" hidden="false" customHeight="false" outlineLevel="0" collapsed="false">
      <c r="A1036" s="6" t="s">
        <v>111</v>
      </c>
      <c r="B1036" s="6" t="s">
        <v>186</v>
      </c>
      <c r="C1036" s="6" t="s">
        <v>932</v>
      </c>
      <c r="D1036" s="6" t="s">
        <v>1488</v>
      </c>
    </row>
    <row r="1037" customFormat="false" ht="35.05" hidden="false" customHeight="false" outlineLevel="0" collapsed="false">
      <c r="A1037" s="6" t="s">
        <v>111</v>
      </c>
      <c r="B1037" s="6" t="s">
        <v>186</v>
      </c>
      <c r="C1037" s="6" t="s">
        <v>932</v>
      </c>
      <c r="D1037" s="6" t="s">
        <v>1489</v>
      </c>
    </row>
    <row r="1038" customFormat="false" ht="35.05" hidden="false" customHeight="false" outlineLevel="0" collapsed="false">
      <c r="A1038" s="6" t="s">
        <v>111</v>
      </c>
      <c r="B1038" s="6" t="s">
        <v>186</v>
      </c>
      <c r="C1038" s="6" t="s">
        <v>932</v>
      </c>
      <c r="D1038" s="6" t="s">
        <v>1490</v>
      </c>
    </row>
    <row r="1039" customFormat="false" ht="15" hidden="false" customHeight="false" outlineLevel="0" collapsed="false">
      <c r="A1039" s="6" t="s">
        <v>111</v>
      </c>
      <c r="B1039" s="6" t="s">
        <v>186</v>
      </c>
      <c r="C1039" s="6" t="s">
        <v>932</v>
      </c>
      <c r="D1039" s="6" t="s">
        <v>1491</v>
      </c>
    </row>
    <row r="1040" customFormat="false" ht="15" hidden="false" customHeight="false" outlineLevel="0" collapsed="false">
      <c r="A1040" s="6" t="s">
        <v>111</v>
      </c>
      <c r="B1040" s="6" t="s">
        <v>229</v>
      </c>
      <c r="C1040" s="6" t="s">
        <v>932</v>
      </c>
      <c r="D1040" s="6" t="s">
        <v>1492</v>
      </c>
    </row>
    <row r="1041" customFormat="false" ht="35.05" hidden="false" customHeight="false" outlineLevel="0" collapsed="false">
      <c r="A1041" s="6" t="s">
        <v>111</v>
      </c>
      <c r="B1041" s="6" t="s">
        <v>229</v>
      </c>
      <c r="C1041" s="6" t="s">
        <v>932</v>
      </c>
      <c r="D1041" s="6" t="s">
        <v>1493</v>
      </c>
    </row>
    <row r="1042" customFormat="false" ht="23.85" hidden="false" customHeight="false" outlineLevel="0" collapsed="false">
      <c r="A1042" s="6" t="s">
        <v>111</v>
      </c>
      <c r="B1042" s="6" t="s">
        <v>229</v>
      </c>
      <c r="C1042" s="6" t="s">
        <v>932</v>
      </c>
      <c r="D1042" s="6" t="s">
        <v>1494</v>
      </c>
    </row>
    <row r="1043" customFormat="false" ht="35.05" hidden="false" customHeight="false" outlineLevel="0" collapsed="false">
      <c r="A1043" s="6" t="s">
        <v>111</v>
      </c>
      <c r="B1043" s="6" t="s">
        <v>229</v>
      </c>
      <c r="C1043" s="6" t="s">
        <v>932</v>
      </c>
      <c r="D1043" s="6" t="s">
        <v>401</v>
      </c>
    </row>
    <row r="1044" customFormat="false" ht="23.85" hidden="false" customHeight="false" outlineLevel="0" collapsed="false">
      <c r="A1044" s="6" t="s">
        <v>111</v>
      </c>
      <c r="B1044" s="6" t="s">
        <v>229</v>
      </c>
      <c r="C1044" s="6" t="s">
        <v>932</v>
      </c>
      <c r="D1044" s="6" t="s">
        <v>1266</v>
      </c>
    </row>
    <row r="1045" customFormat="false" ht="23.85" hidden="false" customHeight="false" outlineLevel="0" collapsed="false">
      <c r="A1045" s="6" t="s">
        <v>111</v>
      </c>
      <c r="B1045" s="6" t="s">
        <v>229</v>
      </c>
      <c r="C1045" s="6" t="s">
        <v>932</v>
      </c>
      <c r="D1045" s="6" t="s">
        <v>1267</v>
      </c>
    </row>
    <row r="1046" customFormat="false" ht="15" hidden="false" customHeight="false" outlineLevel="0" collapsed="false">
      <c r="A1046" s="6" t="s">
        <v>111</v>
      </c>
      <c r="B1046" s="6" t="s">
        <v>229</v>
      </c>
      <c r="C1046" s="6" t="s">
        <v>932</v>
      </c>
      <c r="D1046" s="6" t="s">
        <v>1495</v>
      </c>
    </row>
    <row r="1047" customFormat="false" ht="46.25" hidden="false" customHeight="false" outlineLevel="0" collapsed="false">
      <c r="A1047" s="6" t="s">
        <v>111</v>
      </c>
      <c r="B1047" s="6" t="s">
        <v>229</v>
      </c>
      <c r="C1047" s="6" t="s">
        <v>932</v>
      </c>
      <c r="D1047" s="6" t="s">
        <v>1496</v>
      </c>
    </row>
    <row r="1048" customFormat="false" ht="46.25" hidden="false" customHeight="false" outlineLevel="0" collapsed="false">
      <c r="A1048" s="6" t="s">
        <v>111</v>
      </c>
      <c r="B1048" s="6" t="s">
        <v>1440</v>
      </c>
      <c r="C1048" s="6" t="s">
        <v>932</v>
      </c>
      <c r="D1048" s="6" t="s">
        <v>1451</v>
      </c>
    </row>
    <row r="1049" customFormat="false" ht="15" hidden="false" customHeight="false" outlineLevel="0" collapsed="false">
      <c r="A1049" s="6" t="s">
        <v>111</v>
      </c>
      <c r="B1049" s="6" t="s">
        <v>330</v>
      </c>
      <c r="C1049" s="6" t="s">
        <v>932</v>
      </c>
      <c r="D1049" s="6" t="s">
        <v>1453</v>
      </c>
    </row>
    <row r="1050" customFormat="false" ht="46.25" hidden="false" customHeight="false" outlineLevel="0" collapsed="false">
      <c r="A1050" s="6" t="s">
        <v>111</v>
      </c>
      <c r="B1050" s="6" t="s">
        <v>330</v>
      </c>
      <c r="C1050" s="6" t="s">
        <v>932</v>
      </c>
      <c r="D1050" s="6" t="s">
        <v>1455</v>
      </c>
    </row>
    <row r="1051" customFormat="false" ht="23.85" hidden="false" customHeight="false" outlineLevel="0" collapsed="false">
      <c r="A1051" s="6" t="s">
        <v>111</v>
      </c>
      <c r="B1051" s="6" t="s">
        <v>330</v>
      </c>
      <c r="C1051" s="6" t="s">
        <v>932</v>
      </c>
      <c r="D1051" s="6" t="s">
        <v>1497</v>
      </c>
    </row>
    <row r="1052" customFormat="false" ht="15" hidden="false" customHeight="false" outlineLevel="0" collapsed="false">
      <c r="A1052" s="6" t="s">
        <v>111</v>
      </c>
      <c r="B1052" s="6" t="s">
        <v>330</v>
      </c>
      <c r="C1052" s="6" t="s">
        <v>932</v>
      </c>
      <c r="D1052" s="6" t="s">
        <v>1498</v>
      </c>
    </row>
    <row r="1053" customFormat="false" ht="23.85" hidden="false" customHeight="false" outlineLevel="0" collapsed="false">
      <c r="A1053" s="6" t="s">
        <v>111</v>
      </c>
      <c r="B1053" s="6" t="s">
        <v>330</v>
      </c>
      <c r="C1053" s="6" t="s">
        <v>932</v>
      </c>
      <c r="D1053" s="6" t="s">
        <v>1459</v>
      </c>
    </row>
    <row r="1054" customFormat="false" ht="15" hidden="false" customHeight="false" outlineLevel="0" collapsed="false">
      <c r="A1054" s="6" t="s">
        <v>111</v>
      </c>
      <c r="B1054" s="6" t="s">
        <v>330</v>
      </c>
      <c r="C1054" s="6" t="s">
        <v>932</v>
      </c>
      <c r="D1054" s="6" t="s">
        <v>1499</v>
      </c>
    </row>
    <row r="1055" customFormat="false" ht="23.85" hidden="false" customHeight="false" outlineLevel="0" collapsed="false">
      <c r="A1055" s="6" t="s">
        <v>111</v>
      </c>
      <c r="B1055" s="6" t="s">
        <v>330</v>
      </c>
      <c r="C1055" s="6" t="s">
        <v>932</v>
      </c>
      <c r="D1055" s="6" t="s">
        <v>1500</v>
      </c>
    </row>
    <row r="1056" customFormat="false" ht="23.85" hidden="false" customHeight="false" outlineLevel="0" collapsed="false">
      <c r="A1056" s="6" t="s">
        <v>111</v>
      </c>
      <c r="B1056" s="6" t="s">
        <v>168</v>
      </c>
      <c r="C1056" s="6" t="s">
        <v>932</v>
      </c>
      <c r="D1056" s="6" t="s">
        <v>1501</v>
      </c>
    </row>
    <row r="1057" customFormat="false" ht="23.85" hidden="false" customHeight="false" outlineLevel="0" collapsed="false">
      <c r="A1057" s="6" t="s">
        <v>111</v>
      </c>
      <c r="B1057" s="6" t="s">
        <v>168</v>
      </c>
      <c r="C1057" s="6" t="s">
        <v>932</v>
      </c>
      <c r="D1057" s="6" t="s">
        <v>1502</v>
      </c>
    </row>
    <row r="1058" customFormat="false" ht="15" hidden="false" customHeight="false" outlineLevel="0" collapsed="false">
      <c r="A1058" s="6" t="s">
        <v>111</v>
      </c>
      <c r="B1058" s="6" t="s">
        <v>168</v>
      </c>
      <c r="C1058" s="6" t="s">
        <v>932</v>
      </c>
      <c r="D1058" s="6" t="s">
        <v>1503</v>
      </c>
    </row>
    <row r="1059" customFormat="false" ht="15" hidden="false" customHeight="false" outlineLevel="0" collapsed="false">
      <c r="A1059" s="6" t="s">
        <v>111</v>
      </c>
      <c r="B1059" s="6" t="s">
        <v>168</v>
      </c>
      <c r="C1059" s="6" t="s">
        <v>932</v>
      </c>
      <c r="D1059" s="6" t="s">
        <v>1504</v>
      </c>
    </row>
    <row r="1060" customFormat="false" ht="35.05" hidden="false" customHeight="false" outlineLevel="0" collapsed="false">
      <c r="A1060" s="6" t="s">
        <v>111</v>
      </c>
      <c r="B1060" s="6" t="s">
        <v>168</v>
      </c>
      <c r="C1060" s="6" t="s">
        <v>932</v>
      </c>
      <c r="D1060" s="6" t="s">
        <v>1505</v>
      </c>
    </row>
    <row r="1061" customFormat="false" ht="23.85" hidden="false" customHeight="false" outlineLevel="0" collapsed="false">
      <c r="A1061" s="6" t="s">
        <v>111</v>
      </c>
      <c r="B1061" s="6" t="s">
        <v>168</v>
      </c>
      <c r="C1061" s="6" t="s">
        <v>932</v>
      </c>
      <c r="D1061" s="6" t="s">
        <v>1506</v>
      </c>
    </row>
    <row r="1062" customFormat="false" ht="23.85" hidden="false" customHeight="false" outlineLevel="0" collapsed="false">
      <c r="A1062" s="6" t="s">
        <v>111</v>
      </c>
      <c r="B1062" s="6" t="s">
        <v>168</v>
      </c>
      <c r="C1062" s="6" t="s">
        <v>932</v>
      </c>
      <c r="D1062" s="6" t="s">
        <v>1507</v>
      </c>
    </row>
    <row r="1063" customFormat="false" ht="23.85" hidden="false" customHeight="false" outlineLevel="0" collapsed="false">
      <c r="A1063" s="6" t="s">
        <v>111</v>
      </c>
      <c r="B1063" s="6" t="s">
        <v>168</v>
      </c>
      <c r="C1063" s="6" t="s">
        <v>932</v>
      </c>
      <c r="D1063" s="6" t="s">
        <v>1508</v>
      </c>
    </row>
    <row r="1064" customFormat="false" ht="23.85" hidden="false" customHeight="false" outlineLevel="0" collapsed="false">
      <c r="A1064" s="6" t="s">
        <v>111</v>
      </c>
      <c r="B1064" s="6" t="s">
        <v>168</v>
      </c>
      <c r="C1064" s="6" t="s">
        <v>932</v>
      </c>
      <c r="D1064" s="6" t="s">
        <v>1464</v>
      </c>
    </row>
    <row r="1065" customFormat="false" ht="23.85" hidden="false" customHeight="false" outlineLevel="0" collapsed="false">
      <c r="A1065" s="6" t="s">
        <v>111</v>
      </c>
      <c r="B1065" s="6" t="s">
        <v>168</v>
      </c>
      <c r="C1065" s="6" t="s">
        <v>932</v>
      </c>
      <c r="D1065" s="6" t="s">
        <v>596</v>
      </c>
    </row>
    <row r="1066" customFormat="false" ht="35.05" hidden="false" customHeight="false" outlineLevel="0" collapsed="false">
      <c r="A1066" s="6" t="s">
        <v>111</v>
      </c>
      <c r="B1066" s="6" t="s">
        <v>190</v>
      </c>
      <c r="C1066" s="6" t="s">
        <v>932</v>
      </c>
      <c r="D1066" s="6" t="s">
        <v>1077</v>
      </c>
    </row>
    <row r="1067" customFormat="false" ht="35.05" hidden="false" customHeight="false" outlineLevel="0" collapsed="false">
      <c r="A1067" s="6" t="s">
        <v>111</v>
      </c>
      <c r="B1067" s="6" t="s">
        <v>190</v>
      </c>
      <c r="C1067" s="6" t="s">
        <v>932</v>
      </c>
      <c r="D1067" s="6" t="s">
        <v>1509</v>
      </c>
    </row>
    <row r="1068" customFormat="false" ht="35.05" hidden="false" customHeight="false" outlineLevel="0" collapsed="false">
      <c r="A1068" s="6" t="s">
        <v>111</v>
      </c>
      <c r="B1068" s="6" t="s">
        <v>146</v>
      </c>
      <c r="C1068" s="6" t="s">
        <v>932</v>
      </c>
      <c r="D1068" s="6" t="s">
        <v>1357</v>
      </c>
    </row>
    <row r="1069" customFormat="false" ht="15" hidden="false" customHeight="false" outlineLevel="0" collapsed="false">
      <c r="A1069" s="6" t="s">
        <v>111</v>
      </c>
      <c r="B1069" s="6" t="s">
        <v>146</v>
      </c>
      <c r="C1069" s="6" t="s">
        <v>932</v>
      </c>
      <c r="D1069" s="6" t="s">
        <v>1510</v>
      </c>
    </row>
    <row r="1070" customFormat="false" ht="35.05" hidden="false" customHeight="false" outlineLevel="0" collapsed="false">
      <c r="A1070" s="6" t="s">
        <v>111</v>
      </c>
      <c r="B1070" s="6" t="s">
        <v>99</v>
      </c>
      <c r="C1070" s="6" t="s">
        <v>932</v>
      </c>
      <c r="D1070" s="6" t="s">
        <v>225</v>
      </c>
    </row>
    <row r="1071" customFormat="false" ht="23.85" hidden="false" customHeight="false" outlineLevel="0" collapsed="false">
      <c r="A1071" s="6" t="s">
        <v>111</v>
      </c>
      <c r="B1071" s="6" t="s">
        <v>99</v>
      </c>
      <c r="C1071" s="6" t="s">
        <v>932</v>
      </c>
      <c r="D1071" s="6" t="s">
        <v>957</v>
      </c>
    </row>
    <row r="1072" customFormat="false" ht="23.85" hidden="false" customHeight="false" outlineLevel="0" collapsed="false">
      <c r="A1072" s="6" t="s">
        <v>111</v>
      </c>
      <c r="B1072" s="6" t="s">
        <v>99</v>
      </c>
      <c r="C1072" s="6" t="s">
        <v>932</v>
      </c>
      <c r="D1072" s="6" t="s">
        <v>1511</v>
      </c>
    </row>
    <row r="1073" customFormat="false" ht="15" hidden="false" customHeight="false" outlineLevel="0" collapsed="false">
      <c r="A1073" s="6" t="s">
        <v>111</v>
      </c>
      <c r="B1073" s="6" t="s">
        <v>99</v>
      </c>
      <c r="C1073" s="6" t="s">
        <v>932</v>
      </c>
      <c r="D1073" s="6" t="s">
        <v>1470</v>
      </c>
    </row>
    <row r="1074" customFormat="false" ht="15" hidden="false" customHeight="false" outlineLevel="0" collapsed="false">
      <c r="A1074" s="6" t="s">
        <v>111</v>
      </c>
      <c r="B1074" s="6" t="s">
        <v>80</v>
      </c>
      <c r="C1074" s="6" t="s">
        <v>932</v>
      </c>
      <c r="D1074" s="6" t="s">
        <v>1512</v>
      </c>
    </row>
    <row r="1075" customFormat="false" ht="23.85" hidden="false" customHeight="false" outlineLevel="0" collapsed="false">
      <c r="A1075" s="6" t="s">
        <v>111</v>
      </c>
      <c r="B1075" s="6" t="s">
        <v>80</v>
      </c>
      <c r="C1075" s="6" t="s">
        <v>932</v>
      </c>
      <c r="D1075" s="6" t="s">
        <v>1513</v>
      </c>
    </row>
    <row r="1076" customFormat="false" ht="79.85" hidden="false" customHeight="false" outlineLevel="0" collapsed="false">
      <c r="A1076" s="6" t="s">
        <v>111</v>
      </c>
      <c r="B1076" s="6" t="s">
        <v>80</v>
      </c>
      <c r="C1076" s="6" t="s">
        <v>932</v>
      </c>
      <c r="D1076" s="6" t="s">
        <v>87</v>
      </c>
    </row>
    <row r="1077" customFormat="false" ht="15" hidden="false" customHeight="false" outlineLevel="0" collapsed="false">
      <c r="A1077" s="6" t="s">
        <v>111</v>
      </c>
      <c r="B1077" s="6" t="s">
        <v>80</v>
      </c>
      <c r="C1077" s="6" t="s">
        <v>932</v>
      </c>
      <c r="D1077" s="6" t="s">
        <v>1514</v>
      </c>
    </row>
    <row r="1078" customFormat="false" ht="23.85" hidden="false" customHeight="false" outlineLevel="0" collapsed="false">
      <c r="A1078" s="6" t="s">
        <v>111</v>
      </c>
      <c r="B1078" s="6" t="s">
        <v>80</v>
      </c>
      <c r="C1078" s="6" t="s">
        <v>932</v>
      </c>
      <c r="D1078" s="6" t="s">
        <v>1515</v>
      </c>
    </row>
    <row r="1079" customFormat="false" ht="35.05" hidden="false" customHeight="false" outlineLevel="0" collapsed="false">
      <c r="A1079" s="6" t="s">
        <v>111</v>
      </c>
      <c r="B1079" s="6" t="s">
        <v>80</v>
      </c>
      <c r="C1079" s="6" t="s">
        <v>932</v>
      </c>
      <c r="D1079" s="6" t="s">
        <v>1133</v>
      </c>
    </row>
    <row r="1080" customFormat="false" ht="23.85" hidden="false" customHeight="false" outlineLevel="0" collapsed="false">
      <c r="A1080" s="6" t="s">
        <v>111</v>
      </c>
      <c r="B1080" s="6" t="s">
        <v>80</v>
      </c>
      <c r="C1080" s="6" t="s">
        <v>932</v>
      </c>
      <c r="D1080" s="6" t="s">
        <v>1516</v>
      </c>
    </row>
    <row r="1081" customFormat="false" ht="35.05" hidden="false" customHeight="false" outlineLevel="0" collapsed="false">
      <c r="A1081" s="6" t="s">
        <v>111</v>
      </c>
      <c r="B1081" s="6" t="s">
        <v>80</v>
      </c>
      <c r="C1081" s="6" t="s">
        <v>932</v>
      </c>
      <c r="D1081" s="6" t="s">
        <v>114</v>
      </c>
    </row>
    <row r="1082" customFormat="false" ht="23.85" hidden="false" customHeight="false" outlineLevel="0" collapsed="false">
      <c r="A1082" s="6" t="s">
        <v>111</v>
      </c>
      <c r="B1082" s="6" t="s">
        <v>80</v>
      </c>
      <c r="C1082" s="6" t="s">
        <v>932</v>
      </c>
      <c r="D1082" s="6" t="s">
        <v>1517</v>
      </c>
    </row>
    <row r="1083" customFormat="false" ht="15" hidden="false" customHeight="false" outlineLevel="0" collapsed="false">
      <c r="A1083" s="6" t="s">
        <v>111</v>
      </c>
      <c r="B1083" s="6" t="s">
        <v>80</v>
      </c>
      <c r="C1083" s="6" t="s">
        <v>932</v>
      </c>
      <c r="D1083" s="6" t="s">
        <v>1518</v>
      </c>
    </row>
    <row r="1084" customFormat="false" ht="15" hidden="false" customHeight="false" outlineLevel="0" collapsed="false">
      <c r="A1084" s="6" t="s">
        <v>111</v>
      </c>
      <c r="B1084" s="6" t="s">
        <v>80</v>
      </c>
      <c r="C1084" s="6" t="s">
        <v>932</v>
      </c>
      <c r="D1084" s="6" t="s">
        <v>1519</v>
      </c>
    </row>
    <row r="1085" customFormat="false" ht="79.85" hidden="false" customHeight="false" outlineLevel="0" collapsed="false">
      <c r="A1085" s="6" t="s">
        <v>111</v>
      </c>
      <c r="B1085" s="6" t="s">
        <v>80</v>
      </c>
      <c r="C1085" s="6" t="s">
        <v>1136</v>
      </c>
      <c r="D1085" s="6" t="s">
        <v>1137</v>
      </c>
    </row>
    <row r="1086" customFormat="false" ht="35.05" hidden="false" customHeight="false" outlineLevel="0" collapsed="false">
      <c r="A1086" s="6" t="s">
        <v>560</v>
      </c>
      <c r="B1086" s="6" t="s">
        <v>75</v>
      </c>
      <c r="C1086" s="6" t="s">
        <v>932</v>
      </c>
      <c r="D1086" s="6" t="s">
        <v>546</v>
      </c>
    </row>
    <row r="1087" customFormat="false" ht="15" hidden="false" customHeight="false" outlineLevel="0" collapsed="false">
      <c r="A1087" s="6" t="s">
        <v>560</v>
      </c>
      <c r="B1087" s="6" t="s">
        <v>75</v>
      </c>
      <c r="C1087" s="6" t="s">
        <v>932</v>
      </c>
      <c r="D1087" s="6" t="s">
        <v>1520</v>
      </c>
    </row>
    <row r="1088" customFormat="false" ht="35.05" hidden="false" customHeight="false" outlineLevel="0" collapsed="false">
      <c r="A1088" s="6" t="s">
        <v>560</v>
      </c>
      <c r="B1088" s="6" t="s">
        <v>75</v>
      </c>
      <c r="C1088" s="6" t="s">
        <v>932</v>
      </c>
      <c r="D1088" s="6" t="s">
        <v>501</v>
      </c>
    </row>
    <row r="1089" customFormat="false" ht="23.85" hidden="false" customHeight="false" outlineLevel="0" collapsed="false">
      <c r="A1089" s="6" t="s">
        <v>525</v>
      </c>
      <c r="B1089" s="6" t="s">
        <v>86</v>
      </c>
      <c r="C1089" s="6" t="s">
        <v>932</v>
      </c>
      <c r="D1089" s="6" t="s">
        <v>1048</v>
      </c>
    </row>
    <row r="1090" customFormat="false" ht="35.05" hidden="false" customHeight="false" outlineLevel="0" collapsed="false">
      <c r="A1090" s="6" t="s">
        <v>525</v>
      </c>
      <c r="B1090" s="6" t="s">
        <v>86</v>
      </c>
      <c r="C1090" s="6" t="s">
        <v>932</v>
      </c>
      <c r="D1090" s="6" t="s">
        <v>964</v>
      </c>
    </row>
    <row r="1091" customFormat="false" ht="23.85" hidden="false" customHeight="false" outlineLevel="0" collapsed="false">
      <c r="A1091" s="6" t="s">
        <v>525</v>
      </c>
      <c r="B1091" s="6" t="s">
        <v>86</v>
      </c>
      <c r="C1091" s="6" t="s">
        <v>932</v>
      </c>
      <c r="D1091" s="6" t="s">
        <v>1159</v>
      </c>
    </row>
    <row r="1092" customFormat="false" ht="46.25" hidden="false" customHeight="false" outlineLevel="0" collapsed="false">
      <c r="A1092" s="6" t="s">
        <v>525</v>
      </c>
      <c r="B1092" s="6" t="s">
        <v>229</v>
      </c>
      <c r="C1092" s="6" t="s">
        <v>932</v>
      </c>
      <c r="D1092" s="6" t="s">
        <v>1167</v>
      </c>
    </row>
    <row r="1093" customFormat="false" ht="23.85" hidden="false" customHeight="false" outlineLevel="0" collapsed="false">
      <c r="A1093" s="6" t="s">
        <v>525</v>
      </c>
      <c r="B1093" s="6" t="s">
        <v>229</v>
      </c>
      <c r="C1093" s="6" t="s">
        <v>932</v>
      </c>
      <c r="D1093" s="6" t="s">
        <v>513</v>
      </c>
    </row>
    <row r="1094" customFormat="false" ht="23.85" hidden="false" customHeight="false" outlineLevel="0" collapsed="false">
      <c r="A1094" s="6" t="s">
        <v>525</v>
      </c>
      <c r="B1094" s="6" t="s">
        <v>229</v>
      </c>
      <c r="C1094" s="6" t="s">
        <v>932</v>
      </c>
      <c r="D1094" s="6" t="s">
        <v>1325</v>
      </c>
    </row>
    <row r="1095" customFormat="false" ht="23.85" hidden="false" customHeight="false" outlineLevel="0" collapsed="false">
      <c r="A1095" s="6" t="s">
        <v>525</v>
      </c>
      <c r="B1095" s="6" t="s">
        <v>146</v>
      </c>
      <c r="C1095" s="6" t="s">
        <v>932</v>
      </c>
      <c r="D1095" s="6" t="s">
        <v>972</v>
      </c>
    </row>
    <row r="1096" customFormat="false" ht="23.85" hidden="false" customHeight="false" outlineLevel="0" collapsed="false">
      <c r="A1096" s="6" t="s">
        <v>525</v>
      </c>
      <c r="B1096" s="6" t="s">
        <v>146</v>
      </c>
      <c r="C1096" s="6" t="s">
        <v>932</v>
      </c>
      <c r="D1096" s="6" t="s">
        <v>528</v>
      </c>
    </row>
    <row r="1097" customFormat="false" ht="23.85" hidden="false" customHeight="false" outlineLevel="0" collapsed="false">
      <c r="A1097" s="6" t="s">
        <v>306</v>
      </c>
      <c r="B1097" s="6" t="s">
        <v>61</v>
      </c>
      <c r="C1097" s="6" t="s">
        <v>932</v>
      </c>
      <c r="D1097" s="6" t="s">
        <v>1088</v>
      </c>
    </row>
    <row r="1098" customFormat="false" ht="35.05" hidden="false" customHeight="false" outlineLevel="0" collapsed="false">
      <c r="A1098" s="6" t="s">
        <v>306</v>
      </c>
      <c r="B1098" s="6" t="s">
        <v>61</v>
      </c>
      <c r="C1098" s="6" t="s">
        <v>932</v>
      </c>
      <c r="D1098" s="6" t="s">
        <v>1225</v>
      </c>
    </row>
    <row r="1099" customFormat="false" ht="46.25" hidden="false" customHeight="false" outlineLevel="0" collapsed="false">
      <c r="A1099" s="6" t="s">
        <v>306</v>
      </c>
      <c r="B1099" s="6" t="s">
        <v>61</v>
      </c>
      <c r="C1099" s="6" t="s">
        <v>932</v>
      </c>
      <c r="D1099" s="6" t="s">
        <v>1188</v>
      </c>
    </row>
    <row r="1100" customFormat="false" ht="23.85" hidden="false" customHeight="false" outlineLevel="0" collapsed="false">
      <c r="A1100" s="6" t="s">
        <v>306</v>
      </c>
      <c r="B1100" s="6" t="s">
        <v>86</v>
      </c>
      <c r="C1100" s="6" t="s">
        <v>932</v>
      </c>
      <c r="D1100" s="6" t="s">
        <v>251</v>
      </c>
    </row>
    <row r="1101" customFormat="false" ht="23.85" hidden="false" customHeight="false" outlineLevel="0" collapsed="false">
      <c r="A1101" s="6" t="s">
        <v>306</v>
      </c>
      <c r="B1101" s="6" t="s">
        <v>86</v>
      </c>
      <c r="C1101" s="6" t="s">
        <v>932</v>
      </c>
      <c r="D1101" s="6" t="s">
        <v>1521</v>
      </c>
    </row>
    <row r="1102" customFormat="false" ht="23.85" hidden="false" customHeight="false" outlineLevel="0" collapsed="false">
      <c r="A1102" s="6" t="s">
        <v>306</v>
      </c>
      <c r="B1102" s="6" t="s">
        <v>95</v>
      </c>
      <c r="C1102" s="6" t="s">
        <v>932</v>
      </c>
      <c r="D1102" s="6" t="s">
        <v>295</v>
      </c>
    </row>
    <row r="1103" customFormat="false" ht="15" hidden="false" customHeight="false" outlineLevel="0" collapsed="false">
      <c r="A1103" s="6" t="s">
        <v>306</v>
      </c>
      <c r="B1103" s="6" t="s">
        <v>95</v>
      </c>
      <c r="C1103" s="6" t="s">
        <v>932</v>
      </c>
      <c r="D1103" s="6" t="s">
        <v>1090</v>
      </c>
    </row>
    <row r="1104" customFormat="false" ht="23.85" hidden="false" customHeight="false" outlineLevel="0" collapsed="false">
      <c r="A1104" s="6" t="s">
        <v>306</v>
      </c>
      <c r="B1104" s="6" t="s">
        <v>95</v>
      </c>
      <c r="C1104" s="6" t="s">
        <v>932</v>
      </c>
      <c r="D1104" s="6" t="s">
        <v>1522</v>
      </c>
    </row>
    <row r="1105" customFormat="false" ht="35.05" hidden="false" customHeight="false" outlineLevel="0" collapsed="false">
      <c r="A1105" s="6" t="s">
        <v>306</v>
      </c>
      <c r="B1105" s="6" t="s">
        <v>95</v>
      </c>
      <c r="C1105" s="6" t="s">
        <v>932</v>
      </c>
      <c r="D1105" s="6" t="s">
        <v>1523</v>
      </c>
    </row>
    <row r="1106" customFormat="false" ht="46.25" hidden="false" customHeight="false" outlineLevel="0" collapsed="false">
      <c r="A1106" s="6" t="s">
        <v>306</v>
      </c>
      <c r="B1106" s="6" t="s">
        <v>95</v>
      </c>
      <c r="C1106" s="6" t="s">
        <v>932</v>
      </c>
      <c r="D1106" s="6" t="s">
        <v>110</v>
      </c>
    </row>
    <row r="1107" customFormat="false" ht="15" hidden="false" customHeight="false" outlineLevel="0" collapsed="false">
      <c r="A1107" s="6" t="s">
        <v>306</v>
      </c>
      <c r="B1107" s="6" t="s">
        <v>95</v>
      </c>
      <c r="C1107" s="6" t="s">
        <v>932</v>
      </c>
      <c r="D1107" s="6" t="s">
        <v>1524</v>
      </c>
    </row>
    <row r="1108" customFormat="false" ht="23.85" hidden="false" customHeight="false" outlineLevel="0" collapsed="false">
      <c r="A1108" s="6" t="s">
        <v>306</v>
      </c>
      <c r="B1108" s="6" t="s">
        <v>95</v>
      </c>
      <c r="C1108" s="6" t="s">
        <v>932</v>
      </c>
      <c r="D1108" s="6" t="s">
        <v>1525</v>
      </c>
    </row>
    <row r="1109" customFormat="false" ht="15" hidden="false" customHeight="false" outlineLevel="0" collapsed="false">
      <c r="A1109" s="6" t="s">
        <v>306</v>
      </c>
      <c r="B1109" s="6" t="s">
        <v>1440</v>
      </c>
      <c r="C1109" s="6" t="s">
        <v>932</v>
      </c>
      <c r="D1109" s="6" t="s">
        <v>1526</v>
      </c>
    </row>
    <row r="1110" customFormat="false" ht="15" hidden="false" customHeight="false" outlineLevel="0" collapsed="false">
      <c r="A1110" s="6" t="s">
        <v>306</v>
      </c>
      <c r="B1110" s="6" t="s">
        <v>1440</v>
      </c>
      <c r="C1110" s="6" t="s">
        <v>932</v>
      </c>
      <c r="D1110" s="6" t="s">
        <v>1443</v>
      </c>
    </row>
    <row r="1111" customFormat="false" ht="23.85" hidden="false" customHeight="false" outlineLevel="0" collapsed="false">
      <c r="A1111" s="6" t="s">
        <v>306</v>
      </c>
      <c r="B1111" s="6" t="s">
        <v>1440</v>
      </c>
      <c r="C1111" s="6" t="s">
        <v>932</v>
      </c>
      <c r="D1111" s="6" t="s">
        <v>1527</v>
      </c>
    </row>
    <row r="1112" customFormat="false" ht="23.85" hidden="false" customHeight="false" outlineLevel="0" collapsed="false">
      <c r="A1112" s="6" t="s">
        <v>306</v>
      </c>
      <c r="B1112" s="6" t="s">
        <v>1440</v>
      </c>
      <c r="C1112" s="6" t="s">
        <v>932</v>
      </c>
      <c r="D1112" s="6" t="s">
        <v>1446</v>
      </c>
    </row>
    <row r="1113" customFormat="false" ht="23.85" hidden="false" customHeight="false" outlineLevel="0" collapsed="false">
      <c r="A1113" s="6" t="s">
        <v>306</v>
      </c>
      <c r="B1113" s="6" t="s">
        <v>1440</v>
      </c>
      <c r="C1113" s="6" t="s">
        <v>932</v>
      </c>
      <c r="D1113" s="6" t="s">
        <v>1450</v>
      </c>
    </row>
    <row r="1114" customFormat="false" ht="23.85" hidden="false" customHeight="false" outlineLevel="0" collapsed="false">
      <c r="A1114" s="6" t="s">
        <v>306</v>
      </c>
      <c r="B1114" s="6" t="s">
        <v>99</v>
      </c>
      <c r="C1114" s="6" t="s">
        <v>1005</v>
      </c>
      <c r="D1114" s="6" t="s">
        <v>1006</v>
      </c>
    </row>
    <row r="1115" customFormat="false" ht="15" hidden="false" customHeight="false" outlineLevel="0" collapsed="false">
      <c r="A1115" s="6" t="s">
        <v>306</v>
      </c>
      <c r="B1115" s="6" t="s">
        <v>62</v>
      </c>
      <c r="C1115" s="6" t="s">
        <v>932</v>
      </c>
      <c r="D1115" s="6" t="s">
        <v>1528</v>
      </c>
    </row>
    <row r="1116" customFormat="false" ht="35.05" hidden="false" customHeight="false" outlineLevel="0" collapsed="false">
      <c r="A1116" s="6" t="s">
        <v>306</v>
      </c>
      <c r="B1116" s="6" t="s">
        <v>62</v>
      </c>
      <c r="C1116" s="6" t="s">
        <v>932</v>
      </c>
      <c r="D1116" s="6" t="s">
        <v>309</v>
      </c>
    </row>
    <row r="1117" customFormat="false" ht="23.85" hidden="false" customHeight="false" outlineLevel="0" collapsed="false">
      <c r="A1117" s="6" t="s">
        <v>355</v>
      </c>
      <c r="B1117" s="6" t="s">
        <v>61</v>
      </c>
      <c r="C1117" s="6" t="s">
        <v>932</v>
      </c>
      <c r="D1117" s="6" t="s">
        <v>946</v>
      </c>
    </row>
    <row r="1118" customFormat="false" ht="35.05" hidden="false" customHeight="false" outlineLevel="0" collapsed="false">
      <c r="A1118" s="6" t="s">
        <v>355</v>
      </c>
      <c r="B1118" s="6" t="s">
        <v>61</v>
      </c>
      <c r="C1118" s="6" t="s">
        <v>932</v>
      </c>
      <c r="D1118" s="6" t="s">
        <v>947</v>
      </c>
    </row>
    <row r="1119" customFormat="false" ht="35.05" hidden="false" customHeight="false" outlineLevel="0" collapsed="false">
      <c r="A1119" s="6" t="s">
        <v>355</v>
      </c>
      <c r="B1119" s="6" t="s">
        <v>61</v>
      </c>
      <c r="C1119" s="6" t="s">
        <v>932</v>
      </c>
      <c r="D1119" s="6" t="s">
        <v>1185</v>
      </c>
    </row>
    <row r="1120" customFormat="false" ht="23.85" hidden="false" customHeight="false" outlineLevel="0" collapsed="false">
      <c r="A1120" s="6" t="s">
        <v>355</v>
      </c>
      <c r="B1120" s="6" t="s">
        <v>61</v>
      </c>
      <c r="C1120" s="6" t="s">
        <v>932</v>
      </c>
      <c r="D1120" s="6" t="s">
        <v>1396</v>
      </c>
    </row>
    <row r="1121" customFormat="false" ht="35.05" hidden="false" customHeight="false" outlineLevel="0" collapsed="false">
      <c r="A1121" s="6" t="s">
        <v>355</v>
      </c>
      <c r="B1121" s="6" t="s">
        <v>61</v>
      </c>
      <c r="C1121" s="6" t="s">
        <v>932</v>
      </c>
      <c r="D1121" s="6" t="s">
        <v>1186</v>
      </c>
    </row>
    <row r="1122" customFormat="false" ht="23.85" hidden="false" customHeight="false" outlineLevel="0" collapsed="false">
      <c r="A1122" s="6" t="s">
        <v>355</v>
      </c>
      <c r="B1122" s="6" t="s">
        <v>61</v>
      </c>
      <c r="C1122" s="6" t="s">
        <v>932</v>
      </c>
      <c r="D1122" s="6" t="s">
        <v>1529</v>
      </c>
    </row>
    <row r="1123" customFormat="false" ht="23.85" hidden="false" customHeight="false" outlineLevel="0" collapsed="false">
      <c r="A1123" s="6" t="s">
        <v>355</v>
      </c>
      <c r="B1123" s="6" t="s">
        <v>61</v>
      </c>
      <c r="C1123" s="6" t="s">
        <v>932</v>
      </c>
      <c r="D1123" s="6" t="s">
        <v>1530</v>
      </c>
    </row>
    <row r="1124" customFormat="false" ht="46.25" hidden="false" customHeight="false" outlineLevel="0" collapsed="false">
      <c r="A1124" s="6" t="s">
        <v>355</v>
      </c>
      <c r="B1124" s="6" t="s">
        <v>61</v>
      </c>
      <c r="C1124" s="6" t="s">
        <v>932</v>
      </c>
      <c r="D1124" s="6" t="s">
        <v>1188</v>
      </c>
    </row>
    <row r="1125" customFormat="false" ht="23.85" hidden="false" customHeight="false" outlineLevel="0" collapsed="false">
      <c r="A1125" s="6" t="s">
        <v>355</v>
      </c>
      <c r="B1125" s="6" t="s">
        <v>86</v>
      </c>
      <c r="C1125" s="6" t="s">
        <v>932</v>
      </c>
      <c r="D1125" s="6" t="s">
        <v>1142</v>
      </c>
    </row>
    <row r="1126" customFormat="false" ht="35.05" hidden="false" customHeight="false" outlineLevel="0" collapsed="false">
      <c r="A1126" s="6" t="s">
        <v>355</v>
      </c>
      <c r="B1126" s="6" t="s">
        <v>86</v>
      </c>
      <c r="C1126" s="6" t="s">
        <v>932</v>
      </c>
      <c r="D1126" s="6" t="s">
        <v>1531</v>
      </c>
    </row>
    <row r="1127" customFormat="false" ht="23.85" hidden="false" customHeight="false" outlineLevel="0" collapsed="false">
      <c r="A1127" s="6" t="s">
        <v>355</v>
      </c>
      <c r="B1127" s="6" t="s">
        <v>86</v>
      </c>
      <c r="C1127" s="6" t="s">
        <v>932</v>
      </c>
      <c r="D1127" s="6" t="s">
        <v>1189</v>
      </c>
    </row>
    <row r="1128" customFormat="false" ht="35.05" hidden="false" customHeight="false" outlineLevel="0" collapsed="false">
      <c r="A1128" s="6" t="s">
        <v>355</v>
      </c>
      <c r="B1128" s="6" t="s">
        <v>86</v>
      </c>
      <c r="C1128" s="6" t="s">
        <v>932</v>
      </c>
      <c r="D1128" s="6" t="s">
        <v>1532</v>
      </c>
    </row>
    <row r="1129" customFormat="false" ht="15" hidden="false" customHeight="false" outlineLevel="0" collapsed="false">
      <c r="A1129" s="6" t="s">
        <v>355</v>
      </c>
      <c r="B1129" s="6" t="s">
        <v>86</v>
      </c>
      <c r="C1129" s="6" t="s">
        <v>932</v>
      </c>
      <c r="D1129" s="6" t="s">
        <v>1484</v>
      </c>
    </row>
    <row r="1130" customFormat="false" ht="23.85" hidden="false" customHeight="false" outlineLevel="0" collapsed="false">
      <c r="A1130" s="6" t="s">
        <v>355</v>
      </c>
      <c r="B1130" s="6" t="s">
        <v>86</v>
      </c>
      <c r="C1130" s="6" t="s">
        <v>932</v>
      </c>
      <c r="D1130" s="6" t="s">
        <v>996</v>
      </c>
    </row>
    <row r="1131" customFormat="false" ht="23.85" hidden="false" customHeight="false" outlineLevel="0" collapsed="false">
      <c r="A1131" s="6" t="s">
        <v>355</v>
      </c>
      <c r="B1131" s="6" t="s">
        <v>86</v>
      </c>
      <c r="C1131" s="6" t="s">
        <v>932</v>
      </c>
      <c r="D1131" s="6" t="s">
        <v>1124</v>
      </c>
    </row>
    <row r="1132" customFormat="false" ht="35.05" hidden="false" customHeight="false" outlineLevel="0" collapsed="false">
      <c r="A1132" s="6" t="s">
        <v>355</v>
      </c>
      <c r="B1132" s="6" t="s">
        <v>109</v>
      </c>
      <c r="C1132" s="6" t="s">
        <v>932</v>
      </c>
      <c r="D1132" s="6" t="s">
        <v>1107</v>
      </c>
    </row>
    <row r="1133" customFormat="false" ht="23.85" hidden="false" customHeight="false" outlineLevel="0" collapsed="false">
      <c r="A1133" s="6" t="s">
        <v>355</v>
      </c>
      <c r="B1133" s="6" t="s">
        <v>109</v>
      </c>
      <c r="C1133" s="6" t="s">
        <v>932</v>
      </c>
      <c r="D1133" s="6" t="s">
        <v>1108</v>
      </c>
    </row>
    <row r="1134" customFormat="false" ht="23.85" hidden="false" customHeight="false" outlineLevel="0" collapsed="false">
      <c r="A1134" s="6" t="s">
        <v>355</v>
      </c>
      <c r="B1134" s="6" t="s">
        <v>109</v>
      </c>
      <c r="C1134" s="6" t="s">
        <v>932</v>
      </c>
      <c r="D1134" s="6" t="s">
        <v>1109</v>
      </c>
    </row>
    <row r="1135" customFormat="false" ht="35.05" hidden="false" customHeight="false" outlineLevel="0" collapsed="false">
      <c r="A1135" s="6" t="s">
        <v>355</v>
      </c>
      <c r="B1135" s="6" t="s">
        <v>109</v>
      </c>
      <c r="C1135" s="6" t="s">
        <v>932</v>
      </c>
      <c r="D1135" s="6" t="s">
        <v>1089</v>
      </c>
    </row>
    <row r="1136" customFormat="false" ht="35.05" hidden="false" customHeight="false" outlineLevel="0" collapsed="false">
      <c r="A1136" s="6" t="s">
        <v>355</v>
      </c>
      <c r="B1136" s="6" t="s">
        <v>109</v>
      </c>
      <c r="C1136" s="6" t="s">
        <v>932</v>
      </c>
      <c r="D1136" s="6" t="s">
        <v>1433</v>
      </c>
    </row>
    <row r="1137" customFormat="false" ht="57.45" hidden="false" customHeight="false" outlineLevel="0" collapsed="false">
      <c r="A1137" s="6" t="s">
        <v>355</v>
      </c>
      <c r="B1137" s="6" t="s">
        <v>95</v>
      </c>
      <c r="C1137" s="6" t="s">
        <v>932</v>
      </c>
      <c r="D1137" s="6" t="s">
        <v>1206</v>
      </c>
    </row>
    <row r="1138" customFormat="false" ht="46.25" hidden="false" customHeight="false" outlineLevel="0" collapsed="false">
      <c r="A1138" s="6" t="s">
        <v>355</v>
      </c>
      <c r="B1138" s="6" t="s">
        <v>95</v>
      </c>
      <c r="C1138" s="6" t="s">
        <v>932</v>
      </c>
      <c r="D1138" s="6" t="s">
        <v>1231</v>
      </c>
    </row>
    <row r="1139" customFormat="false" ht="23.85" hidden="false" customHeight="false" outlineLevel="0" collapsed="false">
      <c r="A1139" s="6" t="s">
        <v>355</v>
      </c>
      <c r="B1139" s="6" t="s">
        <v>95</v>
      </c>
      <c r="C1139" s="6" t="s">
        <v>932</v>
      </c>
      <c r="D1139" s="6" t="s">
        <v>1533</v>
      </c>
    </row>
    <row r="1140" customFormat="false" ht="46.25" hidden="false" customHeight="false" outlineLevel="0" collapsed="false">
      <c r="A1140" s="6" t="s">
        <v>355</v>
      </c>
      <c r="B1140" s="6" t="s">
        <v>95</v>
      </c>
      <c r="C1140" s="6" t="s">
        <v>932</v>
      </c>
      <c r="D1140" s="6" t="s">
        <v>1016</v>
      </c>
    </row>
    <row r="1141" customFormat="false" ht="23.85" hidden="false" customHeight="false" outlineLevel="0" collapsed="false">
      <c r="A1141" s="6" t="s">
        <v>355</v>
      </c>
      <c r="B1141" s="6" t="s">
        <v>95</v>
      </c>
      <c r="C1141" s="6" t="s">
        <v>932</v>
      </c>
      <c r="D1141" s="6" t="s">
        <v>1232</v>
      </c>
    </row>
    <row r="1142" customFormat="false" ht="23.85" hidden="false" customHeight="false" outlineLevel="0" collapsed="false">
      <c r="A1142" s="6" t="s">
        <v>355</v>
      </c>
      <c r="B1142" s="6" t="s">
        <v>95</v>
      </c>
      <c r="C1142" s="6" t="s">
        <v>932</v>
      </c>
      <c r="D1142" s="6" t="s">
        <v>1534</v>
      </c>
    </row>
    <row r="1143" customFormat="false" ht="23.85" hidden="false" customHeight="false" outlineLevel="0" collapsed="false">
      <c r="A1143" s="6" t="s">
        <v>355</v>
      </c>
      <c r="B1143" s="6" t="s">
        <v>95</v>
      </c>
      <c r="C1143" s="6" t="s">
        <v>932</v>
      </c>
      <c r="D1143" s="6" t="s">
        <v>1535</v>
      </c>
    </row>
    <row r="1144" customFormat="false" ht="23.85" hidden="false" customHeight="false" outlineLevel="0" collapsed="false">
      <c r="A1144" s="6" t="s">
        <v>355</v>
      </c>
      <c r="B1144" s="6" t="s">
        <v>186</v>
      </c>
      <c r="C1144" s="6" t="s">
        <v>932</v>
      </c>
      <c r="D1144" s="6" t="s">
        <v>1475</v>
      </c>
    </row>
    <row r="1145" customFormat="false" ht="15" hidden="false" customHeight="false" outlineLevel="0" collapsed="false">
      <c r="A1145" s="6" t="s">
        <v>355</v>
      </c>
      <c r="B1145" s="6" t="s">
        <v>330</v>
      </c>
      <c r="C1145" s="6" t="s">
        <v>932</v>
      </c>
      <c r="D1145" s="6" t="s">
        <v>1453</v>
      </c>
    </row>
    <row r="1146" customFormat="false" ht="46.25" hidden="false" customHeight="false" outlineLevel="0" collapsed="false">
      <c r="A1146" s="6" t="s">
        <v>355</v>
      </c>
      <c r="B1146" s="6" t="s">
        <v>330</v>
      </c>
      <c r="C1146" s="6" t="s">
        <v>932</v>
      </c>
      <c r="D1146" s="6" t="s">
        <v>1455</v>
      </c>
    </row>
    <row r="1147" customFormat="false" ht="57.45" hidden="false" customHeight="false" outlineLevel="0" collapsed="false">
      <c r="A1147" s="6" t="s">
        <v>355</v>
      </c>
      <c r="B1147" s="6" t="s">
        <v>330</v>
      </c>
      <c r="C1147" s="6" t="s">
        <v>932</v>
      </c>
      <c r="D1147" s="6" t="s">
        <v>1457</v>
      </c>
    </row>
    <row r="1148" customFormat="false" ht="23.85" hidden="false" customHeight="false" outlineLevel="0" collapsed="false">
      <c r="A1148" s="6" t="s">
        <v>355</v>
      </c>
      <c r="B1148" s="6" t="s">
        <v>168</v>
      </c>
      <c r="C1148" s="6" t="s">
        <v>932</v>
      </c>
      <c r="D1148" s="6" t="s">
        <v>1004</v>
      </c>
    </row>
    <row r="1149" customFormat="false" ht="23.85" hidden="false" customHeight="false" outlineLevel="0" collapsed="false">
      <c r="A1149" s="6" t="s">
        <v>355</v>
      </c>
      <c r="B1149" s="6" t="s">
        <v>168</v>
      </c>
      <c r="C1149" s="6" t="s">
        <v>932</v>
      </c>
      <c r="D1149" s="6" t="s">
        <v>138</v>
      </c>
    </row>
    <row r="1150" customFormat="false" ht="15" hidden="false" customHeight="false" outlineLevel="0" collapsed="false">
      <c r="A1150" s="6" t="s">
        <v>355</v>
      </c>
      <c r="B1150" s="6" t="s">
        <v>168</v>
      </c>
      <c r="C1150" s="6" t="s">
        <v>932</v>
      </c>
      <c r="D1150" s="6" t="s">
        <v>1536</v>
      </c>
    </row>
    <row r="1151" customFormat="false" ht="35.05" hidden="false" customHeight="false" outlineLevel="0" collapsed="false">
      <c r="A1151" s="6" t="s">
        <v>355</v>
      </c>
      <c r="B1151" s="6" t="s">
        <v>168</v>
      </c>
      <c r="C1151" s="6" t="s">
        <v>932</v>
      </c>
      <c r="D1151" s="6" t="s">
        <v>1537</v>
      </c>
    </row>
    <row r="1152" customFormat="false" ht="23.85" hidden="false" customHeight="false" outlineLevel="0" collapsed="false">
      <c r="A1152" s="6" t="s">
        <v>355</v>
      </c>
      <c r="B1152" s="6" t="s">
        <v>62</v>
      </c>
      <c r="C1152" s="6" t="s">
        <v>932</v>
      </c>
      <c r="D1152" s="6" t="s">
        <v>1538</v>
      </c>
    </row>
    <row r="1153" customFormat="false" ht="15" hidden="false" customHeight="false" outlineLevel="0" collapsed="false">
      <c r="A1153" s="6" t="s">
        <v>355</v>
      </c>
      <c r="B1153" s="6" t="s">
        <v>80</v>
      </c>
      <c r="C1153" s="6" t="s">
        <v>932</v>
      </c>
      <c r="D1153" s="6" t="s">
        <v>1539</v>
      </c>
    </row>
    <row r="1154" customFormat="false" ht="23.85" hidden="false" customHeight="false" outlineLevel="0" collapsed="false">
      <c r="A1154" s="6" t="s">
        <v>355</v>
      </c>
      <c r="B1154" s="6" t="s">
        <v>80</v>
      </c>
      <c r="C1154" s="6" t="s">
        <v>932</v>
      </c>
      <c r="D1154" s="6" t="s">
        <v>1540</v>
      </c>
    </row>
    <row r="1155" customFormat="false" ht="23.85" hidden="false" customHeight="false" outlineLevel="0" collapsed="false">
      <c r="A1155" s="6" t="s">
        <v>355</v>
      </c>
      <c r="B1155" s="6" t="s">
        <v>80</v>
      </c>
      <c r="C1155" s="6" t="s">
        <v>932</v>
      </c>
      <c r="D1155" s="6" t="s">
        <v>358</v>
      </c>
    </row>
    <row r="1156" customFormat="false" ht="35.05" hidden="false" customHeight="false" outlineLevel="0" collapsed="false">
      <c r="A1156" s="6" t="s">
        <v>355</v>
      </c>
      <c r="B1156" s="6" t="s">
        <v>80</v>
      </c>
      <c r="C1156" s="6" t="s">
        <v>1110</v>
      </c>
      <c r="D1156" s="6" t="s">
        <v>1111</v>
      </c>
    </row>
    <row r="1157" customFormat="false" ht="15" hidden="false" customHeight="false" outlineLevel="0" collapsed="false">
      <c r="A1157" s="6" t="s">
        <v>256</v>
      </c>
      <c r="B1157" s="6" t="s">
        <v>95</v>
      </c>
      <c r="C1157" s="6" t="s">
        <v>932</v>
      </c>
      <c r="D1157" s="6" t="s">
        <v>1335</v>
      </c>
    </row>
    <row r="1158" customFormat="false" ht="23.85" hidden="false" customHeight="false" outlineLevel="0" collapsed="false">
      <c r="A1158" s="6" t="s">
        <v>256</v>
      </c>
      <c r="B1158" s="6" t="s">
        <v>95</v>
      </c>
      <c r="C1158" s="6" t="s">
        <v>932</v>
      </c>
      <c r="D1158" s="6" t="s">
        <v>1541</v>
      </c>
    </row>
    <row r="1159" customFormat="false" ht="35.05" hidden="false" customHeight="false" outlineLevel="0" collapsed="false">
      <c r="A1159" s="6" t="s">
        <v>256</v>
      </c>
      <c r="B1159" s="6" t="s">
        <v>186</v>
      </c>
      <c r="C1159" s="6" t="s">
        <v>932</v>
      </c>
      <c r="D1159" s="6" t="s">
        <v>259</v>
      </c>
    </row>
    <row r="1160" customFormat="false" ht="15" hidden="false" customHeight="false" outlineLevel="0" collapsed="false">
      <c r="A1160" s="6" t="s">
        <v>494</v>
      </c>
      <c r="B1160" s="6" t="s">
        <v>86</v>
      </c>
      <c r="C1160" s="6" t="s">
        <v>932</v>
      </c>
      <c r="D1160" s="6" t="s">
        <v>1141</v>
      </c>
    </row>
    <row r="1161" customFormat="false" ht="23.85" hidden="false" customHeight="false" outlineLevel="0" collapsed="false">
      <c r="A1161" s="6" t="s">
        <v>494</v>
      </c>
      <c r="B1161" s="6" t="s">
        <v>86</v>
      </c>
      <c r="C1161" s="6" t="s">
        <v>932</v>
      </c>
      <c r="D1161" s="6" t="s">
        <v>1142</v>
      </c>
    </row>
    <row r="1162" customFormat="false" ht="15" hidden="false" customHeight="false" outlineLevel="0" collapsed="false">
      <c r="A1162" s="6" t="s">
        <v>494</v>
      </c>
      <c r="B1162" s="6" t="s">
        <v>229</v>
      </c>
      <c r="C1162" s="6" t="s">
        <v>932</v>
      </c>
      <c r="D1162" s="6" t="s">
        <v>1145</v>
      </c>
    </row>
    <row r="1163" customFormat="false" ht="15" hidden="false" customHeight="false" outlineLevel="0" collapsed="false">
      <c r="A1163" s="6" t="s">
        <v>494</v>
      </c>
      <c r="B1163" s="6" t="s">
        <v>229</v>
      </c>
      <c r="C1163" s="6" t="s">
        <v>932</v>
      </c>
      <c r="D1163" s="6" t="s">
        <v>1146</v>
      </c>
    </row>
    <row r="1164" customFormat="false" ht="23.85" hidden="false" customHeight="false" outlineLevel="0" collapsed="false">
      <c r="A1164" s="6" t="s">
        <v>494</v>
      </c>
      <c r="B1164" s="6" t="s">
        <v>229</v>
      </c>
      <c r="C1164" s="6" t="s">
        <v>932</v>
      </c>
      <c r="D1164" s="6" t="s">
        <v>1147</v>
      </c>
    </row>
    <row r="1165" customFormat="false" ht="35.05" hidden="false" customHeight="false" outlineLevel="0" collapsed="false">
      <c r="A1165" s="6" t="s">
        <v>494</v>
      </c>
      <c r="B1165" s="6" t="s">
        <v>229</v>
      </c>
      <c r="C1165" s="6" t="s">
        <v>932</v>
      </c>
      <c r="D1165" s="6" t="s">
        <v>497</v>
      </c>
    </row>
    <row r="1166" customFormat="false" ht="15" hidden="false" customHeight="false" outlineLevel="0" collapsed="false">
      <c r="A1166" s="6" t="s">
        <v>277</v>
      </c>
      <c r="B1166" s="6" t="s">
        <v>75</v>
      </c>
      <c r="C1166" s="6" t="s">
        <v>932</v>
      </c>
      <c r="D1166" s="6" t="s">
        <v>1542</v>
      </c>
    </row>
    <row r="1167" customFormat="false" ht="15" hidden="false" customHeight="false" outlineLevel="0" collapsed="false">
      <c r="A1167" s="6" t="s">
        <v>277</v>
      </c>
      <c r="B1167" s="6" t="s">
        <v>75</v>
      </c>
      <c r="C1167" s="6" t="s">
        <v>932</v>
      </c>
      <c r="D1167" s="6" t="s">
        <v>280</v>
      </c>
    </row>
    <row r="1168" customFormat="false" ht="15" hidden="false" customHeight="false" outlineLevel="0" collapsed="false">
      <c r="A1168" s="6" t="s">
        <v>310</v>
      </c>
      <c r="B1168" s="6" t="s">
        <v>61</v>
      </c>
      <c r="C1168" s="6" t="s">
        <v>932</v>
      </c>
      <c r="D1168" s="6" t="s">
        <v>990</v>
      </c>
    </row>
    <row r="1169" customFormat="false" ht="23.85" hidden="false" customHeight="false" outlineLevel="0" collapsed="false">
      <c r="A1169" s="6" t="s">
        <v>310</v>
      </c>
      <c r="B1169" s="6" t="s">
        <v>95</v>
      </c>
      <c r="C1169" s="6" t="s">
        <v>932</v>
      </c>
      <c r="D1169" s="6" t="s">
        <v>295</v>
      </c>
    </row>
    <row r="1170" customFormat="false" ht="15" hidden="false" customHeight="false" outlineLevel="0" collapsed="false">
      <c r="A1170" s="6" t="s">
        <v>310</v>
      </c>
      <c r="B1170" s="6" t="s">
        <v>95</v>
      </c>
      <c r="C1170" s="6" t="s">
        <v>932</v>
      </c>
      <c r="D1170" s="6" t="s">
        <v>1090</v>
      </c>
    </row>
    <row r="1171" customFormat="false" ht="35.05" hidden="false" customHeight="false" outlineLevel="0" collapsed="false">
      <c r="A1171" s="6" t="s">
        <v>310</v>
      </c>
      <c r="B1171" s="6" t="s">
        <v>330</v>
      </c>
      <c r="C1171" s="6" t="s">
        <v>932</v>
      </c>
      <c r="D1171" s="6" t="s">
        <v>1543</v>
      </c>
    </row>
    <row r="1172" customFormat="false" ht="15" hidden="false" customHeight="false" outlineLevel="0" collapsed="false">
      <c r="A1172" s="6" t="s">
        <v>310</v>
      </c>
      <c r="B1172" s="6" t="s">
        <v>99</v>
      </c>
      <c r="C1172" s="6" t="s">
        <v>932</v>
      </c>
      <c r="D1172" s="6" t="s">
        <v>1544</v>
      </c>
    </row>
    <row r="1173" customFormat="false" ht="23.85" hidden="false" customHeight="false" outlineLevel="0" collapsed="false">
      <c r="A1173" s="6" t="s">
        <v>310</v>
      </c>
      <c r="B1173" s="6" t="s">
        <v>99</v>
      </c>
      <c r="C1173" s="6" t="s">
        <v>932</v>
      </c>
      <c r="D1173" s="6" t="s">
        <v>234</v>
      </c>
    </row>
    <row r="1174" customFormat="false" ht="35.05" hidden="false" customHeight="false" outlineLevel="0" collapsed="false">
      <c r="A1174" s="6" t="s">
        <v>310</v>
      </c>
      <c r="B1174" s="6" t="s">
        <v>99</v>
      </c>
      <c r="C1174" s="6" t="s">
        <v>932</v>
      </c>
      <c r="D1174" s="6" t="s">
        <v>1317</v>
      </c>
    </row>
    <row r="1175" customFormat="false" ht="35.05" hidden="false" customHeight="false" outlineLevel="0" collapsed="false">
      <c r="A1175" s="6" t="s">
        <v>310</v>
      </c>
      <c r="B1175" s="6" t="s">
        <v>62</v>
      </c>
      <c r="C1175" s="6" t="s">
        <v>932</v>
      </c>
      <c r="D1175" s="6" t="s">
        <v>1098</v>
      </c>
    </row>
    <row r="1176" customFormat="false" ht="35.05" hidden="false" customHeight="false" outlineLevel="0" collapsed="false">
      <c r="A1176" s="6" t="s">
        <v>310</v>
      </c>
      <c r="B1176" s="6" t="s">
        <v>62</v>
      </c>
      <c r="C1176" s="6" t="s">
        <v>932</v>
      </c>
      <c r="D1176" s="6" t="s">
        <v>1545</v>
      </c>
    </row>
    <row r="1177" customFormat="false" ht="23.85" hidden="false" customHeight="false" outlineLevel="0" collapsed="false">
      <c r="A1177" s="6" t="s">
        <v>310</v>
      </c>
      <c r="B1177" s="6" t="s">
        <v>75</v>
      </c>
      <c r="C1177" s="6" t="s">
        <v>932</v>
      </c>
      <c r="D1177" s="6" t="s">
        <v>91</v>
      </c>
    </row>
    <row r="1178" customFormat="false" ht="23.85" hidden="false" customHeight="false" outlineLevel="0" collapsed="false">
      <c r="A1178" s="6" t="s">
        <v>217</v>
      </c>
      <c r="B1178" s="6" t="s">
        <v>146</v>
      </c>
      <c r="C1178" s="6" t="s">
        <v>932</v>
      </c>
      <c r="D1178" s="6" t="s">
        <v>1007</v>
      </c>
    </row>
    <row r="1179" customFormat="false" ht="35.05" hidden="false" customHeight="false" outlineLevel="0" collapsed="false">
      <c r="A1179" s="6" t="s">
        <v>217</v>
      </c>
      <c r="B1179" s="6" t="s">
        <v>169</v>
      </c>
      <c r="C1179" s="6" t="s">
        <v>932</v>
      </c>
      <c r="D1179" s="6" t="s">
        <v>973</v>
      </c>
    </row>
    <row r="1180" customFormat="false" ht="23.85" hidden="false" customHeight="false" outlineLevel="0" collapsed="false">
      <c r="A1180" s="6" t="s">
        <v>217</v>
      </c>
      <c r="B1180" s="6" t="s">
        <v>99</v>
      </c>
      <c r="C1180" s="6" t="s">
        <v>932</v>
      </c>
      <c r="D1180" s="6" t="s">
        <v>1008</v>
      </c>
    </row>
    <row r="1181" customFormat="false" ht="23.85" hidden="false" customHeight="false" outlineLevel="0" collapsed="false">
      <c r="A1181" s="6" t="s">
        <v>217</v>
      </c>
      <c r="B1181" s="6" t="s">
        <v>99</v>
      </c>
      <c r="C1181" s="6" t="s">
        <v>932</v>
      </c>
      <c r="D1181" s="6" t="s">
        <v>1546</v>
      </c>
    </row>
    <row r="1182" customFormat="false" ht="35.05" hidden="false" customHeight="false" outlineLevel="0" collapsed="false">
      <c r="A1182" s="6" t="s">
        <v>217</v>
      </c>
      <c r="B1182" s="6" t="s">
        <v>99</v>
      </c>
      <c r="C1182" s="6" t="s">
        <v>932</v>
      </c>
      <c r="D1182" s="6" t="s">
        <v>1547</v>
      </c>
    </row>
    <row r="1183" customFormat="false" ht="23.85" hidden="false" customHeight="false" outlineLevel="0" collapsed="false">
      <c r="A1183" s="6" t="s">
        <v>217</v>
      </c>
      <c r="B1183" s="6" t="s">
        <v>99</v>
      </c>
      <c r="C1183" s="6" t="s">
        <v>932</v>
      </c>
      <c r="D1183" s="6" t="s">
        <v>942</v>
      </c>
    </row>
    <row r="1184" customFormat="false" ht="23.85" hidden="false" customHeight="false" outlineLevel="0" collapsed="false">
      <c r="A1184" s="6" t="s">
        <v>217</v>
      </c>
      <c r="B1184" s="6" t="s">
        <v>99</v>
      </c>
      <c r="C1184" s="6" t="s">
        <v>974</v>
      </c>
      <c r="D1184" s="6" t="s">
        <v>975</v>
      </c>
    </row>
    <row r="1185" customFormat="false" ht="23.85" hidden="false" customHeight="false" outlineLevel="0" collapsed="false">
      <c r="A1185" s="6" t="s">
        <v>217</v>
      </c>
      <c r="B1185" s="6" t="s">
        <v>80</v>
      </c>
      <c r="C1185" s="6" t="s">
        <v>932</v>
      </c>
      <c r="D1185" s="6" t="s">
        <v>216</v>
      </c>
    </row>
    <row r="1186" customFormat="false" ht="15" hidden="false" customHeight="false" outlineLevel="0" collapsed="false">
      <c r="A1186" s="6" t="s">
        <v>217</v>
      </c>
      <c r="B1186" s="6" t="s">
        <v>80</v>
      </c>
      <c r="C1186" s="6" t="s">
        <v>932</v>
      </c>
      <c r="D1186" s="6" t="s">
        <v>1548</v>
      </c>
    </row>
    <row r="1187" customFormat="false" ht="23.85" hidden="false" customHeight="false" outlineLevel="0" collapsed="false">
      <c r="A1187" s="6" t="s">
        <v>217</v>
      </c>
      <c r="B1187" s="6" t="s">
        <v>80</v>
      </c>
      <c r="C1187" s="6" t="s">
        <v>932</v>
      </c>
      <c r="D1187" s="6" t="s">
        <v>220</v>
      </c>
    </row>
    <row r="1188" customFormat="false" ht="135.8" hidden="false" customHeight="false" outlineLevel="0" collapsed="false">
      <c r="A1188" s="6" t="s">
        <v>217</v>
      </c>
      <c r="B1188" s="6" t="s">
        <v>80</v>
      </c>
      <c r="C1188" s="6" t="s">
        <v>985</v>
      </c>
      <c r="D1188" s="6" t="s">
        <v>986</v>
      </c>
    </row>
    <row r="1189" customFormat="false" ht="247.75" hidden="false" customHeight="false" outlineLevel="0" collapsed="false">
      <c r="A1189" s="6" t="s">
        <v>217</v>
      </c>
      <c r="B1189" s="6" t="s">
        <v>80</v>
      </c>
      <c r="C1189" s="6" t="s">
        <v>944</v>
      </c>
      <c r="D1189" s="6" t="s">
        <v>945</v>
      </c>
    </row>
    <row r="1190" customFormat="false" ht="35.05" hidden="false" customHeight="false" outlineLevel="0" collapsed="false">
      <c r="A1190" s="6" t="s">
        <v>566</v>
      </c>
      <c r="B1190" s="6" t="s">
        <v>75</v>
      </c>
      <c r="C1190" s="6" t="s">
        <v>932</v>
      </c>
      <c r="D1190" s="6" t="s">
        <v>546</v>
      </c>
    </row>
    <row r="1191" customFormat="false" ht="23.85" hidden="false" customHeight="false" outlineLevel="0" collapsed="false">
      <c r="A1191" s="6" t="s">
        <v>566</v>
      </c>
      <c r="B1191" s="6" t="s">
        <v>75</v>
      </c>
      <c r="C1191" s="6" t="s">
        <v>932</v>
      </c>
      <c r="D1191" s="6" t="s">
        <v>1549</v>
      </c>
    </row>
    <row r="1192" customFormat="false" ht="35.05" hidden="false" customHeight="false" outlineLevel="0" collapsed="false">
      <c r="A1192" s="6" t="s">
        <v>566</v>
      </c>
      <c r="B1192" s="6" t="s">
        <v>75</v>
      </c>
      <c r="C1192" s="6" t="s">
        <v>932</v>
      </c>
      <c r="D1192" s="6" t="s">
        <v>501</v>
      </c>
    </row>
    <row r="1193" customFormat="false" ht="35.05" hidden="false" customHeight="false" outlineLevel="0" collapsed="false">
      <c r="A1193" s="6" t="s">
        <v>569</v>
      </c>
      <c r="B1193" s="6" t="s">
        <v>75</v>
      </c>
      <c r="C1193" s="6" t="s">
        <v>932</v>
      </c>
      <c r="D1193" s="6" t="s">
        <v>546</v>
      </c>
    </row>
    <row r="1194" customFormat="false" ht="15" hidden="false" customHeight="false" outlineLevel="0" collapsed="false">
      <c r="A1194" s="6" t="s">
        <v>569</v>
      </c>
      <c r="B1194" s="6" t="s">
        <v>75</v>
      </c>
      <c r="C1194" s="6" t="s">
        <v>932</v>
      </c>
      <c r="D1194" s="6" t="s">
        <v>1550</v>
      </c>
    </row>
    <row r="1195" customFormat="false" ht="15" hidden="false" customHeight="false" outlineLevel="0" collapsed="false">
      <c r="A1195" s="6" t="s">
        <v>471</v>
      </c>
      <c r="B1195" s="6" t="s">
        <v>229</v>
      </c>
      <c r="C1195" s="6" t="s">
        <v>932</v>
      </c>
      <c r="D1195" s="6" t="s">
        <v>1551</v>
      </c>
    </row>
    <row r="1196" customFormat="false" ht="35.05" hidden="false" customHeight="false" outlineLevel="0" collapsed="false">
      <c r="A1196" s="6" t="s">
        <v>471</v>
      </c>
      <c r="B1196" s="6" t="s">
        <v>229</v>
      </c>
      <c r="C1196" s="6" t="s">
        <v>932</v>
      </c>
      <c r="D1196" s="6" t="s">
        <v>601</v>
      </c>
    </row>
    <row r="1197" customFormat="false" ht="23.85" hidden="false" customHeight="false" outlineLevel="0" collapsed="false">
      <c r="A1197" s="6" t="s">
        <v>471</v>
      </c>
      <c r="B1197" s="6" t="s">
        <v>168</v>
      </c>
      <c r="C1197" s="6" t="s">
        <v>932</v>
      </c>
      <c r="D1197" s="6" t="s">
        <v>1306</v>
      </c>
    </row>
    <row r="1198" customFormat="false" ht="23.85" hidden="false" customHeight="false" outlineLevel="0" collapsed="false">
      <c r="A1198" s="6" t="s">
        <v>471</v>
      </c>
      <c r="B1198" s="6" t="s">
        <v>168</v>
      </c>
      <c r="C1198" s="6" t="s">
        <v>932</v>
      </c>
      <c r="D1198" s="6" t="s">
        <v>1307</v>
      </c>
    </row>
    <row r="1199" customFormat="false" ht="23.85" hidden="false" customHeight="false" outlineLevel="0" collapsed="false">
      <c r="A1199" s="6" t="s">
        <v>471</v>
      </c>
      <c r="B1199" s="6" t="s">
        <v>168</v>
      </c>
      <c r="C1199" s="6" t="s">
        <v>932</v>
      </c>
      <c r="D1199" s="6" t="s">
        <v>1308</v>
      </c>
    </row>
    <row r="1200" customFormat="false" ht="23.85" hidden="false" customHeight="false" outlineLevel="0" collapsed="false">
      <c r="A1200" s="6" t="s">
        <v>471</v>
      </c>
      <c r="B1200" s="6" t="s">
        <v>168</v>
      </c>
      <c r="C1200" s="6" t="s">
        <v>932</v>
      </c>
      <c r="D1200" s="6" t="s">
        <v>1309</v>
      </c>
    </row>
    <row r="1201" customFormat="false" ht="23.85" hidden="false" customHeight="false" outlineLevel="0" collapsed="false">
      <c r="A1201" s="6" t="s">
        <v>471</v>
      </c>
      <c r="B1201" s="6" t="s">
        <v>146</v>
      </c>
      <c r="C1201" s="6" t="s">
        <v>932</v>
      </c>
      <c r="D1201" s="6" t="s">
        <v>377</v>
      </c>
    </row>
    <row r="1202" customFormat="false" ht="35.05" hidden="false" customHeight="false" outlineLevel="0" collapsed="false">
      <c r="A1202" s="6" t="s">
        <v>471</v>
      </c>
      <c r="B1202" s="6" t="s">
        <v>104</v>
      </c>
      <c r="C1202" s="6" t="s">
        <v>1212</v>
      </c>
      <c r="D1202" s="6" t="s">
        <v>1213</v>
      </c>
    </row>
    <row r="1203" customFormat="false" ht="23.85" hidden="false" customHeight="false" outlineLevel="0" collapsed="false">
      <c r="A1203" s="6" t="s">
        <v>471</v>
      </c>
      <c r="B1203" s="6" t="s">
        <v>104</v>
      </c>
      <c r="C1203" s="6" t="s">
        <v>1214</v>
      </c>
      <c r="D1203" s="6" t="s">
        <v>1215</v>
      </c>
    </row>
    <row r="1204" customFormat="false" ht="15" hidden="false" customHeight="false" outlineLevel="0" collapsed="false">
      <c r="A1204" s="6" t="s">
        <v>498</v>
      </c>
      <c r="B1204" s="6" t="s">
        <v>75</v>
      </c>
      <c r="C1204" s="6" t="s">
        <v>932</v>
      </c>
      <c r="D1204" s="6" t="s">
        <v>1542</v>
      </c>
    </row>
    <row r="1205" customFormat="false" ht="23.85" hidden="false" customHeight="false" outlineLevel="0" collapsed="false">
      <c r="A1205" s="6" t="s">
        <v>498</v>
      </c>
      <c r="B1205" s="6" t="s">
        <v>75</v>
      </c>
      <c r="C1205" s="6" t="s">
        <v>932</v>
      </c>
      <c r="D1205" s="6" t="s">
        <v>1552</v>
      </c>
    </row>
    <row r="1206" customFormat="false" ht="35.05" hidden="false" customHeight="false" outlineLevel="0" collapsed="false">
      <c r="A1206" s="6" t="s">
        <v>498</v>
      </c>
      <c r="B1206" s="6" t="s">
        <v>75</v>
      </c>
      <c r="C1206" s="6" t="s">
        <v>932</v>
      </c>
      <c r="D1206" s="6" t="s">
        <v>501</v>
      </c>
    </row>
    <row r="1207" customFormat="false" ht="68.65" hidden="false" customHeight="false" outlineLevel="0" collapsed="false">
      <c r="A1207" s="6" t="s">
        <v>498</v>
      </c>
      <c r="B1207" s="6" t="s">
        <v>80</v>
      </c>
      <c r="C1207" s="6" t="s">
        <v>962</v>
      </c>
      <c r="D1207" s="6" t="s">
        <v>963</v>
      </c>
    </row>
    <row r="1208" customFormat="false" ht="23.85" hidden="false" customHeight="false" outlineLevel="0" collapsed="false">
      <c r="A1208" s="6" t="s">
        <v>281</v>
      </c>
      <c r="B1208" s="6" t="s">
        <v>95</v>
      </c>
      <c r="C1208" s="6" t="s">
        <v>932</v>
      </c>
      <c r="D1208" s="6" t="s">
        <v>295</v>
      </c>
    </row>
    <row r="1209" customFormat="false" ht="15" hidden="false" customHeight="false" outlineLevel="0" collapsed="false">
      <c r="A1209" s="6" t="s">
        <v>281</v>
      </c>
      <c r="B1209" s="6" t="s">
        <v>95</v>
      </c>
      <c r="C1209" s="6" t="s">
        <v>932</v>
      </c>
      <c r="D1209" s="6" t="s">
        <v>1086</v>
      </c>
    </row>
    <row r="1210" customFormat="false" ht="15" hidden="false" customHeight="false" outlineLevel="0" collapsed="false">
      <c r="A1210" s="6" t="s">
        <v>281</v>
      </c>
      <c r="B1210" s="6" t="s">
        <v>95</v>
      </c>
      <c r="C1210" s="6" t="s">
        <v>932</v>
      </c>
      <c r="D1210" s="6" t="s">
        <v>1553</v>
      </c>
    </row>
    <row r="1211" customFormat="false" ht="35.05" hidden="false" customHeight="false" outlineLevel="0" collapsed="false">
      <c r="A1211" s="6" t="s">
        <v>281</v>
      </c>
      <c r="B1211" s="6" t="s">
        <v>95</v>
      </c>
      <c r="C1211" s="6" t="s">
        <v>932</v>
      </c>
      <c r="D1211" s="6" t="s">
        <v>1523</v>
      </c>
    </row>
    <row r="1212" customFormat="false" ht="46.25" hidden="false" customHeight="false" outlineLevel="0" collapsed="false">
      <c r="A1212" s="6" t="s">
        <v>281</v>
      </c>
      <c r="B1212" s="6" t="s">
        <v>95</v>
      </c>
      <c r="C1212" s="6" t="s">
        <v>932</v>
      </c>
      <c r="D1212" s="6" t="s">
        <v>110</v>
      </c>
    </row>
    <row r="1213" customFormat="false" ht="23.85" hidden="false" customHeight="false" outlineLevel="0" collapsed="false">
      <c r="A1213" s="6" t="s">
        <v>281</v>
      </c>
      <c r="B1213" s="6" t="s">
        <v>95</v>
      </c>
      <c r="C1213" s="6" t="s">
        <v>932</v>
      </c>
      <c r="D1213" s="6" t="s">
        <v>1554</v>
      </c>
    </row>
    <row r="1214" customFormat="false" ht="23.85" hidden="false" customHeight="false" outlineLevel="0" collapsed="false">
      <c r="A1214" s="6" t="s">
        <v>281</v>
      </c>
      <c r="B1214" s="6" t="s">
        <v>95</v>
      </c>
      <c r="C1214" s="6" t="s">
        <v>932</v>
      </c>
      <c r="D1214" s="6" t="s">
        <v>1017</v>
      </c>
    </row>
    <row r="1215" customFormat="false" ht="35.05" hidden="false" customHeight="false" outlineLevel="0" collapsed="false">
      <c r="A1215" s="6" t="s">
        <v>281</v>
      </c>
      <c r="B1215" s="6" t="s">
        <v>95</v>
      </c>
      <c r="C1215" s="6" t="s">
        <v>932</v>
      </c>
      <c r="D1215" s="6" t="s">
        <v>1555</v>
      </c>
    </row>
    <row r="1216" customFormat="false" ht="15" hidden="false" customHeight="false" outlineLevel="0" collapsed="false">
      <c r="A1216" s="6" t="s">
        <v>281</v>
      </c>
      <c r="B1216" s="6" t="s">
        <v>95</v>
      </c>
      <c r="C1216" s="6" t="s">
        <v>932</v>
      </c>
      <c r="D1216" s="6" t="s">
        <v>1524</v>
      </c>
    </row>
    <row r="1217" customFormat="false" ht="23.85" hidden="false" customHeight="false" outlineLevel="0" collapsed="false">
      <c r="A1217" s="6" t="s">
        <v>281</v>
      </c>
      <c r="B1217" s="6" t="s">
        <v>95</v>
      </c>
      <c r="C1217" s="6" t="s">
        <v>932</v>
      </c>
      <c r="D1217" s="6" t="s">
        <v>1556</v>
      </c>
    </row>
    <row r="1218" customFormat="false" ht="46.25" hidden="false" customHeight="false" outlineLevel="0" collapsed="false">
      <c r="A1218" s="6" t="s">
        <v>281</v>
      </c>
      <c r="B1218" s="6" t="s">
        <v>95</v>
      </c>
      <c r="C1218" s="6" t="s">
        <v>932</v>
      </c>
      <c r="D1218" s="6" t="s">
        <v>1016</v>
      </c>
    </row>
    <row r="1219" customFormat="false" ht="23.85" hidden="false" customHeight="false" outlineLevel="0" collapsed="false">
      <c r="A1219" s="6" t="s">
        <v>281</v>
      </c>
      <c r="B1219" s="6" t="s">
        <v>229</v>
      </c>
      <c r="C1219" s="6" t="s">
        <v>932</v>
      </c>
      <c r="D1219" s="6" t="s">
        <v>276</v>
      </c>
    </row>
    <row r="1220" customFormat="false" ht="35.05" hidden="false" customHeight="false" outlineLevel="0" collapsed="false">
      <c r="A1220" s="6" t="s">
        <v>281</v>
      </c>
      <c r="B1220" s="6" t="s">
        <v>168</v>
      </c>
      <c r="C1220" s="6" t="s">
        <v>932</v>
      </c>
      <c r="D1220" s="6" t="s">
        <v>1125</v>
      </c>
    </row>
    <row r="1221" customFormat="false" ht="23.85" hidden="false" customHeight="false" outlineLevel="0" collapsed="false">
      <c r="A1221" s="6" t="s">
        <v>281</v>
      </c>
      <c r="B1221" s="6" t="s">
        <v>168</v>
      </c>
      <c r="C1221" s="6" t="s">
        <v>932</v>
      </c>
      <c r="D1221" s="6" t="s">
        <v>1557</v>
      </c>
    </row>
    <row r="1222" customFormat="false" ht="23.85" hidden="false" customHeight="false" outlineLevel="0" collapsed="false">
      <c r="A1222" s="6" t="s">
        <v>281</v>
      </c>
      <c r="B1222" s="6" t="s">
        <v>190</v>
      </c>
      <c r="C1222" s="6" t="s">
        <v>932</v>
      </c>
      <c r="D1222" s="6" t="s">
        <v>284</v>
      </c>
    </row>
    <row r="1223" customFormat="false" ht="15" hidden="false" customHeight="false" outlineLevel="0" collapsed="false">
      <c r="A1223" s="6" t="s">
        <v>281</v>
      </c>
      <c r="B1223" s="6" t="s">
        <v>62</v>
      </c>
      <c r="C1223" s="6" t="s">
        <v>932</v>
      </c>
      <c r="D1223" s="6" t="s">
        <v>1558</v>
      </c>
    </row>
    <row r="1224" customFormat="false" ht="15" hidden="false" customHeight="false" outlineLevel="0" collapsed="false">
      <c r="A1224" s="6" t="s">
        <v>260</v>
      </c>
      <c r="B1224" s="6" t="s">
        <v>95</v>
      </c>
      <c r="C1224" s="6" t="s">
        <v>932</v>
      </c>
      <c r="D1224" s="6" t="s">
        <v>1335</v>
      </c>
    </row>
    <row r="1225" customFormat="false" ht="23.85" hidden="false" customHeight="false" outlineLevel="0" collapsed="false">
      <c r="A1225" s="6" t="s">
        <v>260</v>
      </c>
      <c r="B1225" s="6" t="s">
        <v>95</v>
      </c>
      <c r="C1225" s="6" t="s">
        <v>932</v>
      </c>
      <c r="D1225" s="6" t="s">
        <v>1541</v>
      </c>
    </row>
    <row r="1226" customFormat="false" ht="35.05" hidden="false" customHeight="false" outlineLevel="0" collapsed="false">
      <c r="A1226" s="6" t="s">
        <v>260</v>
      </c>
      <c r="B1226" s="6" t="s">
        <v>186</v>
      </c>
      <c r="C1226" s="6" t="s">
        <v>932</v>
      </c>
      <c r="D1226" s="6" t="s">
        <v>259</v>
      </c>
    </row>
    <row r="1227" customFormat="false" ht="35.05" hidden="false" customHeight="false" outlineLevel="0" collapsed="false">
      <c r="A1227" s="6" t="s">
        <v>260</v>
      </c>
      <c r="B1227" s="6" t="s">
        <v>169</v>
      </c>
      <c r="C1227" s="6" t="s">
        <v>932</v>
      </c>
      <c r="D1227" s="6" t="s">
        <v>263</v>
      </c>
    </row>
    <row r="1228" customFormat="false" ht="35.05" hidden="false" customHeight="false" outlineLevel="0" collapsed="false">
      <c r="A1228" s="6" t="s">
        <v>382</v>
      </c>
      <c r="B1228" s="6" t="s">
        <v>86</v>
      </c>
      <c r="C1228" s="6" t="s">
        <v>932</v>
      </c>
      <c r="D1228" s="6" t="s">
        <v>1057</v>
      </c>
    </row>
    <row r="1229" customFormat="false" ht="46.25" hidden="false" customHeight="false" outlineLevel="0" collapsed="false">
      <c r="A1229" s="6" t="s">
        <v>382</v>
      </c>
      <c r="B1229" s="6" t="s">
        <v>86</v>
      </c>
      <c r="C1229" s="6" t="s">
        <v>932</v>
      </c>
      <c r="D1229" s="6" t="s">
        <v>1559</v>
      </c>
    </row>
    <row r="1230" customFormat="false" ht="35.05" hidden="false" customHeight="false" outlineLevel="0" collapsed="false">
      <c r="A1230" s="6" t="s">
        <v>382</v>
      </c>
      <c r="B1230" s="6" t="s">
        <v>86</v>
      </c>
      <c r="C1230" s="6" t="s">
        <v>932</v>
      </c>
      <c r="D1230" s="6" t="s">
        <v>1058</v>
      </c>
    </row>
    <row r="1231" customFormat="false" ht="23.85" hidden="false" customHeight="false" outlineLevel="0" collapsed="false">
      <c r="A1231" s="6" t="s">
        <v>382</v>
      </c>
      <c r="B1231" s="6" t="s">
        <v>86</v>
      </c>
      <c r="C1231" s="6" t="s">
        <v>932</v>
      </c>
      <c r="D1231" s="6" t="s">
        <v>1059</v>
      </c>
    </row>
    <row r="1232" customFormat="false" ht="23.85" hidden="false" customHeight="false" outlineLevel="0" collapsed="false">
      <c r="A1232" s="6" t="s">
        <v>382</v>
      </c>
      <c r="B1232" s="6" t="s">
        <v>86</v>
      </c>
      <c r="C1232" s="6" t="s">
        <v>932</v>
      </c>
      <c r="D1232" s="6" t="s">
        <v>1060</v>
      </c>
    </row>
    <row r="1233" customFormat="false" ht="15" hidden="false" customHeight="false" outlineLevel="0" collapsed="false">
      <c r="A1233" s="6" t="s">
        <v>382</v>
      </c>
      <c r="B1233" s="6" t="s">
        <v>86</v>
      </c>
      <c r="C1233" s="6" t="s">
        <v>932</v>
      </c>
      <c r="D1233" s="6" t="s">
        <v>1560</v>
      </c>
    </row>
    <row r="1234" customFormat="false" ht="35.05" hidden="false" customHeight="false" outlineLevel="0" collapsed="false">
      <c r="A1234" s="6" t="s">
        <v>382</v>
      </c>
      <c r="B1234" s="6" t="s">
        <v>186</v>
      </c>
      <c r="C1234" s="6" t="s">
        <v>932</v>
      </c>
      <c r="D1234" s="6" t="s">
        <v>1332</v>
      </c>
    </row>
    <row r="1235" customFormat="false" ht="46.25" hidden="false" customHeight="false" outlineLevel="0" collapsed="false">
      <c r="A1235" s="6" t="s">
        <v>382</v>
      </c>
      <c r="B1235" s="6" t="s">
        <v>186</v>
      </c>
      <c r="C1235" s="6" t="s">
        <v>932</v>
      </c>
      <c r="D1235" s="6" t="s">
        <v>1299</v>
      </c>
    </row>
    <row r="1236" customFormat="false" ht="35.05" hidden="false" customHeight="false" outlineLevel="0" collapsed="false">
      <c r="A1236" s="6" t="s">
        <v>382</v>
      </c>
      <c r="B1236" s="6" t="s">
        <v>229</v>
      </c>
      <c r="C1236" s="6" t="s">
        <v>932</v>
      </c>
      <c r="D1236" s="6" t="s">
        <v>381</v>
      </c>
    </row>
    <row r="1237" customFormat="false" ht="15" hidden="false" customHeight="false" outlineLevel="0" collapsed="false">
      <c r="A1237" s="6" t="s">
        <v>615</v>
      </c>
      <c r="B1237" s="6" t="s">
        <v>229</v>
      </c>
      <c r="C1237" s="6" t="s">
        <v>932</v>
      </c>
      <c r="D1237" s="6" t="s">
        <v>1561</v>
      </c>
    </row>
    <row r="1238" customFormat="false" ht="35.05" hidden="false" customHeight="false" outlineLevel="0" collapsed="false">
      <c r="A1238" s="6" t="s">
        <v>615</v>
      </c>
      <c r="B1238" s="6" t="s">
        <v>229</v>
      </c>
      <c r="C1238" s="6" t="s">
        <v>932</v>
      </c>
      <c r="D1238" s="6" t="s">
        <v>601</v>
      </c>
    </row>
    <row r="1239" customFormat="false" ht="35.05" hidden="false" customHeight="false" outlineLevel="0" collapsed="false">
      <c r="A1239" s="6" t="s">
        <v>157</v>
      </c>
      <c r="B1239" s="6" t="s">
        <v>86</v>
      </c>
      <c r="C1239" s="6" t="s">
        <v>932</v>
      </c>
      <c r="D1239" s="6" t="s">
        <v>1426</v>
      </c>
    </row>
    <row r="1240" customFormat="false" ht="35.05" hidden="false" customHeight="false" outlineLevel="0" collapsed="false">
      <c r="A1240" s="6" t="s">
        <v>157</v>
      </c>
      <c r="B1240" s="6" t="s">
        <v>86</v>
      </c>
      <c r="C1240" s="6" t="s">
        <v>932</v>
      </c>
      <c r="D1240" s="6" t="s">
        <v>1427</v>
      </c>
    </row>
    <row r="1241" customFormat="false" ht="35.05" hidden="false" customHeight="false" outlineLevel="0" collapsed="false">
      <c r="A1241" s="6" t="s">
        <v>157</v>
      </c>
      <c r="B1241" s="6" t="s">
        <v>86</v>
      </c>
      <c r="C1241" s="6" t="s">
        <v>932</v>
      </c>
      <c r="D1241" s="6" t="s">
        <v>964</v>
      </c>
    </row>
    <row r="1242" customFormat="false" ht="23.85" hidden="false" customHeight="false" outlineLevel="0" collapsed="false">
      <c r="A1242" s="6" t="s">
        <v>157</v>
      </c>
      <c r="B1242" s="6" t="s">
        <v>86</v>
      </c>
      <c r="C1242" s="6" t="s">
        <v>932</v>
      </c>
      <c r="D1242" s="6" t="s">
        <v>1321</v>
      </c>
    </row>
    <row r="1243" customFormat="false" ht="23.85" hidden="false" customHeight="false" outlineLevel="0" collapsed="false">
      <c r="A1243" s="6" t="s">
        <v>157</v>
      </c>
      <c r="B1243" s="6" t="s">
        <v>86</v>
      </c>
      <c r="C1243" s="6" t="s">
        <v>932</v>
      </c>
      <c r="D1243" s="6" t="s">
        <v>1424</v>
      </c>
    </row>
    <row r="1244" customFormat="false" ht="23.85" hidden="false" customHeight="false" outlineLevel="0" collapsed="false">
      <c r="A1244" s="6" t="s">
        <v>157</v>
      </c>
      <c r="B1244" s="6" t="s">
        <v>86</v>
      </c>
      <c r="C1244" s="6" t="s">
        <v>932</v>
      </c>
      <c r="D1244" s="6" t="s">
        <v>1562</v>
      </c>
    </row>
    <row r="1245" customFormat="false" ht="46.25" hidden="false" customHeight="false" outlineLevel="0" collapsed="false">
      <c r="A1245" s="6" t="s">
        <v>157</v>
      </c>
      <c r="B1245" s="6" t="s">
        <v>109</v>
      </c>
      <c r="C1245" s="6" t="s">
        <v>932</v>
      </c>
      <c r="D1245" s="6" t="s">
        <v>1431</v>
      </c>
    </row>
    <row r="1246" customFormat="false" ht="35.05" hidden="false" customHeight="false" outlineLevel="0" collapsed="false">
      <c r="A1246" s="6" t="s">
        <v>157</v>
      </c>
      <c r="B1246" s="6" t="s">
        <v>229</v>
      </c>
      <c r="C1246" s="6" t="s">
        <v>932</v>
      </c>
      <c r="D1246" s="6" t="s">
        <v>1163</v>
      </c>
    </row>
    <row r="1247" customFormat="false" ht="15" hidden="false" customHeight="false" outlineLevel="0" collapsed="false">
      <c r="A1247" s="6" t="s">
        <v>157</v>
      </c>
      <c r="B1247" s="6" t="s">
        <v>330</v>
      </c>
      <c r="C1247" s="6" t="s">
        <v>932</v>
      </c>
      <c r="D1247" s="6" t="s">
        <v>1498</v>
      </c>
    </row>
    <row r="1248" customFormat="false" ht="23.85" hidden="false" customHeight="false" outlineLevel="0" collapsed="false">
      <c r="A1248" s="6" t="s">
        <v>157</v>
      </c>
      <c r="B1248" s="6" t="s">
        <v>330</v>
      </c>
      <c r="C1248" s="6" t="s">
        <v>932</v>
      </c>
      <c r="D1248" s="6" t="s">
        <v>1459</v>
      </c>
    </row>
    <row r="1249" customFormat="false" ht="23.85" hidden="false" customHeight="false" outlineLevel="0" collapsed="false">
      <c r="A1249" s="6" t="s">
        <v>157</v>
      </c>
      <c r="B1249" s="6" t="s">
        <v>330</v>
      </c>
      <c r="C1249" s="6" t="s">
        <v>932</v>
      </c>
      <c r="D1249" s="6" t="s">
        <v>1563</v>
      </c>
    </row>
    <row r="1250" customFormat="false" ht="15" hidden="false" customHeight="false" outlineLevel="0" collapsed="false">
      <c r="A1250" s="6" t="s">
        <v>157</v>
      </c>
      <c r="B1250" s="6" t="s">
        <v>330</v>
      </c>
      <c r="C1250" s="6" t="s">
        <v>932</v>
      </c>
      <c r="D1250" s="6" t="s">
        <v>1460</v>
      </c>
    </row>
    <row r="1251" customFormat="false" ht="15" hidden="false" customHeight="false" outlineLevel="0" collapsed="false">
      <c r="A1251" s="6" t="s">
        <v>157</v>
      </c>
      <c r="B1251" s="6" t="s">
        <v>330</v>
      </c>
      <c r="C1251" s="6" t="s">
        <v>932</v>
      </c>
      <c r="D1251" s="6" t="s">
        <v>1564</v>
      </c>
    </row>
    <row r="1252" customFormat="false" ht="15" hidden="false" customHeight="false" outlineLevel="0" collapsed="false">
      <c r="A1252" s="6" t="s">
        <v>157</v>
      </c>
      <c r="B1252" s="6" t="s">
        <v>330</v>
      </c>
      <c r="C1252" s="6" t="s">
        <v>932</v>
      </c>
      <c r="D1252" s="6" t="s">
        <v>1462</v>
      </c>
    </row>
    <row r="1253" customFormat="false" ht="23.85" hidden="false" customHeight="false" outlineLevel="0" collapsed="false">
      <c r="A1253" s="6" t="s">
        <v>157</v>
      </c>
      <c r="B1253" s="6" t="s">
        <v>330</v>
      </c>
      <c r="C1253" s="6" t="s">
        <v>932</v>
      </c>
      <c r="D1253" s="6" t="s">
        <v>1500</v>
      </c>
    </row>
    <row r="1254" customFormat="false" ht="23.85" hidden="false" customHeight="false" outlineLevel="0" collapsed="false">
      <c r="A1254" s="6" t="s">
        <v>157</v>
      </c>
      <c r="B1254" s="6" t="s">
        <v>330</v>
      </c>
      <c r="C1254" s="6" t="s">
        <v>932</v>
      </c>
      <c r="D1254" s="6" t="s">
        <v>1458</v>
      </c>
    </row>
    <row r="1255" customFormat="false" ht="15" hidden="false" customHeight="false" outlineLevel="0" collapsed="false">
      <c r="A1255" s="6" t="s">
        <v>157</v>
      </c>
      <c r="B1255" s="6" t="s">
        <v>330</v>
      </c>
      <c r="C1255" s="6" t="s">
        <v>932</v>
      </c>
      <c r="D1255" s="6" t="s">
        <v>1565</v>
      </c>
    </row>
    <row r="1256" customFormat="false" ht="15" hidden="false" customHeight="false" outlineLevel="0" collapsed="false">
      <c r="A1256" s="6" t="s">
        <v>157</v>
      </c>
      <c r="B1256" s="6" t="s">
        <v>168</v>
      </c>
      <c r="C1256" s="6" t="s">
        <v>932</v>
      </c>
      <c r="D1256" s="6" t="s">
        <v>1566</v>
      </c>
    </row>
    <row r="1257" customFormat="false" ht="15" hidden="false" customHeight="false" outlineLevel="0" collapsed="false">
      <c r="A1257" s="6" t="s">
        <v>157</v>
      </c>
      <c r="B1257" s="6" t="s">
        <v>168</v>
      </c>
      <c r="C1257" s="6" t="s">
        <v>932</v>
      </c>
      <c r="D1257" s="6" t="s">
        <v>1567</v>
      </c>
    </row>
    <row r="1258" customFormat="false" ht="15" hidden="false" customHeight="false" outlineLevel="0" collapsed="false">
      <c r="A1258" s="6" t="s">
        <v>157</v>
      </c>
      <c r="B1258" s="6" t="s">
        <v>168</v>
      </c>
      <c r="C1258" s="6" t="s">
        <v>932</v>
      </c>
      <c r="D1258" s="6" t="s">
        <v>1568</v>
      </c>
    </row>
    <row r="1259" customFormat="false" ht="15" hidden="false" customHeight="false" outlineLevel="0" collapsed="false">
      <c r="A1259" s="6" t="s">
        <v>157</v>
      </c>
      <c r="B1259" s="6" t="s">
        <v>168</v>
      </c>
      <c r="C1259" s="6" t="s">
        <v>932</v>
      </c>
      <c r="D1259" s="6" t="s">
        <v>1463</v>
      </c>
    </row>
    <row r="1260" customFormat="false" ht="23.85" hidden="false" customHeight="false" outlineLevel="0" collapsed="false">
      <c r="A1260" s="6" t="s">
        <v>157</v>
      </c>
      <c r="B1260" s="6" t="s">
        <v>168</v>
      </c>
      <c r="C1260" s="6" t="s">
        <v>932</v>
      </c>
      <c r="D1260" s="6" t="s">
        <v>174</v>
      </c>
    </row>
    <row r="1261" customFormat="false" ht="46.25" hidden="false" customHeight="false" outlineLevel="0" collapsed="false">
      <c r="A1261" s="6" t="s">
        <v>157</v>
      </c>
      <c r="B1261" s="6" t="s">
        <v>168</v>
      </c>
      <c r="C1261" s="6" t="s">
        <v>932</v>
      </c>
      <c r="D1261" s="6" t="s">
        <v>1569</v>
      </c>
    </row>
    <row r="1262" customFormat="false" ht="23.85" hidden="false" customHeight="false" outlineLevel="0" collapsed="false">
      <c r="A1262" s="6" t="s">
        <v>157</v>
      </c>
      <c r="B1262" s="6" t="s">
        <v>168</v>
      </c>
      <c r="C1262" s="6" t="s">
        <v>932</v>
      </c>
      <c r="D1262" s="6" t="s">
        <v>1570</v>
      </c>
    </row>
    <row r="1263" customFormat="false" ht="35.05" hidden="false" customHeight="false" outlineLevel="0" collapsed="false">
      <c r="A1263" s="6" t="s">
        <v>157</v>
      </c>
      <c r="B1263" s="6" t="s">
        <v>168</v>
      </c>
      <c r="C1263" s="6" t="s">
        <v>932</v>
      </c>
      <c r="D1263" s="6" t="s">
        <v>1571</v>
      </c>
    </row>
    <row r="1264" customFormat="false" ht="35.05" hidden="false" customHeight="false" outlineLevel="0" collapsed="false">
      <c r="A1264" s="6" t="s">
        <v>157</v>
      </c>
      <c r="B1264" s="6" t="s">
        <v>168</v>
      </c>
      <c r="C1264" s="6" t="s">
        <v>932</v>
      </c>
      <c r="D1264" s="6" t="s">
        <v>1572</v>
      </c>
    </row>
    <row r="1265" customFormat="false" ht="23.85" hidden="false" customHeight="false" outlineLevel="0" collapsed="false">
      <c r="A1265" s="6" t="s">
        <v>157</v>
      </c>
      <c r="B1265" s="6" t="s">
        <v>168</v>
      </c>
      <c r="C1265" s="6" t="s">
        <v>932</v>
      </c>
      <c r="D1265" s="6" t="s">
        <v>1573</v>
      </c>
    </row>
    <row r="1266" customFormat="false" ht="23.85" hidden="false" customHeight="false" outlineLevel="0" collapsed="false">
      <c r="A1266" s="6" t="s">
        <v>157</v>
      </c>
      <c r="B1266" s="6" t="s">
        <v>190</v>
      </c>
      <c r="C1266" s="6" t="s">
        <v>932</v>
      </c>
      <c r="D1266" s="6" t="s">
        <v>284</v>
      </c>
    </row>
    <row r="1267" customFormat="false" ht="23.85" hidden="false" customHeight="false" outlineLevel="0" collapsed="false">
      <c r="A1267" s="6" t="s">
        <v>157</v>
      </c>
      <c r="B1267" s="6" t="s">
        <v>190</v>
      </c>
      <c r="C1267" s="6" t="s">
        <v>932</v>
      </c>
      <c r="D1267" s="6" t="s">
        <v>1574</v>
      </c>
    </row>
    <row r="1268" customFormat="false" ht="46.25" hidden="false" customHeight="false" outlineLevel="0" collapsed="false">
      <c r="A1268" s="6" t="s">
        <v>157</v>
      </c>
      <c r="B1268" s="6" t="s">
        <v>190</v>
      </c>
      <c r="C1268" s="6" t="s">
        <v>932</v>
      </c>
      <c r="D1268" s="6" t="s">
        <v>1575</v>
      </c>
    </row>
    <row r="1269" customFormat="false" ht="35.05" hidden="false" customHeight="false" outlineLevel="0" collapsed="false">
      <c r="A1269" s="6" t="s">
        <v>157</v>
      </c>
      <c r="B1269" s="6" t="s">
        <v>190</v>
      </c>
      <c r="C1269" s="6" t="s">
        <v>932</v>
      </c>
      <c r="D1269" s="6" t="s">
        <v>1077</v>
      </c>
    </row>
    <row r="1270" customFormat="false" ht="35.05" hidden="false" customHeight="false" outlineLevel="0" collapsed="false">
      <c r="A1270" s="6" t="s">
        <v>157</v>
      </c>
      <c r="B1270" s="6" t="s">
        <v>190</v>
      </c>
      <c r="C1270" s="6" t="s">
        <v>932</v>
      </c>
      <c r="D1270" s="6" t="s">
        <v>1576</v>
      </c>
    </row>
    <row r="1271" customFormat="false" ht="35.05" hidden="false" customHeight="false" outlineLevel="0" collapsed="false">
      <c r="A1271" s="6" t="s">
        <v>157</v>
      </c>
      <c r="B1271" s="6" t="s">
        <v>190</v>
      </c>
      <c r="C1271" s="6" t="s">
        <v>932</v>
      </c>
      <c r="D1271" s="6" t="s">
        <v>1509</v>
      </c>
    </row>
    <row r="1272" customFormat="false" ht="35.05" hidden="false" customHeight="false" outlineLevel="0" collapsed="false">
      <c r="A1272" s="6" t="s">
        <v>157</v>
      </c>
      <c r="B1272" s="6" t="s">
        <v>146</v>
      </c>
      <c r="C1272" s="6" t="s">
        <v>932</v>
      </c>
      <c r="D1272" s="6" t="s">
        <v>160</v>
      </c>
    </row>
    <row r="1273" customFormat="false" ht="23.85" hidden="false" customHeight="false" outlineLevel="0" collapsed="false">
      <c r="A1273" s="6" t="s">
        <v>449</v>
      </c>
      <c r="B1273" s="6" t="s">
        <v>229</v>
      </c>
      <c r="C1273" s="6" t="s">
        <v>932</v>
      </c>
      <c r="D1273" s="6" t="s">
        <v>1160</v>
      </c>
    </row>
    <row r="1274" customFormat="false" ht="15" hidden="false" customHeight="false" outlineLevel="0" collapsed="false">
      <c r="A1274" s="6" t="s">
        <v>449</v>
      </c>
      <c r="B1274" s="6" t="s">
        <v>229</v>
      </c>
      <c r="C1274" s="6" t="s">
        <v>932</v>
      </c>
      <c r="D1274" s="6" t="s">
        <v>1161</v>
      </c>
    </row>
    <row r="1275" customFormat="false" ht="15" hidden="false" customHeight="false" outlineLevel="0" collapsed="false">
      <c r="A1275" s="6" t="s">
        <v>449</v>
      </c>
      <c r="B1275" s="6" t="s">
        <v>229</v>
      </c>
      <c r="C1275" s="6" t="s">
        <v>932</v>
      </c>
      <c r="D1275" s="6" t="s">
        <v>1577</v>
      </c>
    </row>
    <row r="1276" customFormat="false" ht="35.05" hidden="false" customHeight="false" outlineLevel="0" collapsed="false">
      <c r="A1276" s="6" t="s">
        <v>449</v>
      </c>
      <c r="B1276" s="6" t="s">
        <v>229</v>
      </c>
      <c r="C1276" s="6" t="s">
        <v>932</v>
      </c>
      <c r="D1276" s="6" t="s">
        <v>1163</v>
      </c>
    </row>
    <row r="1277" customFormat="false" ht="46.25" hidden="false" customHeight="false" outlineLevel="0" collapsed="false">
      <c r="A1277" s="6" t="s">
        <v>449</v>
      </c>
      <c r="B1277" s="6" t="s">
        <v>229</v>
      </c>
      <c r="C1277" s="6" t="s">
        <v>932</v>
      </c>
      <c r="D1277" s="6" t="s">
        <v>1164</v>
      </c>
    </row>
    <row r="1278" customFormat="false" ht="23.85" hidden="false" customHeight="false" outlineLevel="0" collapsed="false">
      <c r="A1278" s="6" t="s">
        <v>449</v>
      </c>
      <c r="B1278" s="6" t="s">
        <v>229</v>
      </c>
      <c r="C1278" s="6" t="s">
        <v>932</v>
      </c>
      <c r="D1278" s="6" t="s">
        <v>1162</v>
      </c>
    </row>
    <row r="1279" customFormat="false" ht="23.85" hidden="false" customHeight="false" outlineLevel="0" collapsed="false">
      <c r="A1279" s="6" t="s">
        <v>449</v>
      </c>
      <c r="B1279" s="6" t="s">
        <v>146</v>
      </c>
      <c r="C1279" s="6" t="s">
        <v>932</v>
      </c>
      <c r="D1279" s="6" t="s">
        <v>432</v>
      </c>
    </row>
    <row r="1280" customFormat="false" ht="35.05" hidden="false" customHeight="false" outlineLevel="0" collapsed="false">
      <c r="A1280" s="6" t="s">
        <v>449</v>
      </c>
      <c r="B1280" s="6" t="s">
        <v>99</v>
      </c>
      <c r="C1280" s="6" t="s">
        <v>932</v>
      </c>
      <c r="D1280" s="6" t="s">
        <v>225</v>
      </c>
    </row>
    <row r="1281" customFormat="false" ht="23.85" hidden="false" customHeight="false" outlineLevel="0" collapsed="false">
      <c r="A1281" s="6" t="s">
        <v>449</v>
      </c>
      <c r="B1281" s="6" t="s">
        <v>99</v>
      </c>
      <c r="C1281" s="6" t="s">
        <v>974</v>
      </c>
      <c r="D1281" s="6" t="s">
        <v>975</v>
      </c>
    </row>
    <row r="1282" customFormat="false" ht="46.25" hidden="false" customHeight="false" outlineLevel="0" collapsed="false">
      <c r="A1282" s="6" t="s">
        <v>529</v>
      </c>
      <c r="B1282" s="6" t="s">
        <v>229</v>
      </c>
      <c r="C1282" s="6" t="s">
        <v>932</v>
      </c>
      <c r="D1282" s="6" t="s">
        <v>1167</v>
      </c>
    </row>
    <row r="1283" customFormat="false" ht="68.65" hidden="false" customHeight="false" outlineLevel="0" collapsed="false">
      <c r="A1283" s="6" t="s">
        <v>529</v>
      </c>
      <c r="B1283" s="6" t="s">
        <v>229</v>
      </c>
      <c r="C1283" s="6" t="s">
        <v>932</v>
      </c>
      <c r="D1283" s="6" t="s">
        <v>230</v>
      </c>
    </row>
    <row r="1284" customFormat="false" ht="23.85" hidden="false" customHeight="false" outlineLevel="0" collapsed="false">
      <c r="A1284" s="6" t="s">
        <v>529</v>
      </c>
      <c r="B1284" s="6" t="s">
        <v>229</v>
      </c>
      <c r="C1284" s="6" t="s">
        <v>932</v>
      </c>
      <c r="D1284" s="6" t="s">
        <v>513</v>
      </c>
    </row>
    <row r="1285" customFormat="false" ht="23.85" hidden="false" customHeight="false" outlineLevel="0" collapsed="false">
      <c r="A1285" s="6" t="s">
        <v>529</v>
      </c>
      <c r="B1285" s="6" t="s">
        <v>229</v>
      </c>
      <c r="C1285" s="6" t="s">
        <v>932</v>
      </c>
      <c r="D1285" s="6" t="s">
        <v>1578</v>
      </c>
    </row>
    <row r="1286" customFormat="false" ht="57.45" hidden="false" customHeight="false" outlineLevel="0" collapsed="false">
      <c r="A1286" s="6" t="s">
        <v>529</v>
      </c>
      <c r="B1286" s="6" t="s">
        <v>229</v>
      </c>
      <c r="C1286" s="6" t="s">
        <v>932</v>
      </c>
      <c r="D1286" s="6" t="s">
        <v>532</v>
      </c>
    </row>
    <row r="1287" customFormat="false" ht="15" hidden="false" customHeight="false" outlineLevel="0" collapsed="false">
      <c r="A1287" s="6" t="s">
        <v>161</v>
      </c>
      <c r="B1287" s="6" t="s">
        <v>109</v>
      </c>
      <c r="C1287" s="6" t="s">
        <v>932</v>
      </c>
      <c r="D1287" s="6" t="s">
        <v>1579</v>
      </c>
    </row>
    <row r="1288" customFormat="false" ht="57.45" hidden="false" customHeight="false" outlineLevel="0" collapsed="false">
      <c r="A1288" s="6" t="s">
        <v>161</v>
      </c>
      <c r="B1288" s="6" t="s">
        <v>109</v>
      </c>
      <c r="C1288" s="6" t="s">
        <v>932</v>
      </c>
      <c r="D1288" s="6" t="s">
        <v>1011</v>
      </c>
    </row>
    <row r="1289" customFormat="false" ht="57.45" hidden="false" customHeight="false" outlineLevel="0" collapsed="false">
      <c r="A1289" s="6" t="s">
        <v>161</v>
      </c>
      <c r="B1289" s="6" t="s">
        <v>109</v>
      </c>
      <c r="C1289" s="6" t="s">
        <v>932</v>
      </c>
      <c r="D1289" s="6" t="s">
        <v>1580</v>
      </c>
    </row>
    <row r="1290" customFormat="false" ht="91" hidden="false" customHeight="false" outlineLevel="0" collapsed="false">
      <c r="A1290" s="6" t="s">
        <v>161</v>
      </c>
      <c r="B1290" s="6" t="s">
        <v>109</v>
      </c>
      <c r="C1290" s="6" t="s">
        <v>932</v>
      </c>
      <c r="D1290" s="6" t="s">
        <v>1013</v>
      </c>
    </row>
    <row r="1291" customFormat="false" ht="35.05" hidden="false" customHeight="false" outlineLevel="0" collapsed="false">
      <c r="A1291" s="6" t="s">
        <v>161</v>
      </c>
      <c r="B1291" s="6" t="s">
        <v>229</v>
      </c>
      <c r="C1291" s="6" t="s">
        <v>932</v>
      </c>
      <c r="D1291" s="6" t="s">
        <v>1163</v>
      </c>
    </row>
    <row r="1292" customFormat="false" ht="23.85" hidden="false" customHeight="false" outlineLevel="0" collapsed="false">
      <c r="A1292" s="6" t="s">
        <v>161</v>
      </c>
      <c r="B1292" s="6" t="s">
        <v>330</v>
      </c>
      <c r="C1292" s="6" t="s">
        <v>932</v>
      </c>
      <c r="D1292" s="6" t="s">
        <v>1459</v>
      </c>
    </row>
    <row r="1293" customFormat="false" ht="23.85" hidden="false" customHeight="false" outlineLevel="0" collapsed="false">
      <c r="A1293" s="6" t="s">
        <v>161</v>
      </c>
      <c r="B1293" s="6" t="s">
        <v>168</v>
      </c>
      <c r="C1293" s="6" t="s">
        <v>932</v>
      </c>
      <c r="D1293" s="6" t="s">
        <v>174</v>
      </c>
    </row>
    <row r="1294" customFormat="false" ht="23.85" hidden="false" customHeight="false" outlineLevel="0" collapsed="false">
      <c r="A1294" s="6" t="s">
        <v>161</v>
      </c>
      <c r="B1294" s="6" t="s">
        <v>168</v>
      </c>
      <c r="C1294" s="6" t="s">
        <v>932</v>
      </c>
      <c r="D1294" s="6" t="s">
        <v>1573</v>
      </c>
    </row>
    <row r="1295" customFormat="false" ht="15" hidden="false" customHeight="false" outlineLevel="0" collapsed="false">
      <c r="A1295" s="6" t="s">
        <v>161</v>
      </c>
      <c r="B1295" s="6" t="s">
        <v>190</v>
      </c>
      <c r="C1295" s="6" t="s">
        <v>932</v>
      </c>
      <c r="D1295" s="6" t="s">
        <v>1581</v>
      </c>
    </row>
    <row r="1296" customFormat="false" ht="23.85" hidden="false" customHeight="false" outlineLevel="0" collapsed="false">
      <c r="A1296" s="6" t="s">
        <v>161</v>
      </c>
      <c r="B1296" s="6" t="s">
        <v>190</v>
      </c>
      <c r="C1296" s="6" t="s">
        <v>932</v>
      </c>
      <c r="D1296" s="6" t="s">
        <v>1582</v>
      </c>
    </row>
    <row r="1297" customFormat="false" ht="23.85" hidden="false" customHeight="false" outlineLevel="0" collapsed="false">
      <c r="A1297" s="6" t="s">
        <v>161</v>
      </c>
      <c r="B1297" s="6" t="s">
        <v>169</v>
      </c>
      <c r="C1297" s="6" t="s">
        <v>932</v>
      </c>
      <c r="D1297" s="6" t="s">
        <v>170</v>
      </c>
    </row>
    <row r="1298" customFormat="false" ht="23.85" hidden="false" customHeight="false" outlineLevel="0" collapsed="false">
      <c r="A1298" s="6" t="s">
        <v>161</v>
      </c>
      <c r="B1298" s="6" t="s">
        <v>99</v>
      </c>
      <c r="C1298" s="6" t="s">
        <v>1005</v>
      </c>
      <c r="D1298" s="6" t="s">
        <v>1006</v>
      </c>
    </row>
    <row r="1299" customFormat="false" ht="35.05" hidden="false" customHeight="false" outlineLevel="0" collapsed="false">
      <c r="A1299" s="6" t="s">
        <v>161</v>
      </c>
      <c r="B1299" s="6" t="s">
        <v>62</v>
      </c>
      <c r="C1299" s="6" t="s">
        <v>932</v>
      </c>
      <c r="D1299" s="6" t="s">
        <v>1315</v>
      </c>
    </row>
    <row r="1300" customFormat="false" ht="23.85" hidden="false" customHeight="false" outlineLevel="0" collapsed="false">
      <c r="A1300" s="6" t="s">
        <v>161</v>
      </c>
      <c r="B1300" s="6" t="s">
        <v>62</v>
      </c>
      <c r="C1300" s="6" t="s">
        <v>932</v>
      </c>
      <c r="D1300" s="6" t="s">
        <v>1471</v>
      </c>
    </row>
    <row r="1301" customFormat="false" ht="23.85" hidden="false" customHeight="false" outlineLevel="0" collapsed="false">
      <c r="A1301" s="6" t="s">
        <v>161</v>
      </c>
      <c r="B1301" s="6" t="s">
        <v>62</v>
      </c>
      <c r="C1301" s="6" t="s">
        <v>932</v>
      </c>
      <c r="D1301" s="6" t="s">
        <v>156</v>
      </c>
    </row>
    <row r="1302" customFormat="false" ht="23.85" hidden="false" customHeight="false" outlineLevel="0" collapsed="false">
      <c r="A1302" s="6" t="s">
        <v>161</v>
      </c>
      <c r="B1302" s="6" t="s">
        <v>62</v>
      </c>
      <c r="C1302" s="6" t="s">
        <v>932</v>
      </c>
      <c r="D1302" s="6" t="s">
        <v>164</v>
      </c>
    </row>
    <row r="1303" customFormat="false" ht="23.85" hidden="false" customHeight="false" outlineLevel="0" collapsed="false">
      <c r="A1303" s="6" t="s">
        <v>359</v>
      </c>
      <c r="B1303" s="6" t="s">
        <v>330</v>
      </c>
      <c r="C1303" s="6" t="s">
        <v>932</v>
      </c>
      <c r="D1303" s="6" t="s">
        <v>351</v>
      </c>
    </row>
    <row r="1304" customFormat="false" ht="23.85" hidden="false" customHeight="false" outlineLevel="0" collapsed="false">
      <c r="A1304" s="6" t="s">
        <v>359</v>
      </c>
      <c r="B1304" s="6" t="s">
        <v>190</v>
      </c>
      <c r="C1304" s="6" t="s">
        <v>932</v>
      </c>
      <c r="D1304" s="6" t="s">
        <v>362</v>
      </c>
    </row>
    <row r="1305" customFormat="false" ht="15" hidden="false" customHeight="false" outlineLevel="0" collapsed="false">
      <c r="A1305" s="6" t="s">
        <v>359</v>
      </c>
      <c r="B1305" s="6" t="s">
        <v>80</v>
      </c>
      <c r="C1305" s="6" t="s">
        <v>932</v>
      </c>
      <c r="D1305" s="6" t="s">
        <v>1583</v>
      </c>
    </row>
    <row r="1306" customFormat="false" ht="57.45" hidden="false" customHeight="false" outlineLevel="0" collapsed="false">
      <c r="A1306" s="6" t="s">
        <v>474</v>
      </c>
      <c r="B1306" s="6" t="s">
        <v>95</v>
      </c>
      <c r="C1306" s="6" t="s">
        <v>932</v>
      </c>
      <c r="D1306" s="6" t="s">
        <v>1206</v>
      </c>
    </row>
    <row r="1307" customFormat="false" ht="35.05" hidden="false" customHeight="false" outlineLevel="0" collapsed="false">
      <c r="A1307" s="6" t="s">
        <v>474</v>
      </c>
      <c r="B1307" s="6" t="s">
        <v>229</v>
      </c>
      <c r="C1307" s="6" t="s">
        <v>932</v>
      </c>
      <c r="D1307" s="6" t="s">
        <v>1584</v>
      </c>
    </row>
    <row r="1308" customFormat="false" ht="23.85" hidden="false" customHeight="false" outlineLevel="0" collapsed="false">
      <c r="A1308" s="6" t="s">
        <v>474</v>
      </c>
      <c r="B1308" s="6" t="s">
        <v>146</v>
      </c>
      <c r="C1308" s="6" t="s">
        <v>932</v>
      </c>
      <c r="D1308" s="6" t="s">
        <v>477</v>
      </c>
    </row>
    <row r="1309" customFormat="false" ht="15" hidden="false" customHeight="false" outlineLevel="0" collapsed="false">
      <c r="A1309" s="6" t="s">
        <v>474</v>
      </c>
      <c r="B1309" s="6" t="s">
        <v>80</v>
      </c>
      <c r="C1309" s="6" t="s">
        <v>932</v>
      </c>
      <c r="D1309" s="6" t="s">
        <v>1585</v>
      </c>
    </row>
    <row r="1310" customFormat="false" ht="35.05" hidden="false" customHeight="false" outlineLevel="0" collapsed="false">
      <c r="A1310" s="6" t="s">
        <v>474</v>
      </c>
      <c r="B1310" s="6" t="s">
        <v>104</v>
      </c>
      <c r="C1310" s="6" t="s">
        <v>1212</v>
      </c>
      <c r="D1310" s="6" t="s">
        <v>1213</v>
      </c>
    </row>
    <row r="1311" customFormat="false" ht="23.85" hidden="false" customHeight="false" outlineLevel="0" collapsed="false">
      <c r="A1311" s="6" t="s">
        <v>474</v>
      </c>
      <c r="B1311" s="6" t="s">
        <v>104</v>
      </c>
      <c r="C1311" s="6" t="s">
        <v>1214</v>
      </c>
      <c r="D1311" s="6" t="s">
        <v>1215</v>
      </c>
    </row>
    <row r="1312" customFormat="false" ht="236.55" hidden="false" customHeight="false" outlineLevel="0" collapsed="false">
      <c r="A1312" s="6" t="s">
        <v>618</v>
      </c>
      <c r="B1312" s="6" t="s">
        <v>60</v>
      </c>
      <c r="C1312" s="6" t="s">
        <v>1038</v>
      </c>
      <c r="D1312" s="6" t="s">
        <v>1039</v>
      </c>
    </row>
    <row r="1313" customFormat="false" ht="23.85" hidden="false" customHeight="false" outlineLevel="0" collapsed="false">
      <c r="A1313" s="6" t="s">
        <v>288</v>
      </c>
      <c r="B1313" s="6" t="s">
        <v>86</v>
      </c>
      <c r="C1313" s="6" t="s">
        <v>932</v>
      </c>
      <c r="D1313" s="6" t="s">
        <v>1159</v>
      </c>
    </row>
    <row r="1314" customFormat="false" ht="46.25" hidden="false" customHeight="false" outlineLevel="0" collapsed="false">
      <c r="A1314" s="6" t="s">
        <v>288</v>
      </c>
      <c r="B1314" s="6" t="s">
        <v>86</v>
      </c>
      <c r="C1314" s="6" t="s">
        <v>932</v>
      </c>
      <c r="D1314" s="6" t="s">
        <v>1003</v>
      </c>
    </row>
    <row r="1315" customFormat="false" ht="23.85" hidden="false" customHeight="false" outlineLevel="0" collapsed="false">
      <c r="A1315" s="6" t="s">
        <v>288</v>
      </c>
      <c r="B1315" s="6" t="s">
        <v>86</v>
      </c>
      <c r="C1315" s="6" t="s">
        <v>932</v>
      </c>
      <c r="D1315" s="6" t="s">
        <v>1085</v>
      </c>
    </row>
    <row r="1316" customFormat="false" ht="23.85" hidden="false" customHeight="false" outlineLevel="0" collapsed="false">
      <c r="A1316" s="6" t="s">
        <v>288</v>
      </c>
      <c r="B1316" s="6" t="s">
        <v>86</v>
      </c>
      <c r="C1316" s="6" t="s">
        <v>932</v>
      </c>
      <c r="D1316" s="6" t="s">
        <v>1050</v>
      </c>
    </row>
    <row r="1317" customFormat="false" ht="35.05" hidden="false" customHeight="false" outlineLevel="0" collapsed="false">
      <c r="A1317" s="6" t="s">
        <v>288</v>
      </c>
      <c r="B1317" s="6" t="s">
        <v>86</v>
      </c>
      <c r="C1317" s="6" t="s">
        <v>932</v>
      </c>
      <c r="D1317" s="6" t="s">
        <v>1057</v>
      </c>
    </row>
    <row r="1318" customFormat="false" ht="23.85" hidden="false" customHeight="false" outlineLevel="0" collapsed="false">
      <c r="A1318" s="6" t="s">
        <v>288</v>
      </c>
      <c r="B1318" s="6" t="s">
        <v>86</v>
      </c>
      <c r="C1318" s="6" t="s">
        <v>932</v>
      </c>
      <c r="D1318" s="6" t="s">
        <v>1059</v>
      </c>
    </row>
    <row r="1319" customFormat="false" ht="23.85" hidden="false" customHeight="false" outlineLevel="0" collapsed="false">
      <c r="A1319" s="6" t="s">
        <v>288</v>
      </c>
      <c r="B1319" s="6" t="s">
        <v>86</v>
      </c>
      <c r="C1319" s="6" t="s">
        <v>932</v>
      </c>
      <c r="D1319" s="6" t="s">
        <v>1060</v>
      </c>
    </row>
    <row r="1320" customFormat="false" ht="15" hidden="false" customHeight="false" outlineLevel="0" collapsed="false">
      <c r="A1320" s="6" t="s">
        <v>288</v>
      </c>
      <c r="B1320" s="6" t="s">
        <v>86</v>
      </c>
      <c r="C1320" s="6" t="s">
        <v>932</v>
      </c>
      <c r="D1320" s="6" t="s">
        <v>1586</v>
      </c>
    </row>
    <row r="1321" customFormat="false" ht="15" hidden="false" customHeight="false" outlineLevel="0" collapsed="false">
      <c r="A1321" s="6" t="s">
        <v>288</v>
      </c>
      <c r="B1321" s="6" t="s">
        <v>95</v>
      </c>
      <c r="C1321" s="6" t="s">
        <v>932</v>
      </c>
      <c r="D1321" s="6" t="s">
        <v>1587</v>
      </c>
    </row>
    <row r="1322" customFormat="false" ht="15" hidden="false" customHeight="false" outlineLevel="0" collapsed="false">
      <c r="A1322" s="6" t="s">
        <v>288</v>
      </c>
      <c r="B1322" s="6" t="s">
        <v>95</v>
      </c>
      <c r="C1322" s="6" t="s">
        <v>932</v>
      </c>
      <c r="D1322" s="6" t="s">
        <v>1588</v>
      </c>
    </row>
    <row r="1323" customFormat="false" ht="23.85" hidden="false" customHeight="false" outlineLevel="0" collapsed="false">
      <c r="A1323" s="6" t="s">
        <v>288</v>
      </c>
      <c r="B1323" s="6" t="s">
        <v>95</v>
      </c>
      <c r="C1323" s="6" t="s">
        <v>932</v>
      </c>
      <c r="D1323" s="6" t="s">
        <v>1589</v>
      </c>
    </row>
    <row r="1324" customFormat="false" ht="23.85" hidden="false" customHeight="false" outlineLevel="0" collapsed="false">
      <c r="A1324" s="6" t="s">
        <v>288</v>
      </c>
      <c r="B1324" s="6" t="s">
        <v>95</v>
      </c>
      <c r="C1324" s="6" t="s">
        <v>932</v>
      </c>
      <c r="D1324" s="6" t="s">
        <v>295</v>
      </c>
    </row>
    <row r="1325" customFormat="false" ht="15" hidden="false" customHeight="false" outlineLevel="0" collapsed="false">
      <c r="A1325" s="6" t="s">
        <v>288</v>
      </c>
      <c r="B1325" s="6" t="s">
        <v>95</v>
      </c>
      <c r="C1325" s="6" t="s">
        <v>932</v>
      </c>
      <c r="D1325" s="6" t="s">
        <v>1086</v>
      </c>
    </row>
    <row r="1326" customFormat="false" ht="23.85" hidden="false" customHeight="false" outlineLevel="0" collapsed="false">
      <c r="A1326" s="6" t="s">
        <v>288</v>
      </c>
      <c r="B1326" s="6" t="s">
        <v>229</v>
      </c>
      <c r="C1326" s="6" t="s">
        <v>932</v>
      </c>
      <c r="D1326" s="6" t="s">
        <v>276</v>
      </c>
    </row>
    <row r="1327" customFormat="false" ht="35.05" hidden="false" customHeight="false" outlineLevel="0" collapsed="false">
      <c r="A1327" s="6" t="s">
        <v>288</v>
      </c>
      <c r="B1327" s="6" t="s">
        <v>80</v>
      </c>
      <c r="C1327" s="6" t="s">
        <v>932</v>
      </c>
      <c r="D1327" s="6" t="s">
        <v>114</v>
      </c>
    </row>
    <row r="1328" customFormat="false" ht="23.85" hidden="false" customHeight="false" outlineLevel="0" collapsed="false">
      <c r="A1328" s="6" t="s">
        <v>288</v>
      </c>
      <c r="B1328" s="6" t="s">
        <v>80</v>
      </c>
      <c r="C1328" s="6" t="s">
        <v>932</v>
      </c>
      <c r="D1328" s="6" t="s">
        <v>1513</v>
      </c>
    </row>
    <row r="1329" customFormat="false" ht="79.85" hidden="false" customHeight="false" outlineLevel="0" collapsed="false">
      <c r="A1329" s="6" t="s">
        <v>288</v>
      </c>
      <c r="B1329" s="6" t="s">
        <v>80</v>
      </c>
      <c r="C1329" s="6" t="s">
        <v>932</v>
      </c>
      <c r="D1329" s="6" t="s">
        <v>87</v>
      </c>
    </row>
    <row r="1330" customFormat="false" ht="135.8" hidden="false" customHeight="false" outlineLevel="0" collapsed="false">
      <c r="A1330" s="6" t="s">
        <v>452</v>
      </c>
      <c r="B1330" s="6" t="s">
        <v>238</v>
      </c>
      <c r="C1330" s="6" t="s">
        <v>1590</v>
      </c>
      <c r="D1330" s="6" t="s">
        <v>1591</v>
      </c>
    </row>
    <row r="1331" customFormat="false" ht="15" hidden="false" customHeight="false" outlineLevel="0" collapsed="false">
      <c r="A1331" s="6" t="s">
        <v>165</v>
      </c>
      <c r="B1331" s="6" t="s">
        <v>168</v>
      </c>
      <c r="C1331" s="6" t="s">
        <v>932</v>
      </c>
      <c r="D1331" s="6" t="s">
        <v>1463</v>
      </c>
    </row>
    <row r="1332" customFormat="false" ht="23.85" hidden="false" customHeight="false" outlineLevel="0" collapsed="false">
      <c r="A1332" s="6" t="s">
        <v>165</v>
      </c>
      <c r="B1332" s="6" t="s">
        <v>168</v>
      </c>
      <c r="C1332" s="6" t="s">
        <v>932</v>
      </c>
      <c r="D1332" s="6" t="s">
        <v>1592</v>
      </c>
    </row>
    <row r="1333" customFormat="false" ht="23.85" hidden="false" customHeight="false" outlineLevel="0" collapsed="false">
      <c r="A1333" s="6" t="s">
        <v>165</v>
      </c>
      <c r="B1333" s="6" t="s">
        <v>169</v>
      </c>
      <c r="C1333" s="6" t="s">
        <v>932</v>
      </c>
      <c r="D1333" s="6" t="s">
        <v>170</v>
      </c>
    </row>
    <row r="1334" customFormat="false" ht="158.2" hidden="false" customHeight="false" outlineLevel="0" collapsed="false">
      <c r="A1334" s="6" t="s">
        <v>363</v>
      </c>
      <c r="B1334" s="6" t="s">
        <v>60</v>
      </c>
      <c r="C1334" s="6" t="s">
        <v>1095</v>
      </c>
      <c r="D1334" s="6" t="s">
        <v>1096</v>
      </c>
    </row>
    <row r="1335" customFormat="false" ht="15" hidden="false" customHeight="false" outlineLevel="0" collapsed="false">
      <c r="A1335" s="6" t="s">
        <v>402</v>
      </c>
      <c r="B1335" s="6" t="s">
        <v>229</v>
      </c>
      <c r="C1335" s="6" t="s">
        <v>932</v>
      </c>
      <c r="D1335" s="6" t="s">
        <v>1300</v>
      </c>
    </row>
    <row r="1336" customFormat="false" ht="15" hidden="false" customHeight="false" outlineLevel="0" collapsed="false">
      <c r="A1336" s="6" t="s">
        <v>402</v>
      </c>
      <c r="B1336" s="6" t="s">
        <v>229</v>
      </c>
      <c r="C1336" s="6" t="s">
        <v>932</v>
      </c>
      <c r="D1336" s="6" t="s">
        <v>1593</v>
      </c>
    </row>
    <row r="1337" customFormat="false" ht="15" hidden="false" customHeight="false" outlineLevel="0" collapsed="false">
      <c r="A1337" s="6" t="s">
        <v>402</v>
      </c>
      <c r="B1337" s="6" t="s">
        <v>229</v>
      </c>
      <c r="C1337" s="6" t="s">
        <v>932</v>
      </c>
      <c r="D1337" s="6" t="s">
        <v>1594</v>
      </c>
    </row>
    <row r="1338" customFormat="false" ht="15" hidden="false" customHeight="false" outlineLevel="0" collapsed="false">
      <c r="A1338" s="6" t="s">
        <v>402</v>
      </c>
      <c r="B1338" s="6" t="s">
        <v>229</v>
      </c>
      <c r="C1338" s="6" t="s">
        <v>932</v>
      </c>
      <c r="D1338" s="6" t="s">
        <v>1301</v>
      </c>
    </row>
    <row r="1339" customFormat="false" ht="23.85" hidden="false" customHeight="false" outlineLevel="0" collapsed="false">
      <c r="A1339" s="6" t="s">
        <v>402</v>
      </c>
      <c r="B1339" s="6" t="s">
        <v>146</v>
      </c>
      <c r="C1339" s="6" t="s">
        <v>932</v>
      </c>
      <c r="D1339" s="6" t="s">
        <v>377</v>
      </c>
    </row>
    <row r="1340" customFormat="false" ht="15" hidden="false" customHeight="false" outlineLevel="0" collapsed="false">
      <c r="A1340" s="6" t="s">
        <v>402</v>
      </c>
      <c r="B1340" s="6" t="s">
        <v>169</v>
      </c>
      <c r="C1340" s="6" t="s">
        <v>932</v>
      </c>
      <c r="D1340" s="6" t="s">
        <v>1100</v>
      </c>
    </row>
    <row r="1341" customFormat="false" ht="23.85" hidden="false" customHeight="false" outlineLevel="0" collapsed="false">
      <c r="A1341" s="6" t="s">
        <v>264</v>
      </c>
      <c r="B1341" s="6" t="s">
        <v>109</v>
      </c>
      <c r="C1341" s="6" t="s">
        <v>932</v>
      </c>
      <c r="D1341" s="6" t="s">
        <v>991</v>
      </c>
    </row>
    <row r="1342" customFormat="false" ht="46.25" hidden="false" customHeight="false" outlineLevel="0" collapsed="false">
      <c r="A1342" s="6" t="s">
        <v>264</v>
      </c>
      <c r="B1342" s="6" t="s">
        <v>109</v>
      </c>
      <c r="C1342" s="6" t="s">
        <v>932</v>
      </c>
      <c r="D1342" s="6" t="s">
        <v>992</v>
      </c>
    </row>
    <row r="1343" customFormat="false" ht="35.05" hidden="false" customHeight="false" outlineLevel="0" collapsed="false">
      <c r="A1343" s="6" t="s">
        <v>264</v>
      </c>
      <c r="B1343" s="6" t="s">
        <v>186</v>
      </c>
      <c r="C1343" s="6" t="s">
        <v>932</v>
      </c>
      <c r="D1343" s="6" t="s">
        <v>259</v>
      </c>
    </row>
    <row r="1344" customFormat="false" ht="46.25" hidden="false" customHeight="false" outlineLevel="0" collapsed="false">
      <c r="A1344" s="6" t="s">
        <v>264</v>
      </c>
      <c r="B1344" s="6" t="s">
        <v>186</v>
      </c>
      <c r="C1344" s="6" t="s">
        <v>932</v>
      </c>
      <c r="D1344" s="6" t="s">
        <v>1027</v>
      </c>
    </row>
    <row r="1345" customFormat="false" ht="23.85" hidden="false" customHeight="false" outlineLevel="0" collapsed="false">
      <c r="A1345" s="6" t="s">
        <v>264</v>
      </c>
      <c r="B1345" s="6" t="s">
        <v>186</v>
      </c>
      <c r="C1345" s="6" t="s">
        <v>932</v>
      </c>
      <c r="D1345" s="6" t="s">
        <v>1028</v>
      </c>
    </row>
    <row r="1346" customFormat="false" ht="35.05" hidden="false" customHeight="false" outlineLevel="0" collapsed="false">
      <c r="A1346" s="6" t="s">
        <v>264</v>
      </c>
      <c r="B1346" s="6" t="s">
        <v>186</v>
      </c>
      <c r="C1346" s="6" t="s">
        <v>932</v>
      </c>
      <c r="D1346" s="6" t="s">
        <v>1029</v>
      </c>
    </row>
    <row r="1347" customFormat="false" ht="35.05" hidden="false" customHeight="false" outlineLevel="0" collapsed="false">
      <c r="A1347" s="6" t="s">
        <v>264</v>
      </c>
      <c r="B1347" s="6" t="s">
        <v>186</v>
      </c>
      <c r="C1347" s="6" t="s">
        <v>932</v>
      </c>
      <c r="D1347" s="6" t="s">
        <v>1595</v>
      </c>
    </row>
    <row r="1348" customFormat="false" ht="35.05" hidden="false" customHeight="false" outlineLevel="0" collapsed="false">
      <c r="A1348" s="6" t="s">
        <v>264</v>
      </c>
      <c r="B1348" s="6" t="s">
        <v>168</v>
      </c>
      <c r="C1348" s="6" t="s">
        <v>932</v>
      </c>
      <c r="D1348" s="6" t="s">
        <v>969</v>
      </c>
    </row>
    <row r="1349" customFormat="false" ht="46.25" hidden="false" customHeight="false" outlineLevel="0" collapsed="false">
      <c r="A1349" s="6" t="s">
        <v>264</v>
      </c>
      <c r="B1349" s="6" t="s">
        <v>168</v>
      </c>
      <c r="C1349" s="6" t="s">
        <v>932</v>
      </c>
      <c r="D1349" s="6" t="s">
        <v>267</v>
      </c>
    </row>
    <row r="1350" customFormat="false" ht="214.15" hidden="false" customHeight="false" outlineLevel="0" collapsed="false">
      <c r="A1350" s="6" t="s">
        <v>405</v>
      </c>
      <c r="B1350" s="6" t="s">
        <v>60</v>
      </c>
      <c r="C1350" s="6" t="s">
        <v>1138</v>
      </c>
      <c r="D1350" s="6" t="s">
        <v>1139</v>
      </c>
    </row>
    <row r="1351" customFormat="false" ht="35.05" hidden="false" customHeight="false" outlineLevel="0" collapsed="false">
      <c r="A1351" s="6" t="s">
        <v>243</v>
      </c>
      <c r="B1351" s="6" t="s">
        <v>109</v>
      </c>
      <c r="C1351" s="6" t="s">
        <v>932</v>
      </c>
      <c r="D1351" s="6" t="s">
        <v>1089</v>
      </c>
    </row>
    <row r="1352" customFormat="false" ht="35.05" hidden="false" customHeight="false" outlineLevel="0" collapsed="false">
      <c r="A1352" s="6" t="s">
        <v>243</v>
      </c>
      <c r="B1352" s="6" t="s">
        <v>186</v>
      </c>
      <c r="C1352" s="6" t="s">
        <v>932</v>
      </c>
      <c r="D1352" s="6" t="s">
        <v>259</v>
      </c>
    </row>
    <row r="1353" customFormat="false" ht="23.85" hidden="false" customHeight="false" outlineLevel="0" collapsed="false">
      <c r="A1353" s="6" t="s">
        <v>243</v>
      </c>
      <c r="B1353" s="6" t="s">
        <v>168</v>
      </c>
      <c r="C1353" s="6" t="s">
        <v>932</v>
      </c>
      <c r="D1353" s="6" t="s">
        <v>1004</v>
      </c>
    </row>
    <row r="1354" customFormat="false" ht="23.85" hidden="false" customHeight="false" outlineLevel="0" collapsed="false">
      <c r="A1354" s="6" t="s">
        <v>243</v>
      </c>
      <c r="B1354" s="6" t="s">
        <v>168</v>
      </c>
      <c r="C1354" s="6" t="s">
        <v>932</v>
      </c>
      <c r="D1354" s="6" t="s">
        <v>138</v>
      </c>
    </row>
    <row r="1355" customFormat="false" ht="23.85" hidden="false" customHeight="false" outlineLevel="0" collapsed="false">
      <c r="A1355" s="6" t="s">
        <v>243</v>
      </c>
      <c r="B1355" s="6" t="s">
        <v>99</v>
      </c>
      <c r="C1355" s="6" t="s">
        <v>1005</v>
      </c>
      <c r="D1355" s="6" t="s">
        <v>1006</v>
      </c>
    </row>
    <row r="1356" customFormat="false" ht="46.25" hidden="false" customHeight="false" outlineLevel="0" collapsed="false">
      <c r="A1356" s="6" t="s">
        <v>243</v>
      </c>
      <c r="B1356" s="6" t="s">
        <v>62</v>
      </c>
      <c r="C1356" s="6" t="s">
        <v>932</v>
      </c>
      <c r="D1356" s="6" t="s">
        <v>246</v>
      </c>
    </row>
    <row r="1357" customFormat="false" ht="135.8" hidden="false" customHeight="false" outlineLevel="0" collapsed="false">
      <c r="A1357" s="6" t="s">
        <v>243</v>
      </c>
      <c r="B1357" s="6" t="s">
        <v>238</v>
      </c>
      <c r="C1357" s="6" t="s">
        <v>1178</v>
      </c>
      <c r="D1357" s="6" t="s">
        <v>1179</v>
      </c>
    </row>
    <row r="1358" customFormat="false" ht="35.05" hidden="false" customHeight="false" outlineLevel="0" collapsed="false">
      <c r="A1358" s="6" t="s">
        <v>122</v>
      </c>
      <c r="B1358" s="6" t="s">
        <v>86</v>
      </c>
      <c r="C1358" s="6" t="s">
        <v>932</v>
      </c>
      <c r="D1358" s="6" t="s">
        <v>994</v>
      </c>
    </row>
    <row r="1359" customFormat="false" ht="15" hidden="false" customHeight="false" outlineLevel="0" collapsed="false">
      <c r="A1359" s="6" t="s">
        <v>122</v>
      </c>
      <c r="B1359" s="6" t="s">
        <v>86</v>
      </c>
      <c r="C1359" s="6" t="s">
        <v>932</v>
      </c>
      <c r="D1359" s="6" t="s">
        <v>951</v>
      </c>
    </row>
    <row r="1360" customFormat="false" ht="23.85" hidden="false" customHeight="false" outlineLevel="0" collapsed="false">
      <c r="A1360" s="6" t="s">
        <v>122</v>
      </c>
      <c r="B1360" s="6" t="s">
        <v>86</v>
      </c>
      <c r="C1360" s="6" t="s">
        <v>932</v>
      </c>
      <c r="D1360" s="6" t="s">
        <v>995</v>
      </c>
    </row>
    <row r="1361" customFormat="false" ht="23.85" hidden="false" customHeight="false" outlineLevel="0" collapsed="false">
      <c r="A1361" s="6" t="s">
        <v>122</v>
      </c>
      <c r="B1361" s="6" t="s">
        <v>86</v>
      </c>
      <c r="C1361" s="6" t="s">
        <v>932</v>
      </c>
      <c r="D1361" s="6" t="s">
        <v>996</v>
      </c>
    </row>
    <row r="1362" customFormat="false" ht="57.45" hidden="false" customHeight="false" outlineLevel="0" collapsed="false">
      <c r="A1362" s="6" t="s">
        <v>122</v>
      </c>
      <c r="B1362" s="6" t="s">
        <v>86</v>
      </c>
      <c r="C1362" s="6" t="s">
        <v>932</v>
      </c>
      <c r="D1362" s="6" t="s">
        <v>1413</v>
      </c>
    </row>
    <row r="1363" customFormat="false" ht="46.25" hidden="false" customHeight="false" outlineLevel="0" collapsed="false">
      <c r="A1363" s="6" t="s">
        <v>122</v>
      </c>
      <c r="B1363" s="6" t="s">
        <v>186</v>
      </c>
      <c r="C1363" s="6" t="s">
        <v>932</v>
      </c>
      <c r="D1363" s="6" t="s">
        <v>1027</v>
      </c>
    </row>
    <row r="1364" customFormat="false" ht="23.85" hidden="false" customHeight="false" outlineLevel="0" collapsed="false">
      <c r="A1364" s="6" t="s">
        <v>122</v>
      </c>
      <c r="B1364" s="6" t="s">
        <v>186</v>
      </c>
      <c r="C1364" s="6" t="s">
        <v>932</v>
      </c>
      <c r="D1364" s="6" t="s">
        <v>1028</v>
      </c>
    </row>
    <row r="1365" customFormat="false" ht="35.05" hidden="false" customHeight="false" outlineLevel="0" collapsed="false">
      <c r="A1365" s="6" t="s">
        <v>122</v>
      </c>
      <c r="B1365" s="6" t="s">
        <v>186</v>
      </c>
      <c r="C1365" s="6" t="s">
        <v>932</v>
      </c>
      <c r="D1365" s="6" t="s">
        <v>1029</v>
      </c>
    </row>
    <row r="1366" customFormat="false" ht="23.85" hidden="false" customHeight="false" outlineLevel="0" collapsed="false">
      <c r="A1366" s="6" t="s">
        <v>122</v>
      </c>
      <c r="B1366" s="6" t="s">
        <v>186</v>
      </c>
      <c r="C1366" s="6" t="s">
        <v>932</v>
      </c>
      <c r="D1366" s="6" t="s">
        <v>1488</v>
      </c>
    </row>
    <row r="1367" customFormat="false" ht="35.05" hidden="false" customHeight="false" outlineLevel="0" collapsed="false">
      <c r="A1367" s="6" t="s">
        <v>122</v>
      </c>
      <c r="B1367" s="6" t="s">
        <v>186</v>
      </c>
      <c r="C1367" s="6" t="s">
        <v>932</v>
      </c>
      <c r="D1367" s="6" t="s">
        <v>1489</v>
      </c>
    </row>
    <row r="1368" customFormat="false" ht="15" hidden="false" customHeight="false" outlineLevel="0" collapsed="false">
      <c r="A1368" s="6" t="s">
        <v>122</v>
      </c>
      <c r="B1368" s="6" t="s">
        <v>186</v>
      </c>
      <c r="C1368" s="6" t="s">
        <v>932</v>
      </c>
      <c r="D1368" s="6" t="s">
        <v>1491</v>
      </c>
    </row>
    <row r="1369" customFormat="false" ht="35.05" hidden="false" customHeight="false" outlineLevel="0" collapsed="false">
      <c r="A1369" s="6" t="s">
        <v>122</v>
      </c>
      <c r="B1369" s="6" t="s">
        <v>229</v>
      </c>
      <c r="C1369" s="6" t="s">
        <v>932</v>
      </c>
      <c r="D1369" s="6" t="s">
        <v>1596</v>
      </c>
    </row>
    <row r="1370" customFormat="false" ht="15" hidden="false" customHeight="false" outlineLevel="0" collapsed="false">
      <c r="A1370" s="6" t="s">
        <v>122</v>
      </c>
      <c r="B1370" s="6" t="s">
        <v>1440</v>
      </c>
      <c r="C1370" s="6" t="s">
        <v>932</v>
      </c>
      <c r="D1370" s="6" t="s">
        <v>1441</v>
      </c>
    </row>
    <row r="1371" customFormat="false" ht="15" hidden="false" customHeight="false" outlineLevel="0" collapsed="false">
      <c r="A1371" s="6" t="s">
        <v>122</v>
      </c>
      <c r="B1371" s="6" t="s">
        <v>1440</v>
      </c>
      <c r="C1371" s="6" t="s">
        <v>932</v>
      </c>
      <c r="D1371" s="6" t="s">
        <v>1443</v>
      </c>
    </row>
    <row r="1372" customFormat="false" ht="35.05" hidden="false" customHeight="false" outlineLevel="0" collapsed="false">
      <c r="A1372" s="6" t="s">
        <v>122</v>
      </c>
      <c r="B1372" s="6" t="s">
        <v>1440</v>
      </c>
      <c r="C1372" s="6" t="s">
        <v>932</v>
      </c>
      <c r="D1372" s="6" t="s">
        <v>1444</v>
      </c>
    </row>
    <row r="1373" customFormat="false" ht="23.85" hidden="false" customHeight="false" outlineLevel="0" collapsed="false">
      <c r="A1373" s="6" t="s">
        <v>122</v>
      </c>
      <c r="B1373" s="6" t="s">
        <v>146</v>
      </c>
      <c r="C1373" s="6" t="s">
        <v>932</v>
      </c>
      <c r="D1373" s="6" t="s">
        <v>954</v>
      </c>
    </row>
    <row r="1374" customFormat="false" ht="23.85" hidden="false" customHeight="false" outlineLevel="0" collapsed="false">
      <c r="A1374" s="6" t="s">
        <v>122</v>
      </c>
      <c r="B1374" s="6" t="s">
        <v>146</v>
      </c>
      <c r="C1374" s="6" t="s">
        <v>932</v>
      </c>
      <c r="D1374" s="6" t="s">
        <v>255</v>
      </c>
    </row>
    <row r="1375" customFormat="false" ht="15" hidden="false" customHeight="false" outlineLevel="0" collapsed="false">
      <c r="A1375" s="6" t="s">
        <v>122</v>
      </c>
      <c r="B1375" s="6" t="s">
        <v>99</v>
      </c>
      <c r="C1375" s="6" t="s">
        <v>932</v>
      </c>
      <c r="D1375" s="6" t="s">
        <v>1366</v>
      </c>
    </row>
    <row r="1376" customFormat="false" ht="23.85" hidden="false" customHeight="false" outlineLevel="0" collapsed="false">
      <c r="A1376" s="6" t="s">
        <v>122</v>
      </c>
      <c r="B1376" s="6" t="s">
        <v>99</v>
      </c>
      <c r="C1376" s="6" t="s">
        <v>932</v>
      </c>
      <c r="D1376" s="6" t="s">
        <v>957</v>
      </c>
    </row>
    <row r="1377" customFormat="false" ht="23.85" hidden="false" customHeight="false" outlineLevel="0" collapsed="false">
      <c r="A1377" s="6" t="s">
        <v>122</v>
      </c>
      <c r="B1377" s="6" t="s">
        <v>99</v>
      </c>
      <c r="C1377" s="6" t="s">
        <v>932</v>
      </c>
      <c r="D1377" s="6" t="s">
        <v>1597</v>
      </c>
    </row>
    <row r="1378" customFormat="false" ht="23.85" hidden="false" customHeight="false" outlineLevel="0" collapsed="false">
      <c r="A1378" s="6" t="s">
        <v>122</v>
      </c>
      <c r="B1378" s="6" t="s">
        <v>99</v>
      </c>
      <c r="C1378" s="6" t="s">
        <v>932</v>
      </c>
      <c r="D1378" s="6" t="s">
        <v>1598</v>
      </c>
    </row>
    <row r="1379" customFormat="false" ht="15" hidden="false" customHeight="false" outlineLevel="0" collapsed="false">
      <c r="A1379" s="6" t="s">
        <v>122</v>
      </c>
      <c r="B1379" s="6" t="s">
        <v>99</v>
      </c>
      <c r="C1379" s="6" t="s">
        <v>932</v>
      </c>
      <c r="D1379" s="6" t="s">
        <v>1599</v>
      </c>
    </row>
    <row r="1380" customFormat="false" ht="35.05" hidden="false" customHeight="false" outlineLevel="0" collapsed="false">
      <c r="A1380" s="6" t="s">
        <v>122</v>
      </c>
      <c r="B1380" s="6" t="s">
        <v>99</v>
      </c>
      <c r="C1380" s="6" t="s">
        <v>932</v>
      </c>
      <c r="D1380" s="6" t="s">
        <v>225</v>
      </c>
    </row>
    <row r="1381" customFormat="false" ht="23.85" hidden="false" customHeight="false" outlineLevel="0" collapsed="false">
      <c r="A1381" s="6" t="s">
        <v>122</v>
      </c>
      <c r="B1381" s="6" t="s">
        <v>99</v>
      </c>
      <c r="C1381" s="6" t="s">
        <v>932</v>
      </c>
      <c r="D1381" s="6" t="s">
        <v>100</v>
      </c>
    </row>
    <row r="1382" customFormat="false" ht="23.85" hidden="false" customHeight="false" outlineLevel="0" collapsed="false">
      <c r="A1382" s="6" t="s">
        <v>122</v>
      </c>
      <c r="B1382" s="6" t="s">
        <v>62</v>
      </c>
      <c r="C1382" s="6" t="s">
        <v>932</v>
      </c>
      <c r="D1382" s="6" t="s">
        <v>1201</v>
      </c>
    </row>
    <row r="1383" customFormat="false" ht="35.05" hidden="false" customHeight="false" outlineLevel="0" collapsed="false">
      <c r="A1383" s="6" t="s">
        <v>122</v>
      </c>
      <c r="B1383" s="6" t="s">
        <v>62</v>
      </c>
      <c r="C1383" s="6" t="s">
        <v>932</v>
      </c>
      <c r="D1383" s="6" t="s">
        <v>71</v>
      </c>
    </row>
    <row r="1384" customFormat="false" ht="15" hidden="false" customHeight="false" outlineLevel="0" collapsed="false">
      <c r="A1384" s="6" t="s">
        <v>122</v>
      </c>
      <c r="B1384" s="6" t="s">
        <v>75</v>
      </c>
      <c r="C1384" s="6" t="s">
        <v>932</v>
      </c>
      <c r="D1384" s="6" t="s">
        <v>1600</v>
      </c>
    </row>
    <row r="1385" customFormat="false" ht="23.85" hidden="false" customHeight="false" outlineLevel="0" collapsed="false">
      <c r="A1385" s="6" t="s">
        <v>122</v>
      </c>
      <c r="B1385" s="6" t="s">
        <v>75</v>
      </c>
      <c r="C1385" s="6" t="s">
        <v>932</v>
      </c>
      <c r="D1385" s="6" t="s">
        <v>1601</v>
      </c>
    </row>
    <row r="1386" customFormat="false" ht="23.85" hidden="false" customHeight="false" outlineLevel="0" collapsed="false">
      <c r="A1386" s="6" t="s">
        <v>122</v>
      </c>
      <c r="B1386" s="6" t="s">
        <v>75</v>
      </c>
      <c r="C1386" s="6" t="s">
        <v>932</v>
      </c>
      <c r="D1386" s="6" t="s">
        <v>1602</v>
      </c>
    </row>
    <row r="1387" customFormat="false" ht="35.05" hidden="false" customHeight="false" outlineLevel="0" collapsed="false">
      <c r="A1387" s="6" t="s">
        <v>122</v>
      </c>
      <c r="B1387" s="6" t="s">
        <v>75</v>
      </c>
      <c r="C1387" s="6" t="s">
        <v>932</v>
      </c>
      <c r="D1387" s="6" t="s">
        <v>1603</v>
      </c>
    </row>
    <row r="1388" customFormat="false" ht="57.45" hidden="false" customHeight="false" outlineLevel="0" collapsed="false">
      <c r="A1388" s="6" t="s">
        <v>122</v>
      </c>
      <c r="B1388" s="6" t="s">
        <v>75</v>
      </c>
      <c r="C1388" s="6" t="s">
        <v>932</v>
      </c>
      <c r="D1388" s="6" t="s">
        <v>1046</v>
      </c>
    </row>
    <row r="1389" customFormat="false" ht="23.85" hidden="false" customHeight="false" outlineLevel="0" collapsed="false">
      <c r="A1389" s="6" t="s">
        <v>122</v>
      </c>
      <c r="B1389" s="6" t="s">
        <v>75</v>
      </c>
      <c r="C1389" s="6" t="s">
        <v>932</v>
      </c>
      <c r="D1389" s="6" t="s">
        <v>1604</v>
      </c>
    </row>
    <row r="1390" customFormat="false" ht="23.85" hidden="false" customHeight="false" outlineLevel="0" collapsed="false">
      <c r="A1390" s="6" t="s">
        <v>122</v>
      </c>
      <c r="B1390" s="6" t="s">
        <v>75</v>
      </c>
      <c r="C1390" s="6" t="s">
        <v>932</v>
      </c>
      <c r="D1390" s="6" t="s">
        <v>1605</v>
      </c>
    </row>
    <row r="1391" customFormat="false" ht="15" hidden="false" customHeight="false" outlineLevel="0" collapsed="false">
      <c r="A1391" s="6" t="s">
        <v>122</v>
      </c>
      <c r="B1391" s="6" t="s">
        <v>75</v>
      </c>
      <c r="C1391" s="6" t="s">
        <v>932</v>
      </c>
      <c r="D1391" s="6" t="s">
        <v>1606</v>
      </c>
    </row>
    <row r="1392" customFormat="false" ht="23.85" hidden="false" customHeight="false" outlineLevel="0" collapsed="false">
      <c r="A1392" s="6" t="s">
        <v>122</v>
      </c>
      <c r="B1392" s="6" t="s">
        <v>75</v>
      </c>
      <c r="C1392" s="6" t="s">
        <v>932</v>
      </c>
      <c r="D1392" s="6" t="s">
        <v>1001</v>
      </c>
    </row>
    <row r="1393" customFormat="false" ht="23.85" hidden="false" customHeight="false" outlineLevel="0" collapsed="false">
      <c r="A1393" s="6" t="s">
        <v>122</v>
      </c>
      <c r="B1393" s="6" t="s">
        <v>80</v>
      </c>
      <c r="C1393" s="6" t="s">
        <v>932</v>
      </c>
      <c r="D1393" s="6" t="s">
        <v>1210</v>
      </c>
    </row>
    <row r="1394" customFormat="false" ht="23.85" hidden="false" customHeight="false" outlineLevel="0" collapsed="false">
      <c r="A1394" s="6" t="s">
        <v>122</v>
      </c>
      <c r="B1394" s="6" t="s">
        <v>80</v>
      </c>
      <c r="C1394" s="6" t="s">
        <v>932</v>
      </c>
      <c r="D1394" s="6" t="s">
        <v>1607</v>
      </c>
    </row>
    <row r="1395" customFormat="false" ht="15" hidden="false" customHeight="false" outlineLevel="0" collapsed="false">
      <c r="A1395" s="6" t="s">
        <v>122</v>
      </c>
      <c r="B1395" s="6" t="s">
        <v>80</v>
      </c>
      <c r="C1395" s="6" t="s">
        <v>932</v>
      </c>
      <c r="D1395" s="6" t="s">
        <v>1132</v>
      </c>
    </row>
    <row r="1396" customFormat="false" ht="15" hidden="false" customHeight="false" outlineLevel="0" collapsed="false">
      <c r="A1396" s="6" t="s">
        <v>122</v>
      </c>
      <c r="B1396" s="6" t="s">
        <v>80</v>
      </c>
      <c r="C1396" s="6" t="s">
        <v>932</v>
      </c>
      <c r="D1396" s="6" t="s">
        <v>1608</v>
      </c>
    </row>
    <row r="1397" customFormat="false" ht="15" hidden="false" customHeight="false" outlineLevel="0" collapsed="false">
      <c r="A1397" s="6" t="s">
        <v>122</v>
      </c>
      <c r="B1397" s="6" t="s">
        <v>80</v>
      </c>
      <c r="C1397" s="6" t="s">
        <v>932</v>
      </c>
      <c r="D1397" s="6" t="s">
        <v>1609</v>
      </c>
    </row>
    <row r="1398" customFormat="false" ht="15" hidden="false" customHeight="false" outlineLevel="0" collapsed="false">
      <c r="A1398" s="6" t="s">
        <v>122</v>
      </c>
      <c r="B1398" s="6" t="s">
        <v>80</v>
      </c>
      <c r="C1398" s="6" t="s">
        <v>932</v>
      </c>
      <c r="D1398" s="6" t="s">
        <v>1610</v>
      </c>
    </row>
    <row r="1399" customFormat="false" ht="15" hidden="false" customHeight="false" outlineLevel="0" collapsed="false">
      <c r="A1399" s="6" t="s">
        <v>122</v>
      </c>
      <c r="B1399" s="6" t="s">
        <v>80</v>
      </c>
      <c r="C1399" s="6" t="s">
        <v>932</v>
      </c>
      <c r="D1399" s="6" t="s">
        <v>1611</v>
      </c>
    </row>
    <row r="1400" customFormat="false" ht="23.85" hidden="false" customHeight="false" outlineLevel="0" collapsed="false">
      <c r="A1400" s="6" t="s">
        <v>122</v>
      </c>
      <c r="B1400" s="6" t="s">
        <v>80</v>
      </c>
      <c r="C1400" s="6" t="s">
        <v>932</v>
      </c>
      <c r="D1400" s="6" t="s">
        <v>1612</v>
      </c>
    </row>
    <row r="1401" customFormat="false" ht="35.05" hidden="false" customHeight="false" outlineLevel="0" collapsed="false">
      <c r="A1401" s="6" t="s">
        <v>122</v>
      </c>
      <c r="B1401" s="6" t="s">
        <v>80</v>
      </c>
      <c r="C1401" s="6" t="s">
        <v>932</v>
      </c>
      <c r="D1401" s="6" t="s">
        <v>1613</v>
      </c>
    </row>
    <row r="1402" customFormat="false" ht="23.85" hidden="false" customHeight="false" outlineLevel="0" collapsed="false">
      <c r="A1402" s="6" t="s">
        <v>122</v>
      </c>
      <c r="B1402" s="6" t="s">
        <v>80</v>
      </c>
      <c r="C1402" s="6" t="s">
        <v>932</v>
      </c>
      <c r="D1402" s="6" t="s">
        <v>125</v>
      </c>
    </row>
    <row r="1403" customFormat="false" ht="46.25" hidden="false" customHeight="false" outlineLevel="0" collapsed="false">
      <c r="A1403" s="6" t="s">
        <v>122</v>
      </c>
      <c r="B1403" s="6" t="s">
        <v>80</v>
      </c>
      <c r="C1403" s="6" t="s">
        <v>1614</v>
      </c>
      <c r="D1403" s="6" t="s">
        <v>1615</v>
      </c>
    </row>
    <row r="1404" customFormat="false" ht="79.85" hidden="false" customHeight="false" outlineLevel="0" collapsed="false">
      <c r="A1404" s="6" t="s">
        <v>122</v>
      </c>
      <c r="B1404" s="6" t="s">
        <v>80</v>
      </c>
      <c r="C1404" s="6" t="s">
        <v>1136</v>
      </c>
      <c r="D1404" s="6" t="s">
        <v>1137</v>
      </c>
    </row>
    <row r="1405" customFormat="false" ht="23.85" hidden="false" customHeight="false" outlineLevel="0" collapsed="false">
      <c r="A1405" s="6" t="s">
        <v>621</v>
      </c>
      <c r="B1405" s="6" t="s">
        <v>146</v>
      </c>
      <c r="C1405" s="6" t="s">
        <v>932</v>
      </c>
      <c r="D1405" s="6" t="s">
        <v>477</v>
      </c>
    </row>
    <row r="1406" customFormat="false" ht="23.85" hidden="false" customHeight="false" outlineLevel="0" collapsed="false">
      <c r="A1406" s="6" t="s">
        <v>621</v>
      </c>
      <c r="B1406" s="6" t="s">
        <v>99</v>
      </c>
      <c r="C1406" s="6" t="s">
        <v>932</v>
      </c>
      <c r="D1406" s="6" t="s">
        <v>624</v>
      </c>
    </row>
    <row r="1407" customFormat="false" ht="23.85" hidden="false" customHeight="false" outlineLevel="0" collapsed="false">
      <c r="A1407" s="6" t="s">
        <v>621</v>
      </c>
      <c r="B1407" s="6" t="s">
        <v>99</v>
      </c>
      <c r="C1407" s="6" t="s">
        <v>932</v>
      </c>
      <c r="D1407" s="6" t="s">
        <v>1616</v>
      </c>
    </row>
    <row r="1408" customFormat="false" ht="23.85" hidden="false" customHeight="false" outlineLevel="0" collapsed="false">
      <c r="A1408" s="6" t="s">
        <v>408</v>
      </c>
      <c r="B1408" s="6" t="s">
        <v>86</v>
      </c>
      <c r="C1408" s="6" t="s">
        <v>932</v>
      </c>
      <c r="D1408" s="6" t="s">
        <v>1060</v>
      </c>
    </row>
    <row r="1409" customFormat="false" ht="46.25" hidden="false" customHeight="false" outlineLevel="0" collapsed="false">
      <c r="A1409" s="6" t="s">
        <v>408</v>
      </c>
      <c r="B1409" s="6" t="s">
        <v>86</v>
      </c>
      <c r="C1409" s="6" t="s">
        <v>932</v>
      </c>
      <c r="D1409" s="6" t="s">
        <v>1617</v>
      </c>
    </row>
    <row r="1410" customFormat="false" ht="46.25" hidden="false" customHeight="false" outlineLevel="0" collapsed="false">
      <c r="A1410" s="6" t="s">
        <v>408</v>
      </c>
      <c r="B1410" s="6" t="s">
        <v>186</v>
      </c>
      <c r="C1410" s="6" t="s">
        <v>932</v>
      </c>
      <c r="D1410" s="6" t="s">
        <v>411</v>
      </c>
    </row>
    <row r="1411" customFormat="false" ht="15" hidden="false" customHeight="false" outlineLevel="0" collapsed="false">
      <c r="A1411" s="6" t="s">
        <v>408</v>
      </c>
      <c r="B1411" s="6" t="s">
        <v>229</v>
      </c>
      <c r="C1411" s="6" t="s">
        <v>932</v>
      </c>
      <c r="D1411" s="6" t="s">
        <v>1300</v>
      </c>
    </row>
    <row r="1412" customFormat="false" ht="15" hidden="false" customHeight="false" outlineLevel="0" collapsed="false">
      <c r="A1412" s="6" t="s">
        <v>408</v>
      </c>
      <c r="B1412" s="6" t="s">
        <v>229</v>
      </c>
      <c r="C1412" s="6" t="s">
        <v>932</v>
      </c>
      <c r="D1412" s="6" t="s">
        <v>1301</v>
      </c>
    </row>
    <row r="1413" customFormat="false" ht="23.85" hidden="false" customHeight="false" outlineLevel="0" collapsed="false">
      <c r="A1413" s="6" t="s">
        <v>478</v>
      </c>
      <c r="B1413" s="6" t="s">
        <v>229</v>
      </c>
      <c r="C1413" s="6" t="s">
        <v>932</v>
      </c>
      <c r="D1413" s="6" t="s">
        <v>481</v>
      </c>
    </row>
    <row r="1414" customFormat="false" ht="23.85" hidden="false" customHeight="false" outlineLevel="0" collapsed="false">
      <c r="A1414" s="6" t="s">
        <v>366</v>
      </c>
      <c r="B1414" s="6" t="s">
        <v>80</v>
      </c>
      <c r="C1414" s="6" t="s">
        <v>932</v>
      </c>
      <c r="D1414" s="6" t="s">
        <v>958</v>
      </c>
    </row>
    <row r="1415" customFormat="false" ht="23.85" hidden="false" customHeight="false" outlineLevel="0" collapsed="false">
      <c r="A1415" s="6" t="s">
        <v>366</v>
      </c>
      <c r="B1415" s="6" t="s">
        <v>80</v>
      </c>
      <c r="C1415" s="6" t="s">
        <v>932</v>
      </c>
      <c r="D1415" s="6" t="s">
        <v>81</v>
      </c>
    </row>
    <row r="1416" customFormat="false" ht="68.65" hidden="false" customHeight="false" outlineLevel="0" collapsed="false">
      <c r="A1416" s="6" t="s">
        <v>366</v>
      </c>
      <c r="B1416" s="6" t="s">
        <v>80</v>
      </c>
      <c r="C1416" s="6" t="s">
        <v>962</v>
      </c>
      <c r="D1416" s="6" t="s">
        <v>963</v>
      </c>
    </row>
    <row r="1417" customFormat="false" ht="46.25" hidden="false" customHeight="false" outlineLevel="0" collapsed="false">
      <c r="A1417" s="6" t="s">
        <v>593</v>
      </c>
      <c r="B1417" s="6" t="s">
        <v>86</v>
      </c>
      <c r="C1417" s="6" t="s">
        <v>932</v>
      </c>
      <c r="D1417" s="6" t="s">
        <v>987</v>
      </c>
    </row>
    <row r="1418" customFormat="false" ht="57.45" hidden="false" customHeight="false" outlineLevel="0" collapsed="false">
      <c r="A1418" s="6" t="s">
        <v>593</v>
      </c>
      <c r="B1418" s="6" t="s">
        <v>109</v>
      </c>
      <c r="C1418" s="6" t="s">
        <v>932</v>
      </c>
      <c r="D1418" s="6" t="s">
        <v>1011</v>
      </c>
    </row>
    <row r="1419" customFormat="false" ht="23.85" hidden="false" customHeight="false" outlineLevel="0" collapsed="false">
      <c r="A1419" s="6" t="s">
        <v>593</v>
      </c>
      <c r="B1419" s="6" t="s">
        <v>168</v>
      </c>
      <c r="C1419" s="6" t="s">
        <v>932</v>
      </c>
      <c r="D1419" s="6" t="s">
        <v>596</v>
      </c>
    </row>
    <row r="1420" customFormat="false" ht="23.85" hidden="false" customHeight="false" outlineLevel="0" collapsed="false">
      <c r="A1420" s="6" t="s">
        <v>593</v>
      </c>
      <c r="B1420" s="6" t="s">
        <v>62</v>
      </c>
      <c r="C1420" s="6" t="s">
        <v>932</v>
      </c>
      <c r="D1420" s="6" t="s">
        <v>1172</v>
      </c>
    </row>
    <row r="1421" customFormat="false" ht="23.85" hidden="false" customHeight="false" outlineLevel="0" collapsed="false">
      <c r="A1421" s="6" t="s">
        <v>536</v>
      </c>
      <c r="B1421" s="6" t="s">
        <v>95</v>
      </c>
      <c r="C1421" s="6" t="s">
        <v>932</v>
      </c>
      <c r="D1421" s="6" t="s">
        <v>1344</v>
      </c>
    </row>
    <row r="1422" customFormat="false" ht="23.85" hidden="false" customHeight="false" outlineLevel="0" collapsed="false">
      <c r="A1422" s="6" t="s">
        <v>536</v>
      </c>
      <c r="B1422" s="6" t="s">
        <v>62</v>
      </c>
      <c r="C1422" s="6" t="s">
        <v>932</v>
      </c>
      <c r="D1422" s="6" t="s">
        <v>1172</v>
      </c>
    </row>
    <row r="1423" customFormat="false" ht="23.85" hidden="false" customHeight="false" outlineLevel="0" collapsed="false">
      <c r="A1423" s="6" t="s">
        <v>536</v>
      </c>
      <c r="B1423" s="6" t="s">
        <v>75</v>
      </c>
      <c r="C1423" s="6" t="s">
        <v>932</v>
      </c>
      <c r="D1423" s="6" t="s">
        <v>1618</v>
      </c>
    </row>
    <row r="1424" customFormat="false" ht="23.85" hidden="false" customHeight="false" outlineLevel="0" collapsed="false">
      <c r="A1424" s="6" t="s">
        <v>536</v>
      </c>
      <c r="B1424" s="6" t="s">
        <v>75</v>
      </c>
      <c r="C1424" s="6" t="s">
        <v>932</v>
      </c>
      <c r="D1424" s="6" t="s">
        <v>517</v>
      </c>
    </row>
    <row r="1425" customFormat="false" ht="15" hidden="false" customHeight="false" outlineLevel="0" collapsed="false">
      <c r="A1425" s="6" t="s">
        <v>536</v>
      </c>
      <c r="B1425" s="6" t="s">
        <v>75</v>
      </c>
      <c r="C1425" s="6" t="s">
        <v>932</v>
      </c>
      <c r="D1425" s="6" t="s">
        <v>1112</v>
      </c>
    </row>
    <row r="1426" customFormat="false" ht="191.75" hidden="false" customHeight="false" outlineLevel="0" collapsed="false">
      <c r="A1426" s="6" t="s">
        <v>536</v>
      </c>
      <c r="B1426" s="6" t="s">
        <v>60</v>
      </c>
      <c r="C1426" s="6" t="s">
        <v>1093</v>
      </c>
      <c r="D1426" s="6" t="s">
        <v>1094</v>
      </c>
    </row>
    <row r="1427" customFormat="false" ht="15" hidden="false" customHeight="false" outlineLevel="0" collapsed="false">
      <c r="A1427" s="6" t="s">
        <v>171</v>
      </c>
      <c r="B1427" s="6" t="s">
        <v>109</v>
      </c>
      <c r="C1427" s="6" t="s">
        <v>932</v>
      </c>
      <c r="D1427" s="6" t="s">
        <v>1579</v>
      </c>
    </row>
    <row r="1428" customFormat="false" ht="57.45" hidden="false" customHeight="false" outlineLevel="0" collapsed="false">
      <c r="A1428" s="6" t="s">
        <v>171</v>
      </c>
      <c r="B1428" s="6" t="s">
        <v>109</v>
      </c>
      <c r="C1428" s="6" t="s">
        <v>932</v>
      </c>
      <c r="D1428" s="6" t="s">
        <v>1011</v>
      </c>
    </row>
    <row r="1429" customFormat="false" ht="57.45" hidden="false" customHeight="false" outlineLevel="0" collapsed="false">
      <c r="A1429" s="6" t="s">
        <v>171</v>
      </c>
      <c r="B1429" s="6" t="s">
        <v>109</v>
      </c>
      <c r="C1429" s="6" t="s">
        <v>932</v>
      </c>
      <c r="D1429" s="6" t="s">
        <v>1580</v>
      </c>
    </row>
    <row r="1430" customFormat="false" ht="35.05" hidden="false" customHeight="false" outlineLevel="0" collapsed="false">
      <c r="A1430" s="6" t="s">
        <v>171</v>
      </c>
      <c r="B1430" s="6" t="s">
        <v>229</v>
      </c>
      <c r="C1430" s="6" t="s">
        <v>932</v>
      </c>
      <c r="D1430" s="6" t="s">
        <v>1163</v>
      </c>
    </row>
    <row r="1431" customFormat="false" ht="23.85" hidden="false" customHeight="false" outlineLevel="0" collapsed="false">
      <c r="A1431" s="6" t="s">
        <v>171</v>
      </c>
      <c r="B1431" s="6" t="s">
        <v>330</v>
      </c>
      <c r="C1431" s="6" t="s">
        <v>932</v>
      </c>
      <c r="D1431" s="6" t="s">
        <v>1459</v>
      </c>
    </row>
    <row r="1432" customFormat="false" ht="15" hidden="false" customHeight="false" outlineLevel="0" collapsed="false">
      <c r="A1432" s="6" t="s">
        <v>171</v>
      </c>
      <c r="B1432" s="6" t="s">
        <v>168</v>
      </c>
      <c r="C1432" s="6" t="s">
        <v>932</v>
      </c>
      <c r="D1432" s="6" t="s">
        <v>1619</v>
      </c>
    </row>
    <row r="1433" customFormat="false" ht="23.85" hidden="false" customHeight="false" outlineLevel="0" collapsed="false">
      <c r="A1433" s="6" t="s">
        <v>171</v>
      </c>
      <c r="B1433" s="6" t="s">
        <v>168</v>
      </c>
      <c r="C1433" s="6" t="s">
        <v>932</v>
      </c>
      <c r="D1433" s="6" t="s">
        <v>174</v>
      </c>
    </row>
    <row r="1434" customFormat="false" ht="23.85" hidden="false" customHeight="false" outlineLevel="0" collapsed="false">
      <c r="A1434" s="6" t="s">
        <v>171</v>
      </c>
      <c r="B1434" s="6" t="s">
        <v>99</v>
      </c>
      <c r="C1434" s="6" t="s">
        <v>1005</v>
      </c>
      <c r="D1434" s="6" t="s">
        <v>1006</v>
      </c>
    </row>
    <row r="1435" customFormat="false" ht="23.85" hidden="false" customHeight="false" outlineLevel="0" collapsed="false">
      <c r="A1435" s="6" t="s">
        <v>539</v>
      </c>
      <c r="B1435" s="6" t="s">
        <v>75</v>
      </c>
      <c r="C1435" s="6" t="s">
        <v>932</v>
      </c>
      <c r="D1435" s="6" t="s">
        <v>388</v>
      </c>
    </row>
    <row r="1436" customFormat="false" ht="23.85" hidden="false" customHeight="false" outlineLevel="0" collapsed="false">
      <c r="A1436" s="6" t="s">
        <v>385</v>
      </c>
      <c r="B1436" s="6" t="s">
        <v>229</v>
      </c>
      <c r="C1436" s="6" t="s">
        <v>932</v>
      </c>
      <c r="D1436" s="6" t="s">
        <v>1303</v>
      </c>
    </row>
    <row r="1437" customFormat="false" ht="15" hidden="false" customHeight="false" outlineLevel="0" collapsed="false">
      <c r="A1437" s="6" t="s">
        <v>385</v>
      </c>
      <c r="B1437" s="6" t="s">
        <v>229</v>
      </c>
      <c r="C1437" s="6" t="s">
        <v>932</v>
      </c>
      <c r="D1437" s="6" t="s">
        <v>1304</v>
      </c>
    </row>
    <row r="1438" customFormat="false" ht="15" hidden="false" customHeight="false" outlineLevel="0" collapsed="false">
      <c r="A1438" s="6" t="s">
        <v>385</v>
      </c>
      <c r="B1438" s="6" t="s">
        <v>229</v>
      </c>
      <c r="C1438" s="6" t="s">
        <v>932</v>
      </c>
      <c r="D1438" s="6" t="s">
        <v>1620</v>
      </c>
    </row>
    <row r="1439" customFormat="false" ht="15" hidden="false" customHeight="false" outlineLevel="0" collapsed="false">
      <c r="A1439" s="6" t="s">
        <v>385</v>
      </c>
      <c r="B1439" s="6" t="s">
        <v>229</v>
      </c>
      <c r="C1439" s="6" t="s">
        <v>932</v>
      </c>
      <c r="D1439" s="6" t="s">
        <v>1621</v>
      </c>
    </row>
    <row r="1440" customFormat="false" ht="15" hidden="false" customHeight="false" outlineLevel="0" collapsed="false">
      <c r="A1440" s="6" t="s">
        <v>385</v>
      </c>
      <c r="B1440" s="6" t="s">
        <v>229</v>
      </c>
      <c r="C1440" s="6" t="s">
        <v>932</v>
      </c>
      <c r="D1440" s="6" t="s">
        <v>1622</v>
      </c>
    </row>
    <row r="1441" customFormat="false" ht="15" hidden="false" customHeight="false" outlineLevel="0" collapsed="false">
      <c r="A1441" s="6" t="s">
        <v>385</v>
      </c>
      <c r="B1441" s="6" t="s">
        <v>229</v>
      </c>
      <c r="C1441" s="6" t="s">
        <v>932</v>
      </c>
      <c r="D1441" s="6" t="s">
        <v>1623</v>
      </c>
    </row>
    <row r="1442" customFormat="false" ht="23.85" hidden="false" customHeight="false" outlineLevel="0" collapsed="false">
      <c r="A1442" s="6" t="s">
        <v>385</v>
      </c>
      <c r="B1442" s="6" t="s">
        <v>229</v>
      </c>
      <c r="C1442" s="6" t="s">
        <v>932</v>
      </c>
      <c r="D1442" s="6" t="s">
        <v>1624</v>
      </c>
    </row>
    <row r="1443" customFormat="false" ht="15" hidden="false" customHeight="false" outlineLevel="0" collapsed="false">
      <c r="A1443" s="6" t="s">
        <v>385</v>
      </c>
      <c r="B1443" s="6" t="s">
        <v>229</v>
      </c>
      <c r="C1443" s="6" t="s">
        <v>932</v>
      </c>
      <c r="D1443" s="6" t="s">
        <v>1305</v>
      </c>
    </row>
    <row r="1444" customFormat="false" ht="35.05" hidden="false" customHeight="false" outlineLevel="0" collapsed="false">
      <c r="A1444" s="6" t="s">
        <v>385</v>
      </c>
      <c r="B1444" s="6" t="s">
        <v>229</v>
      </c>
      <c r="C1444" s="6" t="s">
        <v>932</v>
      </c>
      <c r="D1444" s="6" t="s">
        <v>381</v>
      </c>
    </row>
    <row r="1445" customFormat="false" ht="15" hidden="false" customHeight="false" outlineLevel="0" collapsed="false">
      <c r="A1445" s="6" t="s">
        <v>385</v>
      </c>
      <c r="B1445" s="6" t="s">
        <v>169</v>
      </c>
      <c r="C1445" s="6" t="s">
        <v>932</v>
      </c>
      <c r="D1445" s="6" t="s">
        <v>1100</v>
      </c>
    </row>
    <row r="1446" customFormat="false" ht="23.85" hidden="false" customHeight="false" outlineLevel="0" collapsed="false">
      <c r="A1446" s="6" t="s">
        <v>385</v>
      </c>
      <c r="B1446" s="6" t="s">
        <v>169</v>
      </c>
      <c r="C1446" s="6" t="s">
        <v>1062</v>
      </c>
      <c r="D1446" s="6" t="s">
        <v>1063</v>
      </c>
    </row>
    <row r="1447" customFormat="false" ht="23.85" hidden="false" customHeight="false" outlineLevel="0" collapsed="false">
      <c r="A1447" s="6" t="s">
        <v>385</v>
      </c>
      <c r="B1447" s="6" t="s">
        <v>75</v>
      </c>
      <c r="C1447" s="6" t="s">
        <v>932</v>
      </c>
      <c r="D1447" s="6" t="s">
        <v>388</v>
      </c>
    </row>
    <row r="1448" customFormat="false" ht="15" hidden="false" customHeight="false" outlineLevel="0" collapsed="false">
      <c r="A1448" s="6" t="s">
        <v>369</v>
      </c>
      <c r="B1448" s="6" t="s">
        <v>86</v>
      </c>
      <c r="C1448" s="6" t="s">
        <v>932</v>
      </c>
      <c r="D1448" s="6" t="s">
        <v>1141</v>
      </c>
    </row>
    <row r="1449" customFormat="false" ht="15" hidden="false" customHeight="false" outlineLevel="0" collapsed="false">
      <c r="A1449" s="6" t="s">
        <v>369</v>
      </c>
      <c r="B1449" s="6" t="s">
        <v>86</v>
      </c>
      <c r="C1449" s="6" t="s">
        <v>932</v>
      </c>
      <c r="D1449" s="6" t="s">
        <v>1123</v>
      </c>
    </row>
    <row r="1450" customFormat="false" ht="23.85" hidden="false" customHeight="false" outlineLevel="0" collapsed="false">
      <c r="A1450" s="6" t="s">
        <v>369</v>
      </c>
      <c r="B1450" s="6" t="s">
        <v>86</v>
      </c>
      <c r="C1450" s="6" t="s">
        <v>932</v>
      </c>
      <c r="D1450" s="6" t="s">
        <v>1124</v>
      </c>
    </row>
    <row r="1451" customFormat="false" ht="23.85" hidden="false" customHeight="false" outlineLevel="0" collapsed="false">
      <c r="A1451" s="6" t="s">
        <v>369</v>
      </c>
      <c r="B1451" s="6" t="s">
        <v>86</v>
      </c>
      <c r="C1451" s="6" t="s">
        <v>932</v>
      </c>
      <c r="D1451" s="6" t="s">
        <v>1227</v>
      </c>
    </row>
    <row r="1452" customFormat="false" ht="23.85" hidden="false" customHeight="false" outlineLevel="0" collapsed="false">
      <c r="A1452" s="6" t="s">
        <v>369</v>
      </c>
      <c r="B1452" s="6" t="s">
        <v>86</v>
      </c>
      <c r="C1452" s="6" t="s">
        <v>932</v>
      </c>
      <c r="D1452" s="6" t="s">
        <v>1343</v>
      </c>
    </row>
    <row r="1453" customFormat="false" ht="23.85" hidden="false" customHeight="false" outlineLevel="0" collapsed="false">
      <c r="A1453" s="6" t="s">
        <v>369</v>
      </c>
      <c r="B1453" s="6" t="s">
        <v>86</v>
      </c>
      <c r="C1453" s="6" t="s">
        <v>932</v>
      </c>
      <c r="D1453" s="6" t="s">
        <v>1228</v>
      </c>
    </row>
    <row r="1454" customFormat="false" ht="23.85" hidden="false" customHeight="false" outlineLevel="0" collapsed="false">
      <c r="A1454" s="6" t="s">
        <v>369</v>
      </c>
      <c r="B1454" s="6" t="s">
        <v>86</v>
      </c>
      <c r="C1454" s="6" t="s">
        <v>932</v>
      </c>
      <c r="D1454" s="6" t="s">
        <v>1229</v>
      </c>
    </row>
    <row r="1455" customFormat="false" ht="15" hidden="false" customHeight="false" outlineLevel="0" collapsed="false">
      <c r="A1455" s="6" t="s">
        <v>369</v>
      </c>
      <c r="B1455" s="6" t="s">
        <v>109</v>
      </c>
      <c r="C1455" s="6" t="s">
        <v>932</v>
      </c>
      <c r="D1455" s="6" t="s">
        <v>1169</v>
      </c>
    </row>
    <row r="1456" customFormat="false" ht="35.05" hidden="false" customHeight="false" outlineLevel="0" collapsed="false">
      <c r="A1456" s="6" t="s">
        <v>369</v>
      </c>
      <c r="B1456" s="6" t="s">
        <v>330</v>
      </c>
      <c r="C1456" s="6" t="s">
        <v>932</v>
      </c>
      <c r="D1456" s="6" t="s">
        <v>1543</v>
      </c>
    </row>
    <row r="1457" customFormat="false" ht="23.85" hidden="false" customHeight="false" outlineLevel="0" collapsed="false">
      <c r="A1457" s="6" t="s">
        <v>369</v>
      </c>
      <c r="B1457" s="6" t="s">
        <v>146</v>
      </c>
      <c r="C1457" s="6" t="s">
        <v>932</v>
      </c>
      <c r="D1457" s="6" t="s">
        <v>1084</v>
      </c>
    </row>
    <row r="1458" customFormat="false" ht="23.85" hidden="false" customHeight="false" outlineLevel="0" collapsed="false">
      <c r="A1458" s="6" t="s">
        <v>369</v>
      </c>
      <c r="B1458" s="6" t="s">
        <v>75</v>
      </c>
      <c r="C1458" s="6" t="s">
        <v>932</v>
      </c>
      <c r="D1458" s="6" t="s">
        <v>1044</v>
      </c>
    </row>
    <row r="1459" customFormat="false" ht="15" hidden="false" customHeight="false" outlineLevel="0" collapsed="false">
      <c r="A1459" s="6" t="s">
        <v>369</v>
      </c>
      <c r="B1459" s="6" t="s">
        <v>80</v>
      </c>
      <c r="C1459" s="6" t="s">
        <v>932</v>
      </c>
      <c r="D1459" s="6" t="s">
        <v>1625</v>
      </c>
    </row>
    <row r="1460" customFormat="false" ht="15" hidden="false" customHeight="false" outlineLevel="0" collapsed="false">
      <c r="A1460" s="6" t="s">
        <v>369</v>
      </c>
      <c r="B1460" s="6" t="s">
        <v>80</v>
      </c>
      <c r="C1460" s="6" t="s">
        <v>932</v>
      </c>
      <c r="D1460" s="6" t="s">
        <v>1626</v>
      </c>
    </row>
    <row r="1461" customFormat="false" ht="23.85" hidden="false" customHeight="false" outlineLevel="0" collapsed="false">
      <c r="A1461" s="6" t="s">
        <v>369</v>
      </c>
      <c r="B1461" s="6" t="s">
        <v>80</v>
      </c>
      <c r="C1461" s="6" t="s">
        <v>932</v>
      </c>
      <c r="D1461" s="6" t="s">
        <v>1157</v>
      </c>
    </row>
    <row r="1462" customFormat="false" ht="23.85" hidden="false" customHeight="false" outlineLevel="0" collapsed="false">
      <c r="A1462" s="6" t="s">
        <v>369</v>
      </c>
      <c r="B1462" s="6" t="s">
        <v>80</v>
      </c>
      <c r="C1462" s="6" t="s">
        <v>932</v>
      </c>
      <c r="D1462" s="6" t="s">
        <v>372</v>
      </c>
    </row>
    <row r="1463" customFormat="false" ht="15" hidden="false" customHeight="false" outlineLevel="0" collapsed="false">
      <c r="A1463" s="6" t="s">
        <v>369</v>
      </c>
      <c r="B1463" s="6" t="s">
        <v>80</v>
      </c>
      <c r="C1463" s="6" t="s">
        <v>932</v>
      </c>
      <c r="D1463" s="6" t="s">
        <v>1627</v>
      </c>
    </row>
    <row r="1464" customFormat="false" ht="35.05" hidden="false" customHeight="false" outlineLevel="0" collapsed="false">
      <c r="A1464" s="6" t="s">
        <v>369</v>
      </c>
      <c r="B1464" s="6" t="s">
        <v>80</v>
      </c>
      <c r="C1464" s="6" t="s">
        <v>1110</v>
      </c>
      <c r="D1464" s="6" t="s">
        <v>1111</v>
      </c>
    </row>
    <row r="1465" customFormat="false" ht="15" hidden="false" customHeight="false" outlineLevel="0" collapsed="false">
      <c r="A1465" s="6" t="s">
        <v>502</v>
      </c>
      <c r="B1465" s="6" t="s">
        <v>229</v>
      </c>
      <c r="C1465" s="6" t="s">
        <v>932</v>
      </c>
      <c r="D1465" s="6" t="s">
        <v>1145</v>
      </c>
    </row>
    <row r="1466" customFormat="false" ht="15" hidden="false" customHeight="false" outlineLevel="0" collapsed="false">
      <c r="A1466" s="6" t="s">
        <v>502</v>
      </c>
      <c r="B1466" s="6" t="s">
        <v>229</v>
      </c>
      <c r="C1466" s="6" t="s">
        <v>932</v>
      </c>
      <c r="D1466" s="6" t="s">
        <v>1146</v>
      </c>
    </row>
    <row r="1467" customFormat="false" ht="23.85" hidden="false" customHeight="false" outlineLevel="0" collapsed="false">
      <c r="A1467" s="6" t="s">
        <v>502</v>
      </c>
      <c r="B1467" s="6" t="s">
        <v>229</v>
      </c>
      <c r="C1467" s="6" t="s">
        <v>932</v>
      </c>
      <c r="D1467" s="6" t="s">
        <v>1628</v>
      </c>
    </row>
    <row r="1468" customFormat="false" ht="23.85" hidden="false" customHeight="false" outlineLevel="0" collapsed="false">
      <c r="A1468" s="6" t="s">
        <v>502</v>
      </c>
      <c r="B1468" s="6" t="s">
        <v>229</v>
      </c>
      <c r="C1468" s="6" t="s">
        <v>932</v>
      </c>
      <c r="D1468" s="6" t="s">
        <v>1147</v>
      </c>
    </row>
    <row r="1469" customFormat="false" ht="35.05" hidden="false" customHeight="false" outlineLevel="0" collapsed="false">
      <c r="A1469" s="6" t="s">
        <v>502</v>
      </c>
      <c r="B1469" s="6" t="s">
        <v>229</v>
      </c>
      <c r="C1469" s="6" t="s">
        <v>932</v>
      </c>
      <c r="D1469" s="6" t="s">
        <v>497</v>
      </c>
    </row>
  </sheetData>
  <autoFilter ref="A1:D146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5"/>
  </cols>
  <sheetData>
    <row r="1" customFormat="false" ht="27.75" hidden="false" customHeight="true" outlineLevel="0" collapsed="false">
      <c r="A1" s="4" t="s">
        <v>929</v>
      </c>
      <c r="B1" s="4" t="s">
        <v>1629</v>
      </c>
      <c r="C1" s="4" t="s">
        <v>1630</v>
      </c>
    </row>
    <row r="2" customFormat="false" ht="15" hidden="false" customHeight="false" outlineLevel="0" collapsed="false">
      <c r="A2" s="6" t="s">
        <v>86</v>
      </c>
      <c r="B2" s="6" t="s">
        <v>1631</v>
      </c>
      <c r="C2" s="6" t="s">
        <v>1632</v>
      </c>
    </row>
    <row r="3" customFormat="false" ht="15" hidden="false" customHeight="false" outlineLevel="0" collapsed="false">
      <c r="A3" s="6" t="s">
        <v>86</v>
      </c>
      <c r="B3" s="6" t="s">
        <v>1633</v>
      </c>
      <c r="C3" s="6" t="s">
        <v>1634</v>
      </c>
    </row>
    <row r="4" customFormat="false" ht="15" hidden="false" customHeight="false" outlineLevel="0" collapsed="false">
      <c r="A4" s="6" t="s">
        <v>109</v>
      </c>
      <c r="B4" s="6" t="s">
        <v>1635</v>
      </c>
      <c r="C4" s="6" t="s">
        <v>1636</v>
      </c>
    </row>
    <row r="5" customFormat="false" ht="15" hidden="false" customHeight="false" outlineLevel="0" collapsed="false">
      <c r="A5" s="6" t="s">
        <v>109</v>
      </c>
      <c r="B5" s="6" t="s">
        <v>1637</v>
      </c>
      <c r="C5" s="6" t="s">
        <v>1638</v>
      </c>
    </row>
    <row r="6" customFormat="false" ht="15" hidden="false" customHeight="false" outlineLevel="0" collapsed="false">
      <c r="A6" s="6" t="s">
        <v>95</v>
      </c>
      <c r="B6" s="6" t="s">
        <v>1639</v>
      </c>
      <c r="C6" s="6" t="s">
        <v>1640</v>
      </c>
    </row>
    <row r="7" customFormat="false" ht="15" hidden="false" customHeight="false" outlineLevel="0" collapsed="false">
      <c r="A7" s="6" t="s">
        <v>186</v>
      </c>
      <c r="B7" s="6" t="s">
        <v>1641</v>
      </c>
      <c r="C7" s="6" t="s">
        <v>1642</v>
      </c>
    </row>
    <row r="8" customFormat="false" ht="15" hidden="false" customHeight="false" outlineLevel="0" collapsed="false">
      <c r="A8" s="6" t="s">
        <v>229</v>
      </c>
      <c r="B8" s="6" t="s">
        <v>1643</v>
      </c>
      <c r="C8" s="6" t="s">
        <v>1644</v>
      </c>
    </row>
    <row r="9" customFormat="false" ht="15" hidden="false" customHeight="false" outlineLevel="0" collapsed="false">
      <c r="A9" s="6" t="s">
        <v>229</v>
      </c>
      <c r="B9" s="6" t="s">
        <v>1645</v>
      </c>
      <c r="C9" s="6" t="s">
        <v>1646</v>
      </c>
    </row>
    <row r="10" customFormat="false" ht="15" hidden="false" customHeight="false" outlineLevel="0" collapsed="false">
      <c r="A10" s="6" t="s">
        <v>330</v>
      </c>
      <c r="B10" s="6" t="s">
        <v>1647</v>
      </c>
      <c r="C10" s="6" t="s">
        <v>1648</v>
      </c>
    </row>
    <row r="11" customFormat="false" ht="15" hidden="false" customHeight="false" outlineLevel="0" collapsed="false">
      <c r="A11" s="6" t="s">
        <v>330</v>
      </c>
      <c r="B11" s="6" t="s">
        <v>1649</v>
      </c>
      <c r="C11" s="6" t="s">
        <v>1650</v>
      </c>
    </row>
    <row r="12" customFormat="false" ht="15" hidden="false" customHeight="false" outlineLevel="0" collapsed="false">
      <c r="A12" s="6" t="s">
        <v>330</v>
      </c>
      <c r="B12" s="6" t="s">
        <v>1651</v>
      </c>
      <c r="C12" s="6" t="s">
        <v>1652</v>
      </c>
    </row>
    <row r="13" customFormat="false" ht="15" hidden="false" customHeight="false" outlineLevel="0" collapsed="false">
      <c r="A13" s="6" t="s">
        <v>330</v>
      </c>
      <c r="B13" s="6" t="s">
        <v>1653</v>
      </c>
      <c r="C13" s="6" t="s">
        <v>1654</v>
      </c>
    </row>
    <row r="14" customFormat="false" ht="15" hidden="false" customHeight="false" outlineLevel="0" collapsed="false">
      <c r="A14" s="6" t="s">
        <v>168</v>
      </c>
      <c r="B14" s="6" t="s">
        <v>1655</v>
      </c>
      <c r="C14" s="6" t="s">
        <v>1656</v>
      </c>
    </row>
    <row r="15" customFormat="false" ht="15" hidden="false" customHeight="false" outlineLevel="0" collapsed="false">
      <c r="A15" s="6" t="s">
        <v>168</v>
      </c>
      <c r="B15" s="6" t="s">
        <v>1657</v>
      </c>
      <c r="C15" s="6" t="s">
        <v>1658</v>
      </c>
    </row>
    <row r="16" customFormat="false" ht="15" hidden="false" customHeight="false" outlineLevel="0" collapsed="false">
      <c r="A16" s="6" t="s">
        <v>168</v>
      </c>
      <c r="B16" s="6" t="s">
        <v>1659</v>
      </c>
      <c r="C16" s="6" t="s">
        <v>1660</v>
      </c>
    </row>
    <row r="17" customFormat="false" ht="15" hidden="false" customHeight="false" outlineLevel="0" collapsed="false">
      <c r="A17" s="6" t="s">
        <v>168</v>
      </c>
      <c r="B17" s="6" t="s">
        <v>1661</v>
      </c>
      <c r="C17" s="6" t="s">
        <v>1662</v>
      </c>
    </row>
    <row r="18" customFormat="false" ht="15" hidden="false" customHeight="false" outlineLevel="0" collapsed="false">
      <c r="A18" s="6" t="s">
        <v>190</v>
      </c>
      <c r="B18" s="6" t="s">
        <v>1663</v>
      </c>
      <c r="C18" s="6" t="s">
        <v>1664</v>
      </c>
    </row>
    <row r="19" customFormat="false" ht="15" hidden="false" customHeight="false" outlineLevel="0" collapsed="false">
      <c r="A19" s="6" t="s">
        <v>190</v>
      </c>
      <c r="B19" s="6" t="s">
        <v>1665</v>
      </c>
      <c r="C19" s="6" t="s">
        <v>1666</v>
      </c>
    </row>
    <row r="20" customFormat="false" ht="15" hidden="false" customHeight="false" outlineLevel="0" collapsed="false">
      <c r="A20" s="6" t="s">
        <v>190</v>
      </c>
      <c r="B20" s="6" t="s">
        <v>1667</v>
      </c>
      <c r="C20" s="6" t="s">
        <v>1668</v>
      </c>
    </row>
    <row r="21" customFormat="false" ht="15" hidden="false" customHeight="false" outlineLevel="0" collapsed="false">
      <c r="A21" s="6" t="s">
        <v>146</v>
      </c>
      <c r="B21" s="6" t="s">
        <v>1669</v>
      </c>
      <c r="C21" s="6" t="s">
        <v>1363</v>
      </c>
    </row>
    <row r="22" customFormat="false" ht="15" hidden="false" customHeight="false" outlineLevel="0" collapsed="false">
      <c r="A22" s="6" t="s">
        <v>146</v>
      </c>
      <c r="B22" s="6" t="s">
        <v>1670</v>
      </c>
      <c r="C22" s="6" t="s">
        <v>956</v>
      </c>
    </row>
    <row r="23" customFormat="false" ht="23.85" hidden="false" customHeight="false" outlineLevel="0" collapsed="false">
      <c r="A23" s="6" t="s">
        <v>169</v>
      </c>
      <c r="B23" s="6" t="s">
        <v>1671</v>
      </c>
      <c r="C23" s="6" t="s">
        <v>1063</v>
      </c>
    </row>
    <row r="24" customFormat="false" ht="15" hidden="false" customHeight="false" outlineLevel="0" collapsed="false">
      <c r="A24" s="6" t="s">
        <v>169</v>
      </c>
      <c r="B24" s="6" t="s">
        <v>1672</v>
      </c>
      <c r="C24" s="6" t="s">
        <v>1673</v>
      </c>
    </row>
    <row r="25" customFormat="false" ht="15" hidden="false" customHeight="false" outlineLevel="0" collapsed="false">
      <c r="A25" s="6" t="s">
        <v>99</v>
      </c>
      <c r="B25" s="6" t="s">
        <v>1674</v>
      </c>
      <c r="C25" s="6" t="s">
        <v>975</v>
      </c>
    </row>
    <row r="26" customFormat="false" ht="23.85" hidden="false" customHeight="false" outlineLevel="0" collapsed="false">
      <c r="A26" s="6" t="s">
        <v>99</v>
      </c>
      <c r="B26" s="6" t="s">
        <v>1675</v>
      </c>
      <c r="C26" s="6" t="s">
        <v>1006</v>
      </c>
    </row>
    <row r="27" customFormat="false" ht="35.05" hidden="false" customHeight="false" outlineLevel="0" collapsed="false">
      <c r="A27" s="6" t="s">
        <v>62</v>
      </c>
      <c r="B27" s="6" t="s">
        <v>1676</v>
      </c>
      <c r="C27" s="6" t="s">
        <v>1677</v>
      </c>
    </row>
    <row r="28" customFormat="false" ht="35.05" hidden="false" customHeight="false" outlineLevel="0" collapsed="false">
      <c r="A28" s="6" t="s">
        <v>62</v>
      </c>
      <c r="B28" s="6" t="s">
        <v>1678</v>
      </c>
      <c r="C28" s="6" t="s">
        <v>1679</v>
      </c>
    </row>
    <row r="29" customFormat="false" ht="180.55" hidden="false" customHeight="false" outlineLevel="0" collapsed="false">
      <c r="A29" s="6" t="s">
        <v>75</v>
      </c>
      <c r="B29" s="6" t="s">
        <v>1680</v>
      </c>
      <c r="C29" s="6" t="s">
        <v>1681</v>
      </c>
    </row>
    <row r="30" customFormat="false" ht="147" hidden="false" customHeight="false" outlineLevel="0" collapsed="false">
      <c r="A30" s="6" t="s">
        <v>80</v>
      </c>
      <c r="B30" s="6" t="s">
        <v>1682</v>
      </c>
      <c r="C30" s="6" t="s">
        <v>1683</v>
      </c>
    </row>
    <row r="31" customFormat="false" ht="57.45" hidden="false" customHeight="false" outlineLevel="0" collapsed="false">
      <c r="A31" s="6" t="s">
        <v>80</v>
      </c>
      <c r="B31" s="6" t="s">
        <v>1684</v>
      </c>
      <c r="C31" s="6" t="s">
        <v>963</v>
      </c>
    </row>
    <row r="32" customFormat="false" ht="124.6" hidden="false" customHeight="false" outlineLevel="0" collapsed="false">
      <c r="A32" s="6" t="s">
        <v>80</v>
      </c>
      <c r="B32" s="6" t="s">
        <v>1685</v>
      </c>
      <c r="C32" s="6" t="s">
        <v>986</v>
      </c>
    </row>
    <row r="33" customFormat="false" ht="35.05" hidden="false" customHeight="false" outlineLevel="0" collapsed="false">
      <c r="A33" s="6" t="s">
        <v>80</v>
      </c>
      <c r="B33" s="6" t="s">
        <v>1686</v>
      </c>
      <c r="C33" s="6" t="s">
        <v>1615</v>
      </c>
    </row>
    <row r="34" customFormat="false" ht="68.65" hidden="false" customHeight="false" outlineLevel="0" collapsed="false">
      <c r="A34" s="6" t="s">
        <v>80</v>
      </c>
      <c r="B34" s="6" t="s">
        <v>1687</v>
      </c>
      <c r="C34" s="6" t="s">
        <v>1137</v>
      </c>
    </row>
    <row r="35" customFormat="false" ht="23.85" hidden="false" customHeight="false" outlineLevel="0" collapsed="false">
      <c r="A35" s="6" t="s">
        <v>80</v>
      </c>
      <c r="B35" s="6" t="s">
        <v>1688</v>
      </c>
      <c r="C35" s="6" t="s">
        <v>1111</v>
      </c>
    </row>
    <row r="36" customFormat="false" ht="225.35" hidden="false" customHeight="false" outlineLevel="0" collapsed="false">
      <c r="A36" s="6" t="s">
        <v>80</v>
      </c>
      <c r="B36" s="6" t="s">
        <v>1689</v>
      </c>
      <c r="C36" s="6" t="s">
        <v>945</v>
      </c>
    </row>
    <row r="37" customFormat="false" ht="68.65" hidden="false" customHeight="false" outlineLevel="0" collapsed="false">
      <c r="A37" s="6" t="s">
        <v>80</v>
      </c>
      <c r="B37" s="6" t="s">
        <v>1690</v>
      </c>
      <c r="C37" s="6" t="s">
        <v>979</v>
      </c>
    </row>
    <row r="38" customFormat="false" ht="35.05" hidden="false" customHeight="false" outlineLevel="0" collapsed="false">
      <c r="A38" s="6" t="s">
        <v>80</v>
      </c>
      <c r="B38" s="6" t="s">
        <v>1691</v>
      </c>
      <c r="C38" s="6" t="s">
        <v>981</v>
      </c>
    </row>
    <row r="39" customFormat="false" ht="180.55" hidden="false" customHeight="false" outlineLevel="0" collapsed="false">
      <c r="A39" s="6" t="s">
        <v>60</v>
      </c>
      <c r="B39" s="6" t="s">
        <v>1692</v>
      </c>
      <c r="C39" s="6" t="s">
        <v>1094</v>
      </c>
    </row>
    <row r="40" customFormat="false" ht="147" hidden="false" customHeight="false" outlineLevel="0" collapsed="false">
      <c r="A40" s="6" t="s">
        <v>60</v>
      </c>
      <c r="B40" s="6" t="s">
        <v>1693</v>
      </c>
      <c r="C40" s="6" t="s">
        <v>1096</v>
      </c>
    </row>
    <row r="41" customFormat="false" ht="202.95" hidden="false" customHeight="false" outlineLevel="0" collapsed="false">
      <c r="A41" s="6" t="s">
        <v>60</v>
      </c>
      <c r="B41" s="6" t="s">
        <v>1694</v>
      </c>
      <c r="C41" s="6" t="s">
        <v>1139</v>
      </c>
    </row>
    <row r="42" customFormat="false" ht="35.05" hidden="false" customHeight="false" outlineLevel="0" collapsed="false">
      <c r="A42" s="6" t="s">
        <v>60</v>
      </c>
      <c r="B42" s="6" t="s">
        <v>1695</v>
      </c>
      <c r="C42" s="6" t="s">
        <v>1395</v>
      </c>
    </row>
    <row r="43" customFormat="false" ht="214.15" hidden="false" customHeight="false" outlineLevel="0" collapsed="false">
      <c r="A43" s="6" t="s">
        <v>60</v>
      </c>
      <c r="B43" s="6" t="s">
        <v>1696</v>
      </c>
      <c r="C43" s="6" t="s">
        <v>1039</v>
      </c>
    </row>
    <row r="44" customFormat="false" ht="281.3" hidden="false" customHeight="false" outlineLevel="0" collapsed="false">
      <c r="A44" s="6" t="s">
        <v>238</v>
      </c>
      <c r="B44" s="6" t="s">
        <v>1697</v>
      </c>
      <c r="C44" s="6" t="s">
        <v>1698</v>
      </c>
    </row>
    <row r="45" customFormat="false" ht="79.85" hidden="false" customHeight="false" outlineLevel="0" collapsed="false">
      <c r="A45" s="6" t="s">
        <v>238</v>
      </c>
      <c r="B45" s="6" t="s">
        <v>1699</v>
      </c>
      <c r="C45" s="6" t="s">
        <v>1295</v>
      </c>
    </row>
    <row r="46" customFormat="false" ht="180.55" hidden="false" customHeight="false" outlineLevel="0" collapsed="false">
      <c r="A46" s="6" t="s">
        <v>238</v>
      </c>
      <c r="B46" s="6" t="s">
        <v>1700</v>
      </c>
      <c r="C46" s="6" t="s">
        <v>1701</v>
      </c>
    </row>
    <row r="47" customFormat="false" ht="124.6" hidden="false" customHeight="false" outlineLevel="0" collapsed="false">
      <c r="A47" s="6" t="s">
        <v>238</v>
      </c>
      <c r="B47" s="6" t="s">
        <v>1702</v>
      </c>
      <c r="C47" s="6" t="s">
        <v>1591</v>
      </c>
    </row>
    <row r="48" customFormat="false" ht="124.6" hidden="false" customHeight="false" outlineLevel="0" collapsed="false">
      <c r="A48" s="6" t="s">
        <v>238</v>
      </c>
      <c r="B48" s="6" t="s">
        <v>1703</v>
      </c>
      <c r="C48" s="6" t="s">
        <v>1179</v>
      </c>
    </row>
    <row r="49" customFormat="false" ht="202.95" hidden="false" customHeight="false" outlineLevel="0" collapsed="false">
      <c r="A49" s="6" t="s">
        <v>238</v>
      </c>
      <c r="B49" s="6" t="s">
        <v>1704</v>
      </c>
      <c r="C49" s="6" t="s">
        <v>1705</v>
      </c>
    </row>
    <row r="50" customFormat="false" ht="46.25" hidden="false" customHeight="false" outlineLevel="0" collapsed="false">
      <c r="A50" s="6" t="s">
        <v>238</v>
      </c>
      <c r="B50" s="6" t="s">
        <v>1706</v>
      </c>
      <c r="C50" s="6" t="s">
        <v>1707</v>
      </c>
    </row>
    <row r="51" customFormat="false" ht="158.2" hidden="false" customHeight="false" outlineLevel="0" collapsed="false">
      <c r="A51" s="6" t="s">
        <v>238</v>
      </c>
      <c r="B51" s="6" t="s">
        <v>1708</v>
      </c>
      <c r="C51" s="6" t="s">
        <v>1709</v>
      </c>
    </row>
    <row r="52" customFormat="false" ht="102.2" hidden="false" customHeight="false" outlineLevel="0" collapsed="false">
      <c r="A52" s="6" t="s">
        <v>104</v>
      </c>
      <c r="B52" s="6" t="s">
        <v>1710</v>
      </c>
      <c r="C52" s="6" t="s">
        <v>1334</v>
      </c>
    </row>
    <row r="53" customFormat="false" ht="35.05" hidden="false" customHeight="false" outlineLevel="0" collapsed="false">
      <c r="A53" s="6" t="s">
        <v>104</v>
      </c>
      <c r="B53" s="6" t="s">
        <v>1711</v>
      </c>
      <c r="C53" s="6" t="s">
        <v>1213</v>
      </c>
    </row>
    <row r="54" customFormat="false" ht="23.85" hidden="false" customHeight="false" outlineLevel="0" collapsed="false">
      <c r="A54" s="6" t="s">
        <v>104</v>
      </c>
      <c r="B54" s="6" t="s">
        <v>1712</v>
      </c>
      <c r="C54" s="6" t="s">
        <v>1215</v>
      </c>
    </row>
  </sheetData>
  <autoFilter ref="A1:C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0"/>
    <col collapsed="false" customWidth="true" hidden="false" outlineLevel="0" max="4" min="4" style="0" width="80"/>
    <col collapsed="false" customWidth="true" hidden="false" outlineLevel="0" max="5" min="5" style="0" width="50"/>
    <col collapsed="false" customWidth="true" hidden="false" outlineLevel="0" max="6" min="6" style="0" width="9"/>
  </cols>
  <sheetData>
    <row r="1" customFormat="false" ht="27.75" hidden="false" customHeight="true" outlineLevel="0" collapsed="false">
      <c r="A1" s="4" t="s">
        <v>929</v>
      </c>
      <c r="B1" s="4" t="s">
        <v>1713</v>
      </c>
      <c r="C1" s="4" t="s">
        <v>41</v>
      </c>
      <c r="D1" s="4" t="s">
        <v>1714</v>
      </c>
      <c r="E1" s="4" t="s">
        <v>1715</v>
      </c>
      <c r="F1" s="4" t="s">
        <v>1716</v>
      </c>
    </row>
    <row r="2" customFormat="false" ht="23.85" hidden="false" customHeight="false" outlineLevel="0" collapsed="false">
      <c r="A2" s="19" t="s">
        <v>60</v>
      </c>
      <c r="B2" s="6" t="s">
        <v>1717</v>
      </c>
      <c r="C2" s="6" t="s">
        <v>111</v>
      </c>
      <c r="D2" s="6" t="s">
        <v>1718</v>
      </c>
      <c r="E2" s="6" t="s">
        <v>1719</v>
      </c>
      <c r="F2" s="6" t="s">
        <v>1720</v>
      </c>
    </row>
    <row r="4" customFormat="false" ht="15" hidden="false" customHeight="false" outlineLevel="0" collapsed="false">
      <c r="A4" s="20" t="s">
        <v>1721</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30"/>
    <col collapsed="false" customWidth="true" hidden="false" outlineLevel="0" max="4" min="4" style="0" width="12"/>
  </cols>
  <sheetData>
    <row r="1" customFormat="false" ht="27.75" hidden="false" customHeight="true" outlineLevel="0" collapsed="false">
      <c r="A1" s="4" t="s">
        <v>41</v>
      </c>
      <c r="B1" s="4" t="s">
        <v>1722</v>
      </c>
      <c r="C1" s="4" t="s">
        <v>1723</v>
      </c>
      <c r="D1" s="4" t="s">
        <v>1724</v>
      </c>
    </row>
    <row r="2" customFormat="false" ht="23.85" hidden="false" customHeight="false" outlineLevel="0" collapsed="false">
      <c r="A2" s="6" t="s">
        <v>369</v>
      </c>
      <c r="B2" s="6" t="s">
        <v>1725</v>
      </c>
      <c r="C2" s="6" t="s">
        <v>1726</v>
      </c>
      <c r="D2" s="6" t="s">
        <v>80</v>
      </c>
    </row>
    <row r="3" customFormat="false" ht="23.85" hidden="false" customHeight="false" outlineLevel="0" collapsed="false">
      <c r="A3" s="6" t="s">
        <v>572</v>
      </c>
      <c r="B3" s="6" t="s">
        <v>1727</v>
      </c>
      <c r="C3" s="6" t="s">
        <v>1728</v>
      </c>
      <c r="D3" s="6" t="s">
        <v>75</v>
      </c>
    </row>
    <row r="4" customFormat="false" ht="15" hidden="false" customHeight="false" outlineLevel="0" collapsed="false">
      <c r="A4" s="6" t="s">
        <v>332</v>
      </c>
      <c r="B4" s="6" t="s">
        <v>1729</v>
      </c>
      <c r="C4" s="6" t="s">
        <v>1730</v>
      </c>
      <c r="D4" s="6" t="s">
        <v>75</v>
      </c>
    </row>
    <row r="5" customFormat="false" ht="15" hidden="false" customHeight="false" outlineLevel="0" collapsed="false">
      <c r="A5" s="6" t="s">
        <v>157</v>
      </c>
      <c r="B5" s="6" t="s">
        <v>1731</v>
      </c>
      <c r="C5" s="6" t="s">
        <v>1732</v>
      </c>
      <c r="D5" s="6" t="s">
        <v>62</v>
      </c>
    </row>
    <row r="6" customFormat="false" ht="23.85" hidden="false" customHeight="false" outlineLevel="0" collapsed="false">
      <c r="A6" s="6" t="s">
        <v>1733</v>
      </c>
      <c r="B6" s="6" t="s">
        <v>1734</v>
      </c>
      <c r="C6" s="6" t="s">
        <v>1735</v>
      </c>
      <c r="D6" s="6" t="s">
        <v>80</v>
      </c>
    </row>
    <row r="7" customFormat="false" ht="23.85" hidden="false" customHeight="false" outlineLevel="0" collapsed="false">
      <c r="A7" s="6" t="s">
        <v>192</v>
      </c>
      <c r="B7" s="6" t="s">
        <v>1736</v>
      </c>
      <c r="C7" s="6" t="s">
        <v>1737</v>
      </c>
      <c r="D7" s="6" t="s">
        <v>80</v>
      </c>
    </row>
    <row r="8" customFormat="false" ht="15" hidden="false" customHeight="false" outlineLevel="0" collapsed="false">
      <c r="A8" s="6" t="s">
        <v>196</v>
      </c>
      <c r="B8" s="6" t="s">
        <v>1738</v>
      </c>
      <c r="C8" s="6" t="s">
        <v>1739</v>
      </c>
      <c r="D8" s="6" t="s">
        <v>75</v>
      </c>
    </row>
    <row r="9" customFormat="false" ht="15" hidden="false" customHeight="false" outlineLevel="0" collapsed="false">
      <c r="A9" s="6" t="s">
        <v>213</v>
      </c>
      <c r="B9" s="6" t="s">
        <v>1738</v>
      </c>
      <c r="C9" s="6" t="s">
        <v>1740</v>
      </c>
      <c r="D9" s="6" t="s">
        <v>75</v>
      </c>
    </row>
    <row r="10" customFormat="false" ht="15" hidden="false" customHeight="false" outlineLevel="0" collapsed="false">
      <c r="A10" s="6" t="s">
        <v>111</v>
      </c>
      <c r="B10" s="6" t="s">
        <v>1738</v>
      </c>
      <c r="C10" s="6" t="s">
        <v>1741</v>
      </c>
      <c r="D10" s="6" t="s">
        <v>80</v>
      </c>
    </row>
    <row r="11" customFormat="false" ht="15" hidden="false" customHeight="false" outlineLevel="0" collapsed="false">
      <c r="A11" s="6" t="s">
        <v>572</v>
      </c>
      <c r="B11" s="6" t="s">
        <v>1738</v>
      </c>
      <c r="C11" s="6" t="s">
        <v>1742</v>
      </c>
      <c r="D11" s="6" t="s">
        <v>75</v>
      </c>
    </row>
    <row r="12" customFormat="false" ht="15" hidden="false" customHeight="false" outlineLevel="0" collapsed="false">
      <c r="A12" s="6" t="s">
        <v>192</v>
      </c>
      <c r="B12" s="6" t="s">
        <v>1738</v>
      </c>
      <c r="C12" s="6" t="s">
        <v>1743</v>
      </c>
      <c r="D12" s="6" t="s">
        <v>80</v>
      </c>
    </row>
    <row r="13" customFormat="false" ht="23.85" hidden="false" customHeight="false" outlineLevel="0" collapsed="false">
      <c r="A13" s="6" t="s">
        <v>518</v>
      </c>
      <c r="B13" s="6" t="s">
        <v>1744</v>
      </c>
      <c r="C13" s="6" t="s">
        <v>1745</v>
      </c>
      <c r="D13" s="6" t="s">
        <v>62</v>
      </c>
    </row>
    <row r="14" customFormat="false" ht="15" hidden="false" customHeight="false" outlineLevel="0" collapsed="false">
      <c r="A14" s="6" t="s">
        <v>1746</v>
      </c>
      <c r="B14" s="6" t="s">
        <v>1747</v>
      </c>
      <c r="C14" s="6" t="s">
        <v>1748</v>
      </c>
      <c r="D14" s="6" t="s">
        <v>62</v>
      </c>
    </row>
    <row r="15" customFormat="false" ht="23.85" hidden="false" customHeight="false" outlineLevel="0" collapsed="false">
      <c r="A15" s="6" t="s">
        <v>264</v>
      </c>
      <c r="B15" s="6" t="s">
        <v>1749</v>
      </c>
      <c r="C15" s="6" t="s">
        <v>1750</v>
      </c>
      <c r="D15" s="6" t="s">
        <v>169</v>
      </c>
    </row>
    <row r="16" customFormat="false" ht="15" hidden="false" customHeight="false" outlineLevel="0" collapsed="false">
      <c r="A16" s="6" t="s">
        <v>1751</v>
      </c>
      <c r="B16" s="6" t="s">
        <v>1752</v>
      </c>
      <c r="C16" s="6" t="s">
        <v>1753</v>
      </c>
      <c r="D16" s="6" t="s">
        <v>190</v>
      </c>
    </row>
    <row r="17" customFormat="false" ht="15" hidden="false" customHeight="false" outlineLevel="0" collapsed="false">
      <c r="A17" s="6" t="s">
        <v>1754</v>
      </c>
      <c r="B17" s="6" t="s">
        <v>1755</v>
      </c>
      <c r="C17" s="6" t="s">
        <v>1756</v>
      </c>
      <c r="D17" s="6" t="s">
        <v>75</v>
      </c>
    </row>
    <row r="18" customFormat="false" ht="15" hidden="false" customHeight="false" outlineLevel="0" collapsed="false">
      <c r="A18" s="6" t="s">
        <v>521</v>
      </c>
      <c r="B18" s="6" t="s">
        <v>1727</v>
      </c>
      <c r="C18" s="6" t="s">
        <v>1757</v>
      </c>
      <c r="D18" s="6" t="s">
        <v>75</v>
      </c>
    </row>
    <row r="19" customFormat="false" ht="15" hidden="false" customHeight="false" outlineLevel="0" collapsed="false">
      <c r="A19" s="6" t="s">
        <v>1758</v>
      </c>
      <c r="B19" s="6" t="s">
        <v>1759</v>
      </c>
      <c r="C19" s="6" t="s">
        <v>1760</v>
      </c>
      <c r="D19" s="6" t="s">
        <v>330</v>
      </c>
    </row>
    <row r="20" customFormat="false" ht="23.85" hidden="false" customHeight="false" outlineLevel="0" collapsed="false">
      <c r="A20" s="6" t="s">
        <v>1758</v>
      </c>
      <c r="B20" s="6" t="s">
        <v>1761</v>
      </c>
      <c r="C20" s="6" t="s">
        <v>1762</v>
      </c>
      <c r="D20" s="6" t="s">
        <v>62</v>
      </c>
    </row>
  </sheetData>
  <autoFilter ref="A1:D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2026-08-10T00:28:29Z</dcterms:created>
  <dc:creator>openpyxl</dc:creator>
  <dc:description/>
  <dc:language>en-US</dc:language>
  <cp:lastModifiedBy/>
  <dcterms:modified xsi:type="dcterms:W3CDTF">2026-08-10T00:28:30Z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