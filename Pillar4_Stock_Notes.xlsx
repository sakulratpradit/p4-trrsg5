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ock Index" sheetId="2" state="visible" r:id="rId4"/>
    <sheet name="Comment Log" sheetId="3" state="visible" r:id="rId5"/>
    <sheet name="Dashboard Notes" sheetId="4" state="visible" r:id="rId6"/>
    <sheet name="Our Notes" sheetId="5" state="visible" r:id="rId7"/>
    <sheet name="Follow-ups" sheetId="6" state="visible" r:id="rId8"/>
  </sheets>
  <definedNames>
    <definedName function="false" hidden="true" localSheetId="2" name="_xlnm._FilterDatabase" vbProcedure="false">'Comment Log'!$A$1:$D$1452</definedName>
    <definedName function="false" hidden="true" localSheetId="3" name="_xlnm._FilterDatabase" vbProcedure="false">'Dashboard Notes'!$A$1:$C$38</definedName>
    <definedName function="false" hidden="true" localSheetId="5" name="_xlnm._FilterDatabase" vbProcedure="false">'Follow-ups'!$A$1:$D$20</definedName>
    <definedName function="false" hidden="true" localSheetId="4" name="_xlnm._FilterDatabase" vbProcedure="false">'Our Notes'!$A$1:$F$2</definedName>
    <definedName function="false" hidden="true" localSheetId="1" name="_xlnm._FilterDatabase" vbProcedure="false">'Stock Index'!$A$1:$M$127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<sst xmlns="http://schemas.openxmlformats.org/spreadsheetml/2006/main" count="6989" uniqueCount="1220">
  <si>
    <t xml:space="preserve">PILLAR 4 - US STOCK NOTES</t>
  </si>
  <si>
    <t xml:space="preserve">What this is</t>
  </si>
  <si>
    <t xml:space="preserve">Every comment Claude has written about each stock in the US dashboard, kept in one place so you and Dad can re-read the reasoning instead of asking the same question twice.</t>
  </si>
  <si>
    <t xml:space="preserve">Generated</t>
  </si>
  <si>
    <t xml:space="preserve">2026-08-07</t>
  </si>
  <si>
    <t xml:space="preserve">Objective on record</t>
  </si>
  <si>
    <t xml:space="preserve">SL-P4: 100% capital gain over five years, 2026-2030 (about 15% a year).</t>
  </si>
  <si>
    <t xml:space="preserve">SHEET</t>
  </si>
  <si>
    <t xml:space="preserve">WHAT IS IN IT</t>
  </si>
  <si>
    <t xml:space="preserve">Stock Index</t>
  </si>
  <si>
    <t xml:space="preserve">One row per ticker: group, whether you hold it, shares, cost, budget, last stored price, how many comments exist, and the most recent thing Claude said about it. Start here.</t>
  </si>
  <si>
    <t xml:space="preserve">Comment Log</t>
  </si>
  <si>
    <t xml:space="preserve">The full archive. One row per comment, tagged with the ticker and the date. Use the filter arrow on the Ticker column to pull up a single stock.</t>
  </si>
  <si>
    <t xml:space="preserve">Dashboard Notes</t>
  </si>
  <si>
    <t xml:space="preserve">The dated technical notes stored inside the dashboard itself - data conflicts, earnings dates, warnings, what was verified and what was not. Longer and more detailed than the chat comments.</t>
  </si>
  <si>
    <t xml:space="preserve">Our Notes</t>
  </si>
  <si>
    <t xml:space="preserve">YOURS. Claude never overwrites this sheet - it is read back and carried forward on every rebuild. Put your own observations, Dad's notes, and decisions here.</t>
  </si>
  <si>
    <t xml:space="preserve">Follow-ups</t>
  </si>
  <si>
    <t xml:space="preserve">Open items Claude is carrying: unanswered offers, data to fix, earnings to watch.</t>
  </si>
  <si>
    <t xml:space="preserve">HOW TO LOOK UP ONE STOCK</t>
  </si>
  <si>
    <t xml:space="preserve">1</t>
  </si>
  <si>
    <t xml:space="preserve">Go to the Comment Log sheet.</t>
  </si>
  <si>
    <t xml:space="preserve">2</t>
  </si>
  <si>
    <t xml:space="preserve">Click the small arrow in the Ticker header (row 1, column A).</t>
  </si>
  <si>
    <t xml:space="preserve">3</t>
  </si>
  <si>
    <t xml:space="preserve">Untick "Select All", tick just the ticker you want, press OK.</t>
  </si>
  <si>
    <t xml:space="preserve">4</t>
  </si>
  <si>
    <t xml:space="preserve">Every comment about that stock, oldest to newest, is now on screen.</t>
  </si>
  <si>
    <t xml:space="preserve">5</t>
  </si>
  <si>
    <t xml:space="preserve">To clear it, click the arrow again and tick "Select All".</t>
  </si>
  <si>
    <t xml:space="preserve">IMPORTANT LIMITS</t>
  </si>
  <si>
    <t xml:space="preserve">Not advice</t>
  </si>
  <si>
    <t xml:space="preserve">These are analytical comments, not licensed investment advice. Every order is placed by Salee.</t>
  </si>
  <si>
    <t xml:space="preserve">Comments age</t>
  </si>
  <si>
    <t xml:space="preserve">A comment is a snapshot of what was true and known on its date. A buy case from three weeks ago may have been overtaken by an earnings report. Always check the date column.</t>
  </si>
  <si>
    <t xml:space="preserve">Prices are closes</t>
  </si>
  <si>
    <t xml:space="preserve">Prices in the Stock Index come from the dashboard and are closing prices with a stated date, not live quotes.</t>
  </si>
  <si>
    <t xml:space="preserve">Coverage</t>
  </si>
  <si>
    <t xml:space="preserve">Comments were mined from the chat history of the Jul 20 - Aug 7 2026 session plus the full git history of the dashboard. Anything said before that session is not captured.</t>
  </si>
  <si>
    <t xml:space="preserve">Ticker</t>
  </si>
  <si>
    <t xml:space="preserve">Company</t>
  </si>
  <si>
    <t xml:space="preserve">Group</t>
  </si>
  <si>
    <t xml:space="preserve">Held</t>
  </si>
  <si>
    <t xml:space="preserve">Shares</t>
  </si>
  <si>
    <t xml:space="preserve">Cost (USD)</t>
  </si>
  <si>
    <t xml:space="preserve">Budget (USD)</t>
  </si>
  <si>
    <t xml:space="preserve">Last close (USD)</t>
  </si>
  <si>
    <t xml:space="preserve">Price date</t>
  </si>
  <si>
    <t xml:space="preserve">Comments</t>
  </si>
  <si>
    <t xml:space="preserve">First comment</t>
  </si>
  <si>
    <t xml:space="preserve">Last comment</t>
  </si>
  <si>
    <t xml:space="preserve">Most recent comment</t>
  </si>
  <si>
    <t xml:space="preserve">AAPL</t>
  </si>
  <si>
    <t xml:space="preserve">Apple</t>
  </si>
  <si>
    <t xml:space="preserve">Hyperscalers</t>
  </si>
  <si>
    <t xml:space="preserve">YES</t>
  </si>
  <si>
    <t xml:space="preserve">2026-08-05</t>
  </si>
  <si>
    <t xml:space="preserve">2026-07-20</t>
  </si>
  <si>
    <t xml:space="preserve">2026-08-04</t>
  </si>
  <si>
    <t xml:space="preserve">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</si>
  <si>
    <t xml:space="preserve">AMZN</t>
  </si>
  <si>
    <t xml:space="preserve">Amazon</t>
  </si>
  <si>
    <t xml:space="preserve">Your AMZN buy is logged. 7 shares @ $285.3599 (limit 285.50, order 65487), $1,997.52 + $8.56 fees = $2,006.08. You now hold 209 shares at an average cost of $232.54, worth $59,360 — up 22.1%. Budget left in the Amazon sleeve: $1,399.25, so that position is now essentially full.</t>
  </si>
  <si>
    <t xml:space="preserve">GOOGL</t>
  </si>
  <si>
    <t xml:space="preserve">Alphabet</t>
  </si>
  <si>
    <t xml:space="preserve">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</si>
  <si>
    <t xml:space="preserve">META</t>
  </si>
  <si>
    <t xml:space="preserve">Meta Platforms</t>
  </si>
  <si>
    <t xml:space="preserve">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</si>
  <si>
    <t xml:space="preserve">MSFT</t>
  </si>
  <si>
    <t xml:space="preserve">Microsoft</t>
  </si>
  <si>
    <t xml:space="preserve">2026-08-06</t>
  </si>
  <si>
    <t xml:space="preserve">- VEEV's return-on-capital reads 176% on one source and 31% on another. I stored the conservative 31.44%. The 176% is a maths artifact — Veeva has almost no debt and a tiny capital base, so the ratio explodes. Don't read it as "six times better than Microsoft."</t>
  </si>
  <si>
    <t xml:space="preserve">AMD</t>
  </si>
  <si>
    <t xml:space="preserve">Advanced Micro Devices</t>
  </si>
  <si>
    <t xml:space="preserve">Computing Chips</t>
  </si>
  <si>
    <t xml:space="preserve">2026-07-21</t>
  </si>
  <si>
    <t xml:space="preserve">&gt;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</si>
  <si>
    <t xml:space="preserve">ARM</t>
  </si>
  <si>
    <t xml:space="preserve">Arm Holdings</t>
  </si>
  <si>
    <t xml:space="preserve">Portfolio now: $560,432 cost, $683,857 market value, +$123,426 (+22.02%). A strong day across the board — 109 of 112 names repriced, and the tone was risk-on: PLTR +29%, AAOI +19%, ARM +17%, FN +16%, your own AMD +7% and AVGO +6.6%.</t>
  </si>
  <si>
    <t xml:space="preserve">AVGO</t>
  </si>
  <si>
    <t xml:space="preserve">Broadcom</t>
  </si>
  <si>
    <t xml:space="preserve">2026-07-23</t>
  </si>
  <si>
    <t xml:space="preserve">INTC</t>
  </si>
  <si>
    <t xml:space="preserve">Intel</t>
  </si>
  <si>
    <t xml:space="preserve">2026-08-03</t>
  </si>
  <si>
    <t xml:space="preserve">&gt; Conviction: High. Horizon: Long (3–5 years, fits the 2030 mandate). What would change my mind: a serious Taiwan Strait escalation, or evidence that Intel or Samsung has genuinely closed the leading-edge manufacturing gap.</t>
  </si>
  <si>
    <t xml:space="preserve">MRVL</t>
  </si>
  <si>
    <t xml:space="preserve">Marvell Technology</t>
  </si>
  <si>
    <t xml:space="preserve">2026-07-22</t>
  </si>
  <si>
    <t xml:space="preserve">⚠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</si>
  <si>
    <t xml:space="preserve">NVDA</t>
  </si>
  <si>
    <t xml:space="preserve">NVIDIA</t>
  </si>
  <si>
    <t xml:space="preserve">-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</si>
  <si>
    <t xml:space="preserve">QCOM</t>
  </si>
  <si>
    <t xml:space="preserve">Qualcomm</t>
  </si>
  <si>
    <t xml:space="preserve">No comment on record yet.</t>
  </si>
  <si>
    <t xml:space="preserve">TSM</t>
  </si>
  <si>
    <t xml:space="preserve">Taiwan Semiconductor</t>
  </si>
  <si>
    <t xml:space="preserve">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</si>
  <si>
    <t xml:space="preserve">AEHR</t>
  </si>
  <si>
    <t xml:space="preserve">Aehr Test Systems</t>
  </si>
  <si>
    <t xml:space="preserve">Chips Manufacturing</t>
  </si>
  <si>
    <t xml:space="preserve">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</si>
  <si>
    <t xml:space="preserve">AMAT</t>
  </si>
  <si>
    <t xml:space="preserve">Applied Materials</t>
  </si>
  <si>
    <t xml:space="preserve">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</si>
  <si>
    <t xml:space="preserve">AMKR</t>
  </si>
  <si>
    <t xml:space="preserve">Amkor Technology</t>
  </si>
  <si>
    <t xml:space="preserve">Worth noting on the close: MU finished at $820.53, +35.89%, recovering above where it traded intraday — the market did not fully buy the CXMT supply-glut story. The real damage on the book is older wounds, not Jul 28: AMKR −27.26%, ORCL −27.85%, TSLA −28.58%.</t>
  </si>
  <si>
    <t xml:space="preserve">ASML</t>
  </si>
  <si>
    <t xml:space="preserve">ASML Holding</t>
  </si>
  <si>
    <t xml:space="preserve">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</si>
  <si>
    <t xml:space="preserve">KLAC</t>
  </si>
  <si>
    <t xml:space="preserve">KLA Corporation</t>
  </si>
  <si>
    <t xml:space="preserve">2026-07-31</t>
  </si>
  <si>
    <t xml:space="preserve">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</si>
  <si>
    <t xml:space="preserve">LRCX</t>
  </si>
  <si>
    <t xml:space="preserve">Lam Research</t>
  </si>
  <si>
    <t xml:space="preserve">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</si>
  <si>
    <t xml:space="preserve">MU</t>
  </si>
  <si>
    <t xml:space="preserve">Micron Technology</t>
  </si>
  <si>
    <t xml:space="preserve">Memory &amp; Storage</t>
  </si>
  <si>
    <t xml:space="preserve">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</si>
  <si>
    <t xml:space="preserve">SKHY</t>
  </si>
  <si>
    <t xml:space="preserve">SK hynix (NASDAQ ADR, listed Jul 10 '26)</t>
  </si>
  <si>
    <t xml:space="preserve">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</si>
  <si>
    <t xml:space="preserve">SNDK</t>
  </si>
  <si>
    <t xml:space="preserve">SanDisk</t>
  </si>
  <si>
    <t xml:space="preserve">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</si>
  <si>
    <t xml:space="preserve">STX</t>
  </si>
  <si>
    <t xml:space="preserve">Seagate Technology</t>
  </si>
  <si>
    <t xml:space="preserve">2026-07-29</t>
  </si>
  <si>
    <t xml:space="preserve">2026-08-01</t>
  </si>
  <si>
    <t xml:space="preserve">I caught this because when I pulled the full history tables for those names, the number stored on the board matched the Jul 29 row exactly, every single time. ARM 224.89, SNDK 1015.89, STX 764.43, DELL 369.64, and thirty-plus more.</t>
  </si>
  <si>
    <t xml:space="preserve">WDC</t>
  </si>
  <si>
    <t xml:space="preserve">Western Digital</t>
  </si>
  <si>
    <t xml:space="preserve">When I corrected WDC's Jul 28 close yesterday I never rescaled its market cap. Same error I *had* caught on SKHY and missed here. SNDK had it too, just under the warning threshold. Both fixed by preserving implied share count — WDC 189.02 → 202.69, SNDK 235.37 → 230.94.</t>
  </si>
  <si>
    <t xml:space="preserve">AAOI</t>
  </si>
  <si>
    <t xml:space="preserve">Applied Optoelectronics</t>
  </si>
  <si>
    <t xml:space="preserve">Photonic &amp; Optic Fiber</t>
  </si>
  <si>
    <t xml:space="preserve">ALAB</t>
  </si>
  <si>
    <t xml:space="preserve">Astera Labs</t>
  </si>
  <si>
    <t xml:space="preserve">One last flag: APH and LITE sit in the same dashboard group. Adding aggressively to both concentrates dad further into the interconnect layer, which already includes ANET, CRDO and ALAB. That's a fine theme — it's just no longer a diversifying one.</t>
  </si>
  <si>
    <t xml:space="preserve">ANET</t>
  </si>
  <si>
    <t xml:space="preserve">Arista Networks</t>
  </si>
  <si>
    <t xml:space="preserve">2026-07-24</t>
  </si>
  <si>
    <t xml:space="preserve">APH</t>
  </si>
  <si>
    <t xml:space="preserve">Amphenol</t>
  </si>
  <si>
    <t xml:space="preserve">2026-07-30</t>
  </si>
  <si>
    <t xml:space="preserve">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</si>
  <si>
    <t xml:space="preserve">AXTI</t>
  </si>
  <si>
    <t xml:space="preserve">AXT Inc</t>
  </si>
  <si>
    <t xml:space="preserve">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</si>
  <si>
    <t xml:space="preserve">COHR</t>
  </si>
  <si>
    <t xml:space="preserve">Coherent</t>
  </si>
  <si>
    <t xml:space="preserve">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</si>
  <si>
    <t xml:space="preserve">CRDO</t>
  </si>
  <si>
    <t xml:space="preserve">Credo Technology</t>
  </si>
  <si>
    <t xml:space="preserve">FN</t>
  </si>
  <si>
    <t xml:space="preserve">Fabrinet</t>
  </si>
  <si>
    <t xml:space="preserve">GLW</t>
  </si>
  <si>
    <t xml:space="preserve">Corning</t>
  </si>
  <si>
    <t xml:space="preserve">$119.26,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</si>
  <si>
    <t xml:space="preserve">LITE</t>
  </si>
  <si>
    <t xml:space="preserve">Lumentum</t>
  </si>
  <si>
    <t xml:space="preserve">LWLG</t>
  </si>
  <si>
    <t xml:space="preserve">Lightwave Logic</t>
  </si>
  <si>
    <t xml:space="preserve">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</si>
  <si>
    <t xml:space="preserve">POET</t>
  </si>
  <si>
    <t xml:space="preserve">POET Technologies</t>
  </si>
  <si>
    <t xml:space="preserve">AXTI is live on the dashboard — 126th name, sitting in Photonic &amp; Optic Fiber alongside LITE, COHR, AAOI and POET. Watchlist only, no position and no budget. Pushed as `effe9e9`; refresh https://sakulratpradit.github.io/p4-trrsg5/ to see it.</t>
  </si>
  <si>
    <t xml:space="preserve">AIRJ</t>
  </si>
  <si>
    <t xml:space="preserve">AirJoule Technologies</t>
  </si>
  <si>
    <t xml:space="preserve">Energy</t>
  </si>
  <si>
    <t xml:space="preserve">AMPX</t>
  </si>
  <si>
    <t xml:space="preserve">Amprius Technologies</t>
  </si>
  <si>
    <t xml:space="preserve">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</si>
  <si>
    <t xml:space="preserve">BE</t>
  </si>
  <si>
    <t xml:space="preserve">Bloom Energy</t>
  </si>
  <si>
    <t xml:space="preserve">ENPH</t>
  </si>
  <si>
    <t xml:space="preserve">Enphase Energy</t>
  </si>
  <si>
    <t xml:space="preserve">2026-07-25</t>
  </si>
  <si>
    <t xml:space="preserve">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</si>
  <si>
    <t xml:space="preserve">EOSE</t>
  </si>
  <si>
    <t xml:space="preserve">Eos Energy Enterprises</t>
  </si>
  <si>
    <t xml:space="preserve">Palantir's revenue *is* other enterprises applying AI internally. Q1 2026: revenue $1.633 billion, +85%. US commercial +133%. Net revenue retention 150%+ — existing customers spend half again as much each year without Palantir adding a single new logo.</t>
  </si>
  <si>
    <t xml:space="preserve">FLNC</t>
  </si>
  <si>
    <t xml:space="preserve">Fluence Energy</t>
  </si>
  <si>
    <t xml:space="preserve">APP, FLNC and MELI fell because their numbers got worse. When analysts update, they will cut their forecasts, and the stock has further to adjust downward.</t>
  </si>
  <si>
    <t xml:space="preserve">MPWR</t>
  </si>
  <si>
    <t xml:space="preserve">Monolithic Power</t>
  </si>
  <si>
    <t xml:space="preserve">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</si>
  <si>
    <t xml:space="preserve">NEE</t>
  </si>
  <si>
    <t xml:space="preserve">NextEra Energy</t>
  </si>
  <si>
    <t xml:space="preserve">&gt;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</si>
  <si>
    <t xml:space="preserve">TE</t>
  </si>
  <si>
    <t xml:space="preserve">T1 Energy</t>
  </si>
  <si>
    <t xml:space="preserve">VRT</t>
  </si>
  <si>
    <t xml:space="preserve">Vertiv Holdings</t>
  </si>
  <si>
    <t xml:space="preserve">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</si>
  <si>
    <t xml:space="preserve">VST</t>
  </si>
  <si>
    <t xml:space="preserve">Vistra</t>
  </si>
  <si>
    <t xml:space="preserve">Three — two of your existing holdings report this week. Constellation (CEG) reports tomorrow, Aug 6, and Vistra (VST) reports Friday, Aug 7. You own both. Wait and see those before adding anything else to the power/energy side. CEG also declared a dividend of $0.4265 per share this morning.</t>
  </si>
  <si>
    <t xml:space="preserve">XE</t>
  </si>
  <si>
    <t xml:space="preserve">X-energy (IPO Apr 24 '26)</t>
  </si>
  <si>
    <t xml:space="preserve">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</si>
  <si>
    <t xml:space="preserve">CGNX</t>
  </si>
  <si>
    <t xml:space="preserve">Cognex</t>
  </si>
  <si>
    <t xml:space="preserve">Robotic / Automation / EV</t>
  </si>
  <si>
    <t xml:space="preserve">Excellent — the real grouping. I've transcribed your note (INTL→INTC, CONX→CGNX, ONDAS→ONDS, and IBM moving to Quantum — nice touch). Before I flag the gaps, let me rebuild:</t>
  </si>
  <si>
    <t xml:space="preserve">ISRG</t>
  </si>
  <si>
    <t xml:space="preserve">Intuitive Surgical</t>
  </si>
  <si>
    <t xml:space="preserve">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</si>
  <si>
    <t xml:space="preserve">OUST</t>
  </si>
  <si>
    <t xml:space="preserve">Ouster</t>
  </si>
  <si>
    <t xml:space="preserve">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</si>
  <si>
    <t xml:space="preserve">ROK</t>
  </si>
  <si>
    <t xml:space="preserve">Rockwell Automation</t>
  </si>
  <si>
    <t xml:space="preserve">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</si>
  <si>
    <t xml:space="preserve">TER</t>
  </si>
  <si>
    <t xml:space="preserve">Teradyne</t>
  </si>
  <si>
    <t xml:space="preserve">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</si>
  <si>
    <t xml:space="preserve">TSLA</t>
  </si>
  <si>
    <t xml:space="preserve">Tesla</t>
  </si>
  <si>
    <t xml:space="preserve">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</si>
  <si>
    <t xml:space="preserve">ASTS</t>
  </si>
  <si>
    <t xml:space="preserve">AST SpaceMobile</t>
  </si>
  <si>
    <t xml:space="preserve">Space</t>
  </si>
  <si>
    <t xml:space="preserve">ASTS — the quote page served me a snapshot from July 13, eighteen days old, with no warning that it was old. The history table was current, so I used that (59.02). This is the one name in all 60 that rests on a single source. Everything else has at least two.</t>
  </si>
  <si>
    <t xml:space="preserve">LUNR</t>
  </si>
  <si>
    <t xml:space="preserve">Intuitive Machines</t>
  </si>
  <si>
    <t xml:space="preserve">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</si>
  <si>
    <t xml:space="preserve">PL</t>
  </si>
  <si>
    <t xml:space="preserve">Planet Labs</t>
  </si>
  <si>
    <t xml:space="preserve">| PL $22.83 | Planet Labs | Beat and raised, but wild — down 26% in a single day in June, up 15.6% in another. Roughly 9% of its shares are sold short. |</t>
  </si>
  <si>
    <t xml:space="preserve">RKLB</t>
  </si>
  <si>
    <t xml:space="preserve">Rocket Lab</t>
  </si>
  <si>
    <t xml:space="preserve">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</si>
  <si>
    <t xml:space="preserve">SPCX</t>
  </si>
  <si>
    <t xml:space="preserve">SpaceX</t>
  </si>
  <si>
    <t xml:space="preserve">AVAV</t>
  </si>
  <si>
    <t xml:space="preserve">AeroVironment</t>
  </si>
  <si>
    <t xml:space="preserve">Drone &amp; Defense</t>
  </si>
  <si>
    <t xml:space="preserve">Clear split. Group 7 holds RKLB/ASTS/SPACEX (space) and PLTR/AVAV/ONDS/MDB (drone &amp; defense). I'll make Space and Drone &amp; Defense adjacent groups, plus add the cash card to the Portfolio page. Starting with the data reindex.</t>
  </si>
  <si>
    <t xml:space="preserve">ONDS</t>
  </si>
  <si>
    <t xml:space="preserve">Ondas Holdings</t>
  </si>
  <si>
    <t xml:space="preserve">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</si>
  <si>
    <t xml:space="preserve">PLTR</t>
  </si>
  <si>
    <t xml:space="preserve">Palantir</t>
  </si>
  <si>
    <t xml:space="preserve">IBM</t>
  </si>
  <si>
    <t xml:space="preserve">Quantum</t>
  </si>
  <si>
    <t xml:space="preserve">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</si>
  <si>
    <t xml:space="preserve">IONQ</t>
  </si>
  <si>
    <t xml:space="preserve">IonQ</t>
  </si>
  <si>
    <t xml:space="preserve">ADBE</t>
  </si>
  <si>
    <t xml:space="preserve">Adobe</t>
  </si>
  <si>
    <t xml:space="preserve">SaaS</t>
  </si>
  <si>
    <t xml:space="preserve">2026-07-28</t>
  </si>
  <si>
    <t xml:space="preserve">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</si>
  <si>
    <t xml:space="preserve">APP</t>
  </si>
  <si>
    <t xml:space="preserve">AppLovin</t>
  </si>
  <si>
    <t xml:space="preserve">⚠️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</si>
  <si>
    <t xml:space="preserve">CDNS</t>
  </si>
  <si>
    <t xml:space="preserve">Cadence Design Systems</t>
  </si>
  <si>
    <t xml:space="preserve">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</si>
  <si>
    <t xml:space="preserve">CRM</t>
  </si>
  <si>
    <t xml:space="preserve">Salesforce</t>
  </si>
  <si>
    <t xml:space="preserve">Nothing on either list reports earnings between today and Aug 20. The nearest is Salesforce on Aug 26 (company-confirmed). Twenty days out — far enough that you're not gambling on an earnings print, but close enough that you should know it's coming.</t>
  </si>
  <si>
    <t xml:space="preserve">DDOG</t>
  </si>
  <si>
    <t xml:space="preserve">Datadog</t>
  </si>
  <si>
    <t xml:space="preserve">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</si>
  <si>
    <t xml:space="preserve">MDB</t>
  </si>
  <si>
    <t xml:space="preserve">MongoDB</t>
  </si>
  <si>
    <t xml:space="preserve">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</si>
  <si>
    <t xml:space="preserve">NOW</t>
  </si>
  <si>
    <t xml:space="preserve">ServiceNow</t>
  </si>
  <si>
    <t xml:space="preserve">ORCL</t>
  </si>
  <si>
    <t xml:space="preserve">Oracle</t>
  </si>
  <si>
    <t xml:space="preserve">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</si>
  <si>
    <t xml:space="preserve">SNOW</t>
  </si>
  <si>
    <t xml:space="preserve">Snowflake</t>
  </si>
  <si>
    <t xml:space="preserve">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</si>
  <si>
    <t xml:space="preserve">VEEV</t>
  </si>
  <si>
    <t xml:space="preserve">Veeva Systems</t>
  </si>
  <si>
    <t xml:space="preserve">ZETA</t>
  </si>
  <si>
    <t xml:space="preserve">Zeta Global</t>
  </si>
  <si>
    <t xml:space="preserve">⚠️ One correction worth knowing: you may see headlines saying "Zeta missed on earnings per share." They're wrong. Data vendors compared an *adjusted* estimate against the company's *GAAP* actual — an apples-to-oranges comparison. Zeta never published an adjusted number. Ignore those headlines.</t>
  </si>
  <si>
    <t xml:space="preserve">KO</t>
  </si>
  <si>
    <t xml:space="preserve">Coca-Cola</t>
  </si>
  <si>
    <t xml:space="preserve">Consumer / F&amp;B</t>
  </si>
  <si>
    <t xml:space="preserve">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</si>
  <si>
    <t xml:space="preserve">MCD</t>
  </si>
  <si>
    <t xml:space="preserve">McDonald's</t>
  </si>
  <si>
    <t xml:space="preserve">⚠️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</si>
  <si>
    <t xml:space="preserve">SBUX</t>
  </si>
  <si>
    <t xml:space="preserve">Starbucks</t>
  </si>
  <si>
    <t xml:space="preserve">YUM</t>
  </si>
  <si>
    <t xml:space="preserve">Yum! Brands</t>
  </si>
  <si>
    <t xml:space="preserve">HNGE</t>
  </si>
  <si>
    <t xml:space="preserve">Hinge Health</t>
  </si>
  <si>
    <t xml:space="preserve">Healthcare</t>
  </si>
  <si>
    <t xml:space="preserve">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</si>
  <si>
    <t xml:space="preserve">JNJ</t>
  </si>
  <si>
    <t xml:space="preserve">Johnson &amp; Johnson</t>
  </si>
  <si>
    <t xml:space="preserve">&gt;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</si>
  <si>
    <t xml:space="preserve">TEM</t>
  </si>
  <si>
    <t xml:space="preserve">Tempus AI</t>
  </si>
  <si>
    <t xml:space="preserve">UNH</t>
  </si>
  <si>
    <t xml:space="preserve">UnitedHealth</t>
  </si>
  <si>
    <t xml:space="preserve">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</si>
  <si>
    <t xml:space="preserve">APLD</t>
  </si>
  <si>
    <t xml:space="preserve">Applied Digital</t>
  </si>
  <si>
    <t xml:space="preserve">Neocloud Watch</t>
  </si>
  <si>
    <t xml:space="preserve">CIFR</t>
  </si>
  <si>
    <t xml:space="preserve">Cipher Mining</t>
  </si>
  <si>
    <t xml:space="preserve">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</si>
  <si>
    <t xml:space="preserve">CORZ</t>
  </si>
  <si>
    <t xml:space="preserve">Core Scientific</t>
  </si>
  <si>
    <t xml:space="preserve">CRWV</t>
  </si>
  <si>
    <t xml:space="preserve">CoreWeave</t>
  </si>
  <si>
    <t xml:space="preserve">DELL</t>
  </si>
  <si>
    <t xml:space="preserve">Dell Technologies</t>
  </si>
  <si>
    <t xml:space="preserve">HPE</t>
  </si>
  <si>
    <t xml:space="preserve">Hewlett Packard Enterprise</t>
  </si>
  <si>
    <t xml:space="preserve">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</si>
  <si>
    <t xml:space="preserve">HUT</t>
  </si>
  <si>
    <t xml:space="preserve">Hut 8 Corp</t>
  </si>
  <si>
    <t xml:space="preserve">IREN</t>
  </si>
  <si>
    <t xml:space="preserve">IREN (Iris Energy)</t>
  </si>
  <si>
    <t xml:space="preserve">NBIS</t>
  </si>
  <si>
    <t xml:space="preserve">Nebius Group</t>
  </si>
  <si>
    <t xml:space="preserve">NOK</t>
  </si>
  <si>
    <t xml:space="preserve">Nokia (ADR)</t>
  </si>
  <si>
    <t xml:space="preserve">⚠️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</si>
  <si>
    <t xml:space="preserve">SMCI</t>
  </si>
  <si>
    <t xml:space="preserve">Super Micro Computer</t>
  </si>
  <si>
    <t xml:space="preserve">AFRM</t>
  </si>
  <si>
    <t xml:space="preserve">Affirm Holdings</t>
  </si>
  <si>
    <t xml:space="preserve">Fintech / Digital Platform</t>
  </si>
  <si>
    <t xml:space="preserve">&gt;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</si>
  <si>
    <t xml:space="preserve">COIN</t>
  </si>
  <si>
    <t xml:space="preserve">Coinbase</t>
  </si>
  <si>
    <t xml:space="preserve">The dangerous category — and this is the one worth knowing about. StockTwits, CNN Business, Simply Wall St and TradingView all hand me a price with no date attached to it. That is far more dangerous than a site that fails, because a wrong number that looks confident is indistinguishable from a right one. I have a rule now: no date stamp, no use. TradingKey deserves special mention — it has correct dates but its percentage moves are simply wrong (it showed COIN at −8.03% when the real move was −10.59%), so you can't work backwards from it either.</t>
  </si>
  <si>
    <t xml:space="preserve">FI</t>
  </si>
  <si>
    <t xml:space="preserve">Fiserv</t>
  </si>
  <si>
    <t xml:space="preserve">⚠️ Two things, and the first is a housekeeping error on our side: the ticker is no longer FI. Fiserv moved to Nasdaq and changed to FISV (announced October 29, 2025). Our board still carries it as FI, which means the quote we've been showing may not be reliably matched. I'll correct that on the next push.</t>
  </si>
  <si>
    <t xml:space="preserve">HOOD</t>
  </si>
  <si>
    <t xml:space="preserve">Robinhood Markets</t>
  </si>
  <si>
    <t xml:space="preserve">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</si>
  <si>
    <t xml:space="preserve">LMND</t>
  </si>
  <si>
    <t xml:space="preserve">Lemonade</t>
  </si>
  <si>
    <t xml:space="preserve">MA</t>
  </si>
  <si>
    <t xml:space="preserve">Mastercard</t>
  </si>
  <si>
    <t xml:space="preserve">| Compounders | MA | Mastercard | 27 | +17% | 46% | 100% gross margin, ROE 232% — elite |</t>
  </si>
  <si>
    <t xml:space="preserve">MELI</t>
  </si>
  <si>
    <t xml:space="preserve">MercadoLibre</t>
  </si>
  <si>
    <t xml:space="preserve">On MELI: I'm parking it, not rejecting it. It generates cash more cheaply than anything else on your list and revenue is growing 50%. But it reported last night and the market hasn't finished digesting it. Worth revisiting in a week once the dust settles.</t>
  </si>
  <si>
    <t xml:space="preserve">NU</t>
  </si>
  <si>
    <t xml:space="preserve">Nu Holdings</t>
  </si>
  <si>
    <t xml:space="preserve">PYPL</t>
  </si>
  <si>
    <t xml:space="preserve">PayPal</t>
  </si>
  <si>
    <t xml:space="preserve">SE</t>
  </si>
  <si>
    <t xml:space="preserve">Sea Limited</t>
  </si>
  <si>
    <t xml:space="preserve">SHOP</t>
  </si>
  <si>
    <t xml:space="preserve">Shopify</t>
  </si>
  <si>
    <t xml:space="preserve">SOFI</t>
  </si>
  <si>
    <t xml:space="preserve">SoFi Technologies</t>
  </si>
  <si>
    <t xml:space="preserve">Worth noting the perverse detail: 12 of the 23 whitelisted names (ADBE, COIN, HOOD, JNJ, KO, PYPL, SBUX, SHOP, SOFI, UBER, UNH, V) are watchlist-only — you own none of them. So nearly half your free entitlement is spent on names you don't hold, while $242K of what you do hold goes unpriced.</t>
  </si>
  <si>
    <t xml:space="preserve">UBER</t>
  </si>
  <si>
    <t xml:space="preserve">Uber Technologies</t>
  </si>
  <si>
    <t xml:space="preserve">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</si>
  <si>
    <t xml:space="preserve">V</t>
  </si>
  <si>
    <t xml:space="preserve">Visa</t>
  </si>
  <si>
    <t xml:space="preserve">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</si>
  <si>
    <t xml:space="preserve">CRWD</t>
  </si>
  <si>
    <t xml:space="preserve">CrowdStrike</t>
  </si>
  <si>
    <t xml:space="preserve">Cybersecurity</t>
  </si>
  <si>
    <t xml:space="preserve">FTNT</t>
  </si>
  <si>
    <t xml:space="preserve">Fortinet</t>
  </si>
  <si>
    <t xml:space="preserve">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</si>
  <si>
    <t xml:space="preserve">NET</t>
  </si>
  <si>
    <t xml:space="preserve">Cloudflare</t>
  </si>
  <si>
    <t xml:space="preserve">NET was a move, not an addition. Each stock can only sit in one group on the dashboard, so putting Cloudflare into SaaS took it out of Cybersecurity. Cybersecurity now has four names instead of five. If you'd rather it stayed in Cybersecurity, say the word and I'll put it back.</t>
  </si>
  <si>
    <t xml:space="preserve">PANW</t>
  </si>
  <si>
    <t xml:space="preserve">Palo Alto Networks</t>
  </si>
  <si>
    <t xml:space="preserve">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</si>
  <si>
    <t xml:space="preserve">RBRK</t>
  </si>
  <si>
    <t xml:space="preserve">Rubrik</t>
  </si>
  <si>
    <t xml:space="preserve">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</si>
  <si>
    <t xml:space="preserve">ZS</t>
  </si>
  <si>
    <t xml:space="preserve">Zscaler</t>
  </si>
  <si>
    <t xml:space="preserve">BWXT</t>
  </si>
  <si>
    <t xml:space="preserve">BWX Technologies</t>
  </si>
  <si>
    <t xml:space="preserve">Nuclear Energy</t>
  </si>
  <si>
    <t xml:space="preserve">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</si>
  <si>
    <t xml:space="preserve">CCJ</t>
  </si>
  <si>
    <t xml:space="preserve">Cameco</t>
  </si>
  <si>
    <t xml:space="preserve">CEG</t>
  </si>
  <si>
    <t xml:space="preserve">Constellation Energy</t>
  </si>
  <si>
    <t xml:space="preserve">NNE</t>
  </si>
  <si>
    <t xml:space="preserve">Nano Nuclear Energy</t>
  </si>
  <si>
    <t xml:space="preserve">One gap: NNE has no reliable 52-week low. It's printing fresh lows almost daily and I got six conflicting candidates (14.71 / 14.78 / 14.89 / 15.44 / 15.78 / 18.04). It renders "range n/a" with no band. Your call whether to leave it null or pin the lowest evidenced print with a flag.</t>
  </si>
  <si>
    <t xml:space="preserve">OKLO</t>
  </si>
  <si>
    <t xml:space="preserve">Oklo</t>
  </si>
  <si>
    <t xml:space="preserve">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</si>
  <si>
    <t xml:space="preserve">SMR</t>
  </si>
  <si>
    <t xml:space="preserve">NuScale Power</t>
  </si>
  <si>
    <t xml:space="preserve">⚠️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</si>
  <si>
    <t xml:space="preserve">ETN</t>
  </si>
  <si>
    <t xml:space="preserve">Eaton</t>
  </si>
  <si>
    <t xml:space="preserve">Power and Electrification</t>
  </si>
  <si>
    <t xml:space="preserve">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</si>
  <si>
    <t xml:space="preserve">GEV</t>
  </si>
  <si>
    <t xml:space="preserve">GE Vernova</t>
  </si>
  <si>
    <t xml:space="preserve">HUBB</t>
  </si>
  <si>
    <t xml:space="preserve">Hubbell</t>
  </si>
  <si>
    <t xml:space="preserve">NVT</t>
  </si>
  <si>
    <t xml:space="preserve">nVent Electric</t>
  </si>
  <si>
    <t xml:space="preserve">POWL</t>
  </si>
  <si>
    <t xml:space="preserve">Powell Industries</t>
  </si>
  <si>
    <t xml:space="preserve">PWR</t>
  </si>
  <si>
    <t xml:space="preserve">Quanta Services</t>
  </si>
  <si>
    <t xml:space="preserve">Date</t>
  </si>
  <si>
    <t xml:space="preserve">Source</t>
  </si>
  <si>
    <t xml:space="preserve">Comment</t>
  </si>
  <si>
    <t xml:space="preserve">Claude - chat</t>
  </si>
  <si>
    <t xml:space="preserve">Everything is reconciled and re-deployed — dashboard, workbook, dad's link, sidebar artifact, and your P4 folder all now tie to the POEMS statement to the cent: cost $536,988.31, MV $635,013.32, +18.25%. AAOI is also in (details below).</t>
  </si>
  <si>
    <t xml:space="preserve">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</si>
  <si>
    <t xml:space="preserve">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</si>
  <si>
    <t xml:space="preserve">⚠ The whole gap is one row: CRWD — the July 2026 4-for-1 stock split was never applied to your manual record.</t>
  </si>
  <si>
    <t xml:space="preserve">On your naming request — I applied my recommendations and here's the reasoning, all easy to revert if any miss:</t>
  </si>
  <si>
    <t xml:space="preserve">One flag for your own records: I applied the standard $8.56 POEMS commission on this fill (same rate we standardized in the reconciliation). If your trade confirmation shows a different fee, tell me and I'll true up the cost basis to the cent.</t>
  </si>
  <si>
    <t xml:space="preserve">Three AI-datacenter / crypto-miner neocloud names — APLD (Applied Digital), CIFR (Cipher Mining), HUT (Hut 8) — into the Neocloud group (g=13, alongside IREN/NBIS/CRWV). Pulling their fundamentals.</t>
  </si>
  <si>
    <t xml:space="preserve">| APLD | Applied Digital | $27.19 | −42% | +112% | −59% | 1.10 | Signed hyperscaler leases; heavy capex build |</t>
  </si>
  <si>
    <t xml:space="preserve">Stagger applied — earnings job now 03:00 UTC, clear of the 01:00 pile-up. Now the staleness marker.</t>
  </si>
  <si>
    <t xml:space="preserve">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</si>
  <si>
    <t xml:space="preserve">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</si>
  <si>
    <t xml:space="preserve">Dashboard note effe9e9</t>
  </si>
  <si>
    <t xml:space="preserve">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</si>
  <si>
    <t xml:space="preserve">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</si>
  <si>
    <t xml:space="preserve">⚠️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</si>
  <si>
    <t xml:space="preserve">- AAPL is alone in the worst quadrant — thinnest margin of the seven (47.9%) at the highest multiple (40.5x). Smallest position, thankfully.</t>
  </si>
  <si>
    <t xml:space="preserve">Done — every ladder row now carries a paired-bar column: top lane = conviction (green, extends right toward avg fair value), bottom lane = devastation (red, extends left from the 52-week high), both anchored to a shared zero line so lengths are directly comparable. Stocks at their ATH show "at ATH" instead of a bar, and negative conviction (like AAPL, priced above its avg target) correctly flips left in red. The scale re-normalizes to whichever group filter is active, and hovering any bar pair gives the exact figures.</t>
  </si>
  <si>
    <t xml:space="preserve">- Rating actions (7 days), with names: AAPL — HSBC upgrade Hold→Buy (Jul 17) vs KeyBanc downgrade Sector Weight→Underweight (Jul 14). A genuine bull-bear split on your at-ATH position; the other 10 covered names had zero non-maintain actions this week.</t>
  </si>
  <si>
    <t xml:space="preserve">| Analyst data (price targets, upgrades/downgrades, estimates) | ⚠️ only ~11 mega-caps (NVDA, MSFT, AAPL, TSM...) | The Street-signals section — this is the gated part |</t>
  </si>
  <si>
    <t xml:space="preserve">⚠️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</si>
  <si>
    <t xml:space="preserve">At the other end, AAPL prints 96% of range — it's sitting at the top of its band while the HI lane shows only −2%. That's a name where the ladder is telling you there's nothing left to buy.</t>
  </si>
  <si>
    <t xml:space="preserve">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</si>
  <si>
    <t xml:space="preserve">Dashboard note 97dee22</t>
  </si>
  <si>
    <t xml:space="preserve">Jul 30, 2026 · close — 47 held names marked to the POEMS positions screen; watchlist at Jul 29–30 close — fundamentals refreshed Jul 31 (post-earnings: AAPL · AMZN · COIN · MA · KLAC catch-up)</t>
  </si>
  <si>
    <t xml:space="preserve">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</si>
  <si>
    <t xml:space="preserve">ADBE was already in SaaS. It has been in there since you asked me to add it a couple of days ago, so nothing needed doing. I only added VEEV (Veeva Systems) — SaaS now shows 11 names.</t>
  </si>
  <si>
    <t xml:space="preserve">1. AIRJ — nothing to do. It was already sitting in Energy. Same situation as ADBE last time. I'm telling you rather than quietly skipping it, so you know the request wasn't dropped.</t>
  </si>
  <si>
    <t xml:space="preserve">The real contest was Adobe vs. Salesforce. Both trade at roughly nine times the cash they throw off, which for software of this quality is genuinely unusual — the market is pricing both as if AI will eat them.</t>
  </si>
  <si>
    <t xml:space="preserve">What separated them: Adobe's damage shows up in the actual numbers. New subscription revenue came in around $400M against expectations of $450–460M — a real miss. Its flagship AI product, Firefly, is under 2% of a $26 billion revenue base. Morgan Stanley's price target of $240 sits *below* today's price. The analyst community has quietly capitulated.</t>
  </si>
  <si>
    <t xml:space="preserve">Dashboard note 7e7d133</t>
  </si>
  <si>
    <t xml:space="preserve">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</si>
  <si>
    <t xml:space="preserve">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</si>
  <si>
    <t xml:space="preserve">LUNR (Intuitive Machines) → Space (g=7), AEHR (Aehr Test Systems, semi test equipment) → Computing Chips (g=1). Pulling fundamentals.</t>
  </si>
  <si>
    <t xml:space="preserve">Both added — LUNR in Space, AEHR in Computing Chips (97 tickers total) across the dashboard, workbook, and dad's link.</t>
  </si>
  <si>
    <t xml:space="preserve">| AEHR | Computing Chips | $76.32 | −40% | −15% | −14% | avg $115 (+51%) | Semi burn-in test; revenue *shrinking* |</t>
  </si>
  <si>
    <t xml:space="preserve">⚠️ AEHR's revenue is *declining* (−15%), which is the red flag here. Most of your speculative adds at least have explosive growth to justify the story — AEHR doesn't right now. It's a niche semiconductor *test/burn-in* equipment maker (wafer-level reliability testing, historically levered to silicon-carbide/EV chips), and that end market softened. It trades at ~50× sales with *shrinking* revenue and a −26 Rule-of-40. The analyst target of $115 (+51%) is a bet on a silicon-carbide/AI-test recovery that isn't in the numbers yet. Interesting call option, but the fundamentals are moving the wrong way — size it accordingly.</t>
  </si>
  <si>
    <t xml:space="preserve">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</si>
  <si>
    <t xml:space="preserve">Two housekeeping items I did *not* do, deliberately. The FI → FISV ticker correction is blocked by the sanity gate — a renamed ticker registers as "FI VANISHED", which is a hard failure with no override, and I'm not going to bypass a guard that has already caught two bad prints. It needs a proper `--rename OLD:NEW` flag added to the gate, which I'd rather do as its own change than smuggle into a price refresh. And I left AEHR in Computing Chips and the group-4 rename alone, since you haven't said yes to those yet.</t>
  </si>
  <si>
    <t xml:space="preserve">AEHR → Chips Manufacturing and AMPX → Energy are clean, and CRDO is already sitting in Photonic &amp; Optic Fiber so that one's done. Two snags:</t>
  </si>
  <si>
    <t xml:space="preserve">Your FMP access shrank between Jul 28 and Jul 30. The Jul 28 cron refreshed 58 tickers including ARM, AEHR, SKHY, CRWV, NBIS, OKLO, SMCI. Today ARM is denied outright. Same job, same endpoint, same code — the entitlement moved underneath it.</t>
  </si>
  <si>
    <t xml:space="preserve">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</si>
  <si>
    <t xml:space="preserve">Dashboard note 266571f</t>
  </si>
  <si>
    <t xml:space="preserve">Jul 31, 2026 · close — all names verified at the Jul 31 close; AEHR → Chips Manufacturing; DELL/HPE/SMCI → Neocloud Watch; added POET (Photonic), AMPX (Energy), NOK (Neocloud Watch)</t>
  </si>
  <si>
    <t xml:space="preserve">Done — AEHR is back in Chips Manufacturing (now 6 names), Photonic &amp; Optic Fiber back to 12. Pushed as `ed9555c`.</t>
  </si>
  <si>
    <t xml:space="preserve">For the record, I think your instinct was right. AEHR's revenue is still mostly silicon carbide test for EVs — the photonics piece is the story, not yet the business. Grouping by story rather than by revenue is how you end up misreading a chart six months from now.</t>
  </si>
  <si>
    <t xml:space="preserve">Dashboard note 1228826</t>
  </si>
  <si>
    <t xml:space="preserve">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</si>
  <si>
    <t xml:space="preserve">Dashboard note ed9555c</t>
  </si>
  <si>
    <t xml:space="preserve">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</si>
  <si>
    <t xml:space="preserve">| | AFRM | Affirm | 19 fwd | +32% | 10% | Just turned profit; BNPL credit risk |</t>
  </si>
  <si>
    <t xml:space="preserve">AIRJ is not really an energy company, and it's a lottery ticket. I filed it under Energy because that's what you asked for, but you should know what you're looking at. Officially it's classified as an industrial equipment maker, not energy — it builds a box that pulls water vapour out of the air. The energy angle is indirect: removing humidity is the expensive part of air conditioning, so in theory it saves power. But the news driving the stock is about making drinking water, not saving energy.</t>
  </si>
  <si>
    <t xml:space="preserve">| AIRJ | No revenue at all | GE Vernova JV live, Kubota deal | ⏸️ Interesting, not today |</t>
  </si>
  <si>
    <t xml:space="preserve">Dashboard note 3eac88f</t>
  </si>
  <si>
    <t xml:space="preserve">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</si>
  <si>
    <t xml:space="preserve">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</si>
  <si>
    <t xml:space="preserve">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</si>
  <si>
    <t xml:space="preserve">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</si>
  <si>
    <t xml:space="preserve">- Semi Equipment (+50%) and Software (+56%) are your best percentage performers — LRCX, AMAT, CRWD (+108%), PLTR all pulling hard.</t>
  </si>
  <si>
    <t xml:space="preserve">💡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</si>
  <si>
    <t xml:space="preserve">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</si>
  <si>
    <t xml:space="preserve">So here's the problem you actually have. For 36 of your 47 holdings — including AVGO, MU, ASML and AMAT, which together are about $98,000 — the wall board is showing today's live price, but the stored file still has the price from July 28th. The page *looks* current. The math underneath isn't.</t>
  </si>
  <si>
    <t xml:space="preserve">-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</si>
  <si>
    <t xml:space="preserve">4. Where the dry powder concentrates: Computing Chips ($68K) and Chips Manufacturing ($57K) — your two best-performing groups (+19%, +64%). The plan wants you adding to winners; NVDA alone has $8.5K of room, TSM $14K, MU $14.6K, AMD $11.2K.</t>
  </si>
  <si>
    <t xml:space="preserve">The only red cell in the whole row is ORCL (3x over its 5K allocation) — everything else has room. Biggest green: NVDA +$8.5K, TSM +$14K, MU +$14.6K, AMD +$11.2K, Chips MFG names collectively +$57K.</t>
  </si>
  <si>
    <t xml:space="preserve">They don't sell a data API. TradingView's business is charts and social, not data distribution. What they publish is the *widget* family and the Advanced Charts library — client-side embeds that render data in a viewer's browser. There is no REST endpoint you can subscribe to at any price tier, including Premium. Their exchange licences let them *display* data, not redistribute it as a feed, so this isn't a gap they're going to fill.</t>
  </si>
  <si>
    <t xml:space="preserve">Second data point, quieter but more important for margins: they *"reduced the cost of AI Mode responses to its lowest level since launch, even as we've brought more advanced AI capabilities."* Google is serving better AI for less money per answer. That's the whole ballgame for a company answering billions of queries a day.</t>
  </si>
  <si>
    <t xml:space="preserve">What Dad sees: each wedge is one holding, and the wider the wedge the bigger that position is as a share of the book. The coloured band around the outer rim is the profit or loss — gold for a gain, red for a loss — and the thicker that band, the bigger the move. So AMD's fat gold rim tells him it's up a lot without him reading a single number. The twenty largest holdings are named individually and the remaining twenty-seven are pooled into the dark "OTHER 27" wedge so the picture stays readable. The middle carries the headline: market value $655,382, cost $552,392, up $102,990 or +18.64%, across 47 positions. Every one of those figures was computed by the page from the position data, not typed in by me.</t>
  </si>
  <si>
    <t xml:space="preserve">1. "AMP" — I do not know what Dad means, and I will not guess. There is no AMP anywhere in your 110-name dashboard. The obvious candidate is Ameriprise Financial, a wealth-management firm — which would be completely off-theme for this portfolio. The more likely reading, given the handwriting and the company he keeps on this list, is AMD, which you already own. If it is AMD: do not buy it today. AMD reports its quarterly results *after the market closes tonight*, and it is already up 6.1% at $514.00 in anticipation. Buying a stock hours before its earnings announcement is a coin flip, not an investment. Please check with Dad which one he meant.</t>
  </si>
  <si>
    <t xml:space="preserve">🎯 Conviction: Medium-High on TSM · Horizon: Long (&gt;24 months) · What would change my mind: a TSMC guidance cut, a US export-control action on advanced chips to China, or a hyperscaler publicly slowing 2027 capex. Any of those and I'd stop adding.</t>
  </si>
  <si>
    <t xml:space="preserve">| CORZ | $21.77 | +53% | ❌ Negative equity, $1.16B quarterly loss, AMD holds warrants for 30M shares at $23.47 that dilute you the moment it works |</t>
  </si>
  <si>
    <t xml:space="preserve">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</si>
  <si>
    <t xml:space="preserve">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</si>
  <si>
    <t xml:space="preserve">Dashboard note 2e5ac49</t>
  </si>
  <si>
    <t xml:space="preserve">Jul 31, 2026 · close — weekly audit Aug 3: all 110 prices re-verified at the Jul 31 close vs stockanalysis.com; 57 market caps re-based to verified shares outstanding (largest fixes: SNDK +42%, AMKR +37%, WDC +27%, TSLA +18%, NBIS -18%, ONDS -17%)</t>
  </si>
  <si>
    <t xml:space="preserve">POET and AMPX aren't on the board at all, and with FMP down I have no way to pull their price, market cap, 52-week range or fundamentals to create the entries. I can add them as empty shells now and backfill when the data feed returns, or wait — your call.</t>
  </si>
  <si>
    <t xml:space="preserve">The year-to-date column is blank for POET, AMPX and NOK. The free price source only serves about ten weeks of history and won't go back to January no matter how I ask it. Everything else on their cards is real.</t>
  </si>
  <si>
    <t xml:space="preserve">The honest trade-off: the FCF version punishes companies mid-investment even when that investment is rational — AMZN's 13.9 looks worse than the business is. It's deliberately harsh.</t>
  </si>
  <si>
    <t xml:space="preserve">| Next earnings | ~early Aug | ~Jul 29 | ~Jul 29 | ~early Sept | Jul 30 (MarketBeat (https://www.marketbeat.com/stocks/NASDAQ/AMZN/earnings/)) |</t>
  </si>
  <si>
    <t xml:space="preserve">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</si>
  <si>
    <t xml:space="preserve">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</si>
  <si>
    <t xml:space="preserve">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</si>
  <si>
    <t xml:space="preserve">On SNDK, because that +34.9% conviction and 8.6× forward PE will tempt you: that's the classic peak-cycle trap. NAND is the most violently cyclical commodity in semis; a single-digit forward multiple on supercycle earnings after a +550% YTD run is how the market prices "these earnings won't last." And portfolio-wise it would be your *third* memory bet stacked on MU (+66% unrealized, $28.6K) and SKHY. It's on the watchlist now — the right entry is the first NAND price wobble, not an all-time-high week. WDC is SNDK with less upside; VRT is fine but you'd pay 42× a week before earnings; AMZN is the respectable second choice (+27% upside, 65 analysts, cheapest PS in the book) but its moment is *after* the Jul 30 print — a strong AWS quarter would also be your green light on more CRDO, since Amazon is a major AEC end-market.</t>
  </si>
  <si>
    <t xml:space="preserve">Only one position change, and it matches your order screen exactly: AMZN +8 sh filled at $244.00 (your $244.20 limit caught the dip — 202 sh now, cost $46,594.67, leaving $3,405 budget room on the $50K plan). Cash moved $27,352.14 → $25,394.23, which ties the buy plus ~$6 of fees. Booked into the Jul 22 trade log. The book now matches POEMS to the cent again: cost $538,948.94, MV $635,013.66, +$96,065 (+17.8%).</t>
  </si>
  <si>
    <t xml:space="preserve">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</si>
  <si>
    <t xml:space="preserve">What would change my mind: an earnings-week selloff (META/AMZN report Jul 30) dragging GOOGL or META down to their limits — those are far higher-quality triggers than RKLB, and I'd rather you spend into a $300 GOOGL or $600 META than a $70 RKLB. Watch those two into month-end.</t>
  </si>
  <si>
    <t xml:space="preserve">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</si>
  <si>
    <t xml:space="preserve">And the one that actually bites you. That warning about differing from corporate reports isn't boilerplate — it's the GAAP versus adjusted problem, and you hit it two days ago. Amazon's reported Q2 EPS was $5.75, but that figure includes a $53.4 billion pre-tax mark-up on their Anthropic stake. It's a paper gain, not the operating business. I stored 8.61 on your board — the underlying trailing figure with the gain stripped out — because $5.75 would make Amazon's P/E look like something it isn't.</t>
  </si>
  <si>
    <t xml:space="preserve">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</si>
  <si>
    <t xml:space="preserve">| Skip for now | AMZN, GOOGL, MSFT | 23–33% above Dad's limits, smallest upside of the group | Medium |</t>
  </si>
  <si>
    <t xml:space="preserve">| 4 | AMZN | Margin 11.4% → 13.7%; robot $3k vs human $34k | ★★★★★ Reported | $285.83 | 29.3× | +13% | Medium (price) |</t>
  </si>
  <si>
    <t xml:space="preserve">The mechanism is brutally simple. A human warehouse worker costs roughly $34,000 a year with benefits. A robot costs roughly $3,000 a year in maintenance and electricity. Amazon has over 1.5 million employees and is building 100 new robotic fulfilment centres over 18 months. Robotic facilities process orders 40% faster. Morgan Stanley puts the annual saving at up to $4 billion.</t>
  </si>
  <si>
    <t xml:space="preserve">&gt;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</si>
  <si>
    <t xml:space="preserve">- Amazon's operating margin stalls below 14% next quarter despite the robot rollout — the savings would be one-off, not structural.</t>
  </si>
  <si>
    <t xml:space="preserve">Portfolio: $655,382 market value on $552,392 cost — up $102,990, or 18.6%. Cash $13,997.90, though the AMZN contract hasn't settled yet, so roughly $11,992 is genuinely free.</t>
  </si>
  <si>
    <t xml:space="preserve">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</si>
  <si>
    <t xml:space="preserve">The only residual is that $254 commission drift — on POEMS basis my net capital is $566,821 vs your sheet's $567,075. Trim those six cost rows (TER/ANET/MU/NVDA/CRWD/TSM) and they'll tie to the dollar. Want me to note that as a fix in your reconciliation reminder so it doesn't get forgotten?</t>
  </si>
  <si>
    <t xml:space="preserve">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</si>
  <si>
    <t xml:space="preserve">| Budget | Takes APH from $2,004 to ~$3,935 of a $10,000 budget — still only 39% deployed |</t>
  </si>
  <si>
    <t xml:space="preserve">And you are not paying up for it. APH trades at 27.4x forward against its own five-year median of 34.3x. Dad is buying a business that just accelerated, at a *discount to its own history*, in the week the news came out. Barclays put $200 on it and Citi $195 on July 28; consensus PT is $186 against $152.60.</t>
  </si>
  <si>
    <t xml:space="preserve">⚠️ Why a limit and not market: the stock gapped roughly +6% on the print. Never chase a gap. Pre-earnings it closed near $144. A limit at $148.50 sits in the middle of the gap and fills on any ordinary two-day cooling off, which happens more often than not after a +6% open. If it doesn't fill within five sessions and APH is still holding above $150, raise the limit to $152 — do not go to market.</t>
  </si>
  <si>
    <t xml:space="preserve">&gt; Summary in one line: Buy APH at a $148.50 limit for ~$1,930. Sit on your hands for META until tomorrow morning. Everything else on both notes is either overpriced, mispriced, or broken.</t>
  </si>
  <si>
    <t xml:space="preserve">Good question, and the honest answer starts with a constraint dad's note didn't account for: you have ~$17,600 of cash after the APH ticket, but these three names have ~$40,500 of unused budget between them. So this isn't three separate ladders — it's one queue. Bands first, then the sequencing.</t>
  </si>
  <si>
    <t xml:space="preserve">APLD, CIFR, and HUT are live in the Neocloud group (now 6 names alongside IREN, NBIS, CRWV) across the dashboard, workbook, and dad's link — 92 tickers total.</t>
  </si>
  <si>
    <t xml:space="preserve">&gt;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</si>
  <si>
    <t xml:space="preserve">These belong in the same mental bucket as your existing "To Be Sold" neocloud names — high-torque call options on AI power, sized to lose. Want me to pull the actual signed-contract backlog on APLD and HUT to see which one's buildout is de-risked by real customer commitments?</t>
  </si>
  <si>
    <t xml:space="preserve">- Why AppLovin Stock Fell 24% in the First Half of 2026 — Motley Fool (https://www.fool.com/investing/2026/07/22/why-applovin-stock-fell-24-in-the-first-half-of-20/)</t>
  </si>
  <si>
    <t xml:space="preserve">- AppLovin Q2 2026 results set for Aug. 5 (https://www.stocktitan.net/news/APP/app-lovin-to-announce-second-quarter-2026-g1xc29828pv2.html)</t>
  </si>
  <si>
    <t xml:space="preserve">1. Add "APP" to the SaaS group — that is AppLovin, currently $419.98, up 3.4% today, market cap $141B, 32 analysts with an average target of $656. It would slot into SaaS cleanly.</t>
  </si>
  <si>
    <t xml:space="preserve">Both are straightforward. The IBM move is a five-minute change; adding AppLovin needs a full research pass to fill in all 31 data fields the dashboard tracks. Say the word and I will do both and push them.</t>
  </si>
  <si>
    <t xml:space="preserve">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</si>
  <si>
    <t xml:space="preserve">The deciding factor isn't valuation, it's timing. AppLovin reports earnings tonight, Aug 5, after the market closes. Salee, you place orders during Bangkok night, which is US market hours — so buying APP today means buying a few hours before a coin flip. And this is not a stock that takes surprises calmly: it fell 30% in January after a short-seller report, then another 17% in a single day on Jan 30 when Google announced Project Genie, then 13% in mid-July on a Bank of America note about slowing e-commerce growth. It's already 44% below its 52-week high of $745.61. It's up 4% pre-market today purely on anticipation. Buying into that tonight is a bet on a number neither of us has seen.</t>
  </si>
  <si>
    <t xml:space="preserve">&gt;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</si>
  <si>
    <t xml:space="preserve">AppLovin reported Q2 after the close on Aug 5, about five hours ago. This matters because it was on your list.</t>
  </si>
  <si>
    <t xml:space="preserve">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</si>
  <si>
    <t xml:space="preserve">Quick one — I already have ARM's full data from the parked watchlist sweep, so no research needed. Adding it to Computing Chips as a watchlist column (no budget, no position):</t>
  </si>
  <si>
    <t xml:space="preserve">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</si>
  <si>
    <t xml:space="preserve">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</si>
  <si>
    <t xml:space="preserve">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</si>
  <si>
    <t xml:space="preserve">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</si>
  <si>
    <t xml:space="preserve">3. It fails your own value lens harder than anything you own. PEG 3.58 · 318x trailing · 58x sales, for +23% revenue growth. You're a value-framework investor in a growth sector — that discipline is *why* your book is +15% — and ARM is the single most expensive item on your board. Your notebook already voted: you gave it a watchlist slot and left the budget blank. Trust the version of you who wrote that page.</t>
  </si>
  <si>
    <t xml:space="preserve">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</si>
  <si>
    <t xml:space="preserve">You have live orders working for tonight — IREN, NBIS, MU. That's enough action for one session, Salee. The best trade on ARM today is patience. 🎯</t>
  </si>
  <si>
    <t xml:space="preserve">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</si>
  <si>
    <t xml:space="preserve">💡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</si>
  <si>
    <t xml:space="preserve">Done — SBUX and the Consumer/F&amp;B group are gone from every surface. The board is back to its clean state: 47 held positions, 3 watchlist (ARM, ASTS, SpaceX), 11 groups, Pillar 4 staying pure to its AI thesis. Probably the right call — the +1.4% consensus upside was doing the arguing for you.</t>
  </si>
  <si>
    <t xml:space="preserve">✅ UNH is on the board — new teal Healthcare group, watchlist column, blank budget/position. Deployed to dad's link and delivered above. The board now: 47 held + 6 watching (ARM, ASTS, SpaceX, SBUX, MCD, UNH) across 13 groups.</t>
  </si>
  <si>
    <t xml:space="preserve">ARM was refreshed Jul 28 but is denied today — the entitlement shrank. That reframes the verdict. Now building the staleness marker.</t>
  </si>
  <si>
    <t xml:space="preserve">Dashboard note 45067db</t>
  </si>
  <si>
    <t xml:space="preserve">Jul 31, 2026 · close — 47 held names marked to the POEMS positions screen; watchlist refreshed to Jul 31 closes (&gt;6% movers verified vs 2nd source) — ARM · GLW · HPE · TE · YUM held at Jul 30 close (Jul 31 print unverified), EOSE at Jul 29, FN held at Jul 28 (no verified fresh close)</t>
  </si>
  <si>
    <t xml:space="preserve">&gt; Housekeeping I'll raise again: the "Chips Manufacturing" group now holds five cybersecurity names (CRWD, PANW, ZS, NET, FTNT) plus the actual foundry/equipment names (ASML, LRCX, AMAT, KLAC, AMKR). It's really two different industries sharing one label. Same offer as before — I can split out a proper "Cybersecurity" group (I'd just need one more color slot, same as the Fintech group), which would make both that group and the chips group read cleanly. Want me to do that split?</t>
  </si>
  <si>
    <t xml:space="preserve">Done — clean split. Cybersecurity is now its own group (the 16th, teal accent), and all five names moved out of Chips Manufacturing into it: CRWD, PANW, ZS, NET, FTNT. Chips Manufacturing is now back to a pure foundry/equipment group (ASML, LRCX, AMAT, KLAC, AMKR), and both groups read cleanly. Live across the dashboard, workbook, and dad's link.</t>
  </si>
  <si>
    <t xml:space="preserve">All 45 reconciled. One flag: ASML shows as held in my data but isn't in the POEMS statement — likely exited. Let me check it and verify the totals tie to POEMS.</t>
  </si>
  <si>
    <t xml:space="preserve">False alarm on ASML — it's actually still held (my cost/shares already tie to the POEMS total exactly), I just missed its row when transcribing. Its cost basis is correct; only its price is stale. The math tells me POEMS has ASML at $1,655.26 (its $21,518 MV ÷ 13 sh). Let me fix that and confirm the totals tie out.</t>
  </si>
  <si>
    <t xml:space="preserve">ASML nearly got flagged as "sold." It didn't appear in my first read of the screenshot, so my check initially thought it might've been exited. But when I summed the cost of the 45 names I *did* transcribe and added ASML's existing $16,394.06, it hit your POEMS total of $544,839.56 *exactly* — which mathematically proved ASML is still in the statement (I'd just missed its row). Its cost and 13 shares were already right; only its price was stale, and the arithmetic told me POEMS has it at $1,655.26 (its $21,518 market value ÷ 13). Fixed, and now everything ties. That's the reconciliation doing its job — the totals are a checksum that catches a missed line.</t>
  </si>
  <si>
    <t xml:space="preserve">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</si>
  <si>
    <t xml:space="preserve">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</si>
  <si>
    <t xml:space="preserve">ASML — down 14% in five sessions, and I don't yet know why it stops. The July 27 report of Shanghai achieving immersion-DUV mass production is a structural question, not a sentiment wobble. It still trades at 50.1x trailing versus a 37.9x five-year average, so it's not even cheap after the fall. Every analyst target on the screen predates the China news, and the company no longer discloses bookings, so we're flying with less instrumentation than usual. Catching this knife needs a thesis on Chinese lithography capability that neither of us has today.</t>
  </si>
  <si>
    <t xml:space="preserve">This is the one where dad's instinct ("it fell 14%, it must be a bargain") and the arithmetic disagree. ASML trades at 55.7x trailing against a five-year average of 37.9x, and at 61x price-to-free-cash-flow. It fell hard and is *still* expensive. It's also the only one of the three he's sitting on a gain in — there's no urgency here.</t>
  </si>
  <si>
    <t xml:space="preserve">⚠️ Do not add above $1,450 at all. The July 27 Shanghai immersion-DUV mass-production report is a *structural* question about ASML's monopoly, not a sentiment dip, and it is unresolved. Two things make it harder to underwrite than usual: the company no longer discloses bookings, so the forward-order visibility we used to have is gone, and every analyst target on the screen predates the China news. The analyst range on the board is $885 to $2,859 — a 3.2x spread. When the professionals disagree that violently, the correct position size is *smaller*, not larger.</t>
  </si>
  <si>
    <t xml:space="preserve">Second — ASML at $1,250 only (~$5,000). Skip the $1,380 rung. With cash this tight, spend it at the better price. Dad is already up 22.7% here; there is no cost-basis repair to do, only opportunistic adding.</t>
  </si>
  <si>
    <t xml:space="preserve">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</si>
  <si>
    <t xml:space="preserve">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</si>
  <si>
    <t xml:space="preserve">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</si>
  <si>
    <t xml:space="preserve">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</si>
  <si>
    <t xml:space="preserve">Conviction: High that nothing cheaper is reachable. Medium-Low that FactSet actually works. Horizon: immediate. What changes my mind: FactSet returning a live price for a non-whitelisted name like ASML or MU — that single call decides whether you spend $588 this year or $0.</t>
  </si>
  <si>
    <t xml:space="preserve">The proof: I sent `batch-market-cap` all 107 of your tickers in one call. It returned exactly 23 — the identical 23 the Jul 30 cron got. Then I asked for 10 of the missing ones on their own (AVGO, ORCL, MA, CRM, MU, ASML, AMAT, LRCX, KLAC, QCOM) and the whole call was denied. Single-symbol price history for MU and ARM: denied too. There is no batching trick around a wall like this, so fix 1 as I sold it to you does not exist.</t>
  </si>
  <si>
    <t xml:space="preserve">ASML, MU, AVGO, LRCX, AMAT, KLAC, ORCL, VRT, GEV, ANET, IREN, SKHY, LITE, ALAB — the entire semi-cap and infrastructure core of your book — cannot be auto-priced at all. Every mark on 40% of your capital depends on you screenshotting POEMS by hand.</t>
  </si>
  <si>
    <t xml:space="preserve">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</si>
  <si>
    <t xml:space="preserve">| `batch-market-cap` with 10 non-listed names only (AVGO, ORCL, MA, CRM, MU, ASML, AMAT, LRCX, KLAC, QCOM) | ACCESS DENIED — the whole call |</t>
  </si>
  <si>
    <t xml:space="preserve">The dark 36 include four positions above $15K — AVGO $32.6K, MU $27.5K, ASML $21.5K, AMAT $17.1K — plus ANET, ISRG, CRDO, MRVL, CRWD, ETN, PANW, LRCX, ORCL, VST, LITE, ALAB, CEG, CGNX, TER, KLAC, VRT, AMKR, AVAV, APH, ZETA, SKHY, CDNS, CRM, GEV, IREN, QCOM, BWXT, ONDS, RKLB, IBM, MPWR.</t>
  </si>
  <si>
    <t xml:space="preserve">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</si>
  <si>
    <t xml:space="preserve">| Space | RKLB (Rocket Lab), ASTS (AST SpaceMobile), SPACEX — all pure orbital/launch/satellite |</t>
  </si>
  <si>
    <t xml:space="preserve">Conviction: High. What would change my mind: if stockanalysis.com's quote page ever starts serving stale snapshots at scale the way it did on ASTS, rather than on one name in sixty.</t>
  </si>
  <si>
    <t xml:space="preserve">- ⚠️ Space, Defense &amp; Robotics is the one red group: −25% ($24.0K cost → $17.9K). ISRG −24%, AVAV −32%, IONQ −21%, ONDS −36% — small individually, but as a basket it's bleeding. Worth a dedicated conversation when you have time.</t>
  </si>
  <si>
    <t xml:space="preserve">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</si>
  <si>
    <t xml:space="preserve">| Drone &amp; Defense | PLTR (Palantir), AVAV (AeroVironment), ONDS (Ondas), MDB (per your defense placement) |</t>
  </si>
  <si>
    <t xml:space="preserve">4. The rotation trade. "One company's capex is another's revenue." The money Google is spending flows to NVDA, AVGO, the memory makers, and power names — so the market sells the payer and buys the beneficiaries.</t>
  </si>
  <si>
    <t xml:space="preserve">So for the narrow question *"can I see AVGO's current price without paying FMP?"* — you already can, today, free. It's in the tape.</t>
  </si>
  <si>
    <t xml:space="preserve">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</si>
  <si>
    <t xml:space="preserve">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</si>
  <si>
    <t xml:space="preserve">3. BWXT is crossed out on Dad's note — I have treated it as cancelled and did not include it in the recommendation.</t>
  </si>
  <si>
    <t xml:space="preserve">I did preserve everything useful the jobs did — the earnings-related fundamentals refresh on ETN, CCJ, MPWR, TEM and YUM is intact. Only the prices were overridden.</t>
  </si>
  <si>
    <t xml:space="preserve">CDNS is gone (totals now $547,844 cost / $625,683 MV, +14.2%). IREN and NBIS sit in a maroon ⚠ To Be Sold band with red SELL badges on their cards — impossible to forget they're on death row. When you execute the sales, just tell me and I'll remove them like CDNS.</t>
  </si>
  <si>
    <t xml:space="preserve">The two loose threads, whenever you're ready: budget numbers for row 10, and the FMP Starter decision (~฿1,000/mo for full-book Street signals). And when IREN or NBIS actually sell — one word and they leave the book like CDNS did.</t>
  </si>
  <si>
    <t xml:space="preserve">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</si>
  <si>
    <t xml:space="preserve">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</si>
  <si>
    <t xml:space="preserve">The caveat that applies to all of them ⚠️: free aggregators run smaller analyst pools than IBES/FactSet and update slower — fine for your weekly cadence, misleading if you ever read them intraday around earnings. And every consensus number is a lagging average of opinions; the *revision direction* is the signal, the level is just scenery.</t>
  </si>
  <si>
    <t xml:space="preserve">| 1 | ⚠ CDNS is back | 6 sh, cost $2,007.28 (avg $334.55) | Removed — you told me it was fully sold Jul 20 | Re-added under SaaS, metrics rebuilt |</t>
  </si>
  <si>
    <t xml:space="preserve">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</si>
  <si>
    <t xml:space="preserve">Cost basis: $544,094 − $536,988 = +$7,106 — same story: ORCL +$7,316, IONQ +$3,569, ISRG −$1,764, CDNS −$2,007, MU fee −$8.56 → +$7,106 ✓. Both legs reconcile with zero unexplained residual, which is what tells me the current book is right, not just close.</t>
  </si>
  <si>
    <t xml:space="preserve">All tied up then — book matches POEMS to the cent, and dad's link will pull the same build on his next refresh. Whenever you have the fills for the CDNS buy-back, ISRG add, ORCL trim, and IONQ exit, send them over and I'll complete the trading-activity log with exact realized P&amp;L.</t>
  </si>
  <si>
    <t xml:space="preserve">Dashboard note a09a721</t>
  </si>
  <si>
    <t xml:space="preserve">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</si>
  <si>
    <t xml:space="preserve">Keep that ~$5,150 in reserve, because two of your own holdings report this week: CEG tomorrow (Aug 6) and VST Friday (Aug 7). If either sells off on the print, that's your money to use.</t>
  </si>
  <si>
    <t xml:space="preserve">| CIFR | Cipher Mining | $23.15 | near high | +38% | −428% | 6.42 | Most leveraged, thinnest margins ⚠️ |</t>
  </si>
  <si>
    <t xml:space="preserve">One thing worth explaining, because it caused a scare on my end: when you asked, my first check came back "APP not present." That was a false alarm from my own workspace, not the dashboard. This sandbox wiped itself and rolled back to a week-old copy of the repo — the third time it's done that in this session. Your published dashboard was never affected, because everything I finish gets pushed to GitHub, and I pull from there rather than trusting whatever's on this disk. I re-synced (32 commits behind) and confirmed APP, COHR and all of this morning's numbers are intact.</t>
  </si>
  <si>
    <t xml:space="preserve">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</si>
  <si>
    <t xml:space="preserve">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</si>
  <si>
    <t xml:space="preserve">COIN dropped 13.4% on a third straight quarterly loss. If #8 really is COIN at a $300 limit, it's triggered by a mile — but a company posting consecutive losses is not usually what a limit order is waiting for, which makes me more suspicious of my reading, not less.</t>
  </si>
  <si>
    <t xml:space="preserve">The proof: articles published on Motley Fool *after* the market closed on Jul 31 carry a live price box, and those boxes show the official close. COIN's read $146.26 with a −10.59% day. Your job's number would have implied a −8% day. Not the same story.</t>
  </si>
  <si>
    <t xml:space="preserve">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</si>
  <si>
    <t xml:space="preserve">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</si>
  <si>
    <t xml:space="preserve">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</si>
  <si>
    <t xml:space="preserve">Growing a third faster with fewer people, while the core risk metric improves 16 points. That's a machine learning to underwrite.</t>
  </si>
  <si>
    <t xml:space="preserve">I also added CORZ (Core Scientific) so it could be judged fairly for item 3. One note: Dad called it a "Digital platform" name and that's where I put it, but CORZ is really a bitcoin-miner-turned-AI-datacenter-landlord. Neocloud Watch is the more honest home for it. Say the word and I'll move it.</t>
  </si>
  <si>
    <t xml:space="preserve">- CORZ has negative shareholder equity of −$2.42 billion. That means its liabilities exceed its assets on paper. Several standard metrics (return on equity, debt-to-equity, EV/EBITDA) become mathematically meaningless when that happens, so I left them blank rather than print a misleading number. Its revenue growth is reported three different ways by three sources (+26%, −42%, −14%) and I couldn't resolve it, so that's blank too.</t>
  </si>
  <si>
    <t xml:space="preserve">CORZ stays in Neocloud Watch as you asked. Nothing else touched: 126 stocks, held cost $566,141.82, cash $13,200.76, zero errors on the page.</t>
  </si>
  <si>
    <t xml:space="preserve">&gt; 🎯 My pick: CRDO — add to your existing position. Conviction: Medium-High, horizon Medium (6–24m).</t>
  </si>
  <si>
    <t xml:space="preserve">Ah — that explains "these 2." ZETA joins IBM + CRM in "SaaS"; To Be Sold = IREN and NBIS only:</t>
  </si>
  <si>
    <t xml:space="preserve">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</si>
  <si>
    <t xml:space="preserve">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</si>
  <si>
    <t xml:space="preserve">Tell me whether to wait for the Jul 29 close before writing prices, or push this intraday mark now with the ASOF label changed to reflect it — and I'll re-check the CRM cost figure against the screenshot either way.</t>
  </si>
  <si>
    <t xml:space="preserve">- CRM: portal shows 11 × 171.64273 = 1,888.07, which is exactly what the board carries. My earlier 1,878.07 was a digit slip.</t>
  </si>
  <si>
    <t xml:space="preserve">| CRM (Salesforce) | Priced per seat. Stock has lagged the software sector through 2025–26 and trades well below its historic multiples — the market is already pricing this fear. Agentforce is the defence (8,000+ paid deals). |</t>
  </si>
  <si>
    <t xml:space="preserve">| CRM ✅ | $192.98 | +27% | 9.1× | ✅ Equally cheap, and analysts have *not* given up |</t>
  </si>
  <si>
    <t xml:space="preserve">&gt; CRM — Conviction: Medium-High · Horizon: Medium (6–24 months)
&gt; What would prove me wrong: if the Aug 26 earnings report shows *current remaining performance obligations* (essentially, contracted revenue coming in the next 12 months) growing under 9%, the AI fear becomes a fact rather than a rumour and I'd exit rather than average down.</t>
  </si>
  <si>
    <t xml:space="preserve">If you DID buy TSM (~$5,153 left): do one name only, and make it CRM — 25 shares ≈ $4,833.06, leaving about $320.</t>
  </si>
  <si>
    <t xml:space="preserve">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</si>
  <si>
    <t xml:space="preserve">CRM is the tightest of the three new ones at $1,258 left, which is about 6–7 more shares. You just added 10 shares an hour ago, so that's probably the right amount of restraint anyway.</t>
  </si>
  <si>
    <t xml:space="preserve">Salesforce's damage is a story problem, not a numbers problem. It has beaten both revenue and profit expectations on every single report. Nothing has actually broken. The stock is down because investors *fear* AI agents will replace the software, not because customers have left. And 52 analysts still see it 27% higher.</t>
  </si>
  <si>
    <t xml:space="preserve">Dashboard note 9c0eff7</t>
  </si>
  <si>
    <t xml:space="preserve">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</si>
  <si>
    <t xml:space="preserve">- All 48 positions — every name from your broker statement, cost basis tied to the penny ($549,851.07). CRWV and APP excluded (zero shares — closed). CRWD reflects its July 4-for-1 split.</t>
  </si>
  <si>
    <t xml:space="preserve">| ZETA | Chips Manufacturing | Parked next to CRWD/PANW, your other software names — weakest fit of the seven |</t>
  </si>
  <si>
    <t xml:space="preserve">Tell me any you want moved. Also flagging: your note puts CRWD and PANW under Chips-MFG — cybersecurity in a fab group. I followed the note, but wanted you to see it consciously. And ORCL carries your "?" — left in Hyperscalers pending your verdict.</t>
  </si>
  <si>
    <t xml:space="preserve">The fix in your sheet (one row): CRWD → Remaining QTY 40, Total QTY Bought 40, Average Cost $97.98 (your $3,919 ÷ 40), everything else recalculates. Your total will land on $635,013 and tie POEMS exactly. The dashboard already handles this correctly — I split-adjusted CRWD when we built it.</t>
  </si>
  <si>
    <t xml:space="preserve">$7,646 − $1,912 = $5,734 — the gap to the dollar (the remaining $0.32 is row rounding). Every other one of the 48 positions matches POEMS within $1. The nasty part is what it did to your P&amp;L view: your sheet shows CrowdStrike as your second-worst loser at −51%, when it's actually one of your best winners at +95%. Classic split trap — the price column updated itself to the post-split market price ($191) while the quantity and average cost stayed pre-split, so the position looks like it crashed 75%.</t>
  </si>
  <si>
    <t xml:space="preserve">ZS (Zscaler), NET (Cloudflare), FTNT (Fortinet) into Chips Manufacturing (g=2) — where CRWD and PANW already sit, so the cyber names have company there. Pulling fundamentals.</t>
  </si>
  <si>
    <t xml:space="preserve">ZS, NET, and FTNT are live in Chips Manufacturing (alongside the CRWD/PANW cyber names already there) — and that tips the board to a round 100 tickers across 15 groups.</t>
  </si>
  <si>
    <t xml:space="preserve">Creating the Cybersecurity group (16th group) and moving all five cyber names — CRWD, PANW, ZS, NET, FTNT — out of Chips Manufacturing into it. No re-research needed; just group scaffolding + reassignment.</t>
  </si>
  <si>
    <t xml:space="preserve">Big expansion — 41 new tickers on top of the 7, metrics flipped to rows, and my own grouping until you hand me yours tomorrow. I'll note up front: CRWV and APP show zero quantity on your statement (closed positions), so I'm leaving them out — say the word if you want them tracked as watchlist. Kicking off the data sweep now.</t>
  </si>
  <si>
    <t xml:space="preserve">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</si>
  <si>
    <t xml:space="preserve">Fair warning on what the card reveals: that $240 average target spans an enormous $62 to $800 range — the widest dispersion on your entire board, wider even than CoreWeave. That's the market openly admitting nobody can price a pre-profit, capex-monster launch-and-Starlink business yet. It behaves like a venture bet in public clothing: burning ~$9B a year against 33% revenue growth, with the whole thesis riding on Starlink cash flow and Starship economics. Genuinely interesting for the Space bucket, but size it like the option it is if you ever move off watchlist — and the Aug 17 first print will be a volatility event worth waiting for.</t>
  </si>
  <si>
    <t xml:space="preserve">I also found and fixed a real error in the DDOG record while I was in there. The dashboard had DDOG's all-time high at $277.49 but its 52-week high at $288.15. That's impossible — an all-time high can't be lower than a one-year high. The true all-time high is $292.72, set intraday on Aug 5. Both fields now read that. Price also nudged $283.14 → $283.17.</t>
  </si>
  <si>
    <t xml:space="preserve">| DDOG | Yes, $4.46B guided | Beat and raised — and fell 22% | ✅ The pick |</t>
  </si>
  <si>
    <t xml:space="preserve">Two days ago I told you not to buy MELI while it was gapping down in the morning. DDOG is also gapping down. I owe you the distinction rather than pretending there isn't one.</t>
  </si>
  <si>
    <t xml:space="preserve">DDOG fell because its numbers got better but not fast enough for the price it was trading at. When analysts update, they'll likely trim their *price targets* while leaving their *revenue and profit forecasts* higher than before. That's a different kind of adjustment — it's the market repricing the same improving business, not discovering a broken one.</t>
  </si>
  <si>
    <t xml:space="preserve">At $221, DDOG trades at roughly 21 times sales and 88 times next year's earnings. Before today it was 27 times sales. Cheaper, not cheap. If growth really is settling into the mid-20s rather than the mid-30s, a 21x sales multiple still has room to fall further. And note that Bernstein already downgraded DDOG on July 14 with a $226 target — that target is *above* today's price and it was set using the old, lower forecasts.</t>
  </si>
  <si>
    <t xml:space="preserve">&gt; Recommendation: DDOG. Conviction: Medium. Horizon: Medium (6–24 months).
&gt;
&gt; What would change my mind: if tomorrow's analyst notes reveal that the weak next-quarter forecast comes from a big customer actually leaving rather than from management being cautious, I'd stand down. Equally, if the stock keeps sliding through $200 without any new bad news, that tells me the market sees something I don't, and I'd want to understand it before adding. On the positive side: if the company's retention rate or its AI-customer revenue is disclosed on the call and looks solid, I'd upgrade to High conviction and size up.</t>
  </si>
  <si>
    <t xml:space="preserve">ZETA's stored all-time high reads $25.95 — which is *below* its own stored price of $27.07 and *below* its verified 52-week high of $28.50. That's mathematically impossible. It's the exact same bug I found and fixed on DDOG yesterday.</t>
  </si>
  <si>
    <t xml:space="preserve">Datadog is software that watches over companies' computer systems and tells them when something breaks. Think of it as the smoke detectors and security cameras for a company's technology — once you've installed them everywhere, you don't rip them out.</t>
  </si>
  <si>
    <t xml:space="preserve">Plus ~$125K reserved for names you don't hold yet: Memory 40K (SKHY·SNDK·WDC·DELL), Photonic 20K (COHR·FN·AOI), Energy 40K (LEU·OKLO·EOSE…), Space 25K (ASTS·SpaceX), ARM unbudgeted.</t>
  </si>
  <si>
    <t xml:space="preserve">All three in — DELL, HPE, SMCI wiring into Memory &amp; Storage (g=3). One flag before I do: these are AI-*server* makers, not memory/storage chips, so they're a category stretch in that group — I'll place them where you asked and note it.</t>
  </si>
  <si>
    <t xml:space="preserve">DELL, HPE, and SMCI are live in the Memory &amp; Storage group (95 tickers total) across the dashboard, workbook, and dad's link.</t>
  </si>
  <si>
    <t xml:space="preserve">&gt;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</si>
  <si>
    <t xml:space="preserve">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</si>
  <si>
    <t xml:space="preserve">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</si>
  <si>
    <t xml:space="preserve">One data note: Dell's +263% YTD move (from ~$121 to $438) is eye-popping — I cross-checked it against two sources ($437.50 and $440) and the market cap / P/E all tie out internally, so it's real, but if it looks off to you versus your broker, tell me and I'll re-verify.</t>
  </si>
  <si>
    <t xml:space="preserve">One small cleanup for whenever you have 30 seconds: that stray "RSN" Enterprise trial you created — leave it alone and it expires harmlessly in 31 days, or delete it at github.com/enterprises/rsn → Settings if you want a tidy account.</t>
  </si>
  <si>
    <t xml:space="preserve">⚠️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</si>
  <si>
    <t xml:space="preserve">EOSE was the worst. Its history table printed a closing price of 3.17 on a day when it also claimed the day's *low* was 3.22. A stock cannot close below its own low. The site was serving a Jul 30 price as if it were current. I went outside: MarketScreener showed 3.38 with an explicit "July 31, 2026, 4:00 PM EDT (Market Closed)" stamp, and YCharts independently showed 3.39. I used 3.38.</t>
  </si>
  <si>
    <t xml:space="preserve">NBIS at 0 and IREN at 45 sh / $1,735.17 confirmed clean against Monday's bookings, and I refreshed the small intraday price drifts (ETN, LITE, MPWR, ZETA).</t>
  </si>
  <si>
    <t xml:space="preserve">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</si>
  <si>
    <t xml:space="preserve">Your $300 limit sits below Eaton's 52-week low. The cheapest it has traded in a year is $311.92. So this isn't a limit waiting for a dip — it's waiting for a break into ground the stock hasn't touched in twelve months. Meanwhile the analyst average sits at $455.79, 52% above where you want to buy.</t>
  </si>
  <si>
    <t xml:space="preserve">Energy drops from 18 names to 12 and is now much cleaner — it's the electrification-and-power-equipment bucket (ETN, VRT, GEV, VST, NEE, MPWR) plus the small alternative-energy watchlist, rather than a catch-all.</t>
  </si>
  <si>
    <t xml:space="preserve">2. Fiserv (FI) is the one I'd flag hardest. It's down 71% from its high and screens dirt-cheap at 6× forward — but a payments processor doesn't lose two-thirds of its value without a real problem (decelerating growth, guidance cuts). That's a potential *value trap*, not a bargain. If any name here needs a deep-dive before you or dad act on the low multiple, it's FI.</t>
  </si>
  <si>
    <t xml:space="preserve">Want me to set per-name budgets for this group like the others, or pull a deep-dive on Fiserv to settle the value-trap question?</t>
  </si>
  <si>
    <t xml:space="preserve">You asked me to add FLNC and then asked me to consider it as today's buy. Between those two things, the company reported earnings. The timing matters enormously.</t>
  </si>
  <si>
    <t xml:space="preserve">| FLNC | Yes, $2.6B revenue | Missed by 19%, cut guidance, down ~23% | ❌ Falling knife |</t>
  </si>
  <si>
    <t xml:space="preserve">They beat both numbers and raised their forecast for the whole year. That is the opposite of what APP and FLNC just did.</t>
  </si>
  <si>
    <t xml:space="preserve">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</si>
  <si>
    <t xml:space="preserve">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</si>
  <si>
    <t xml:space="preserve">FTNT (Fortinet) is the quality anchor — the only *profitable* one, 27% net margin, 132% ROE, 80% gross margins, throwing off $2.4B of real free cash flow. At 49× forward it's not cheap, but you're buying an actual cash machine, not a promise.</t>
  </si>
  <si>
    <t xml:space="preserve">FTNT — the analysts think it's worth 19% LESS than it costs. Fortinet has doubled this year (+104%), and the average analyst target is $131.78 against a $161.95 price. Think of it like a house valued by every surveyor at ฿13m that's listed at ฿16m. Dad's instinct is sharp here — his $130 limit is almost exactly where the professionals think fair value sits. The problem is the stock is 25% away from that, and it's priced at 49× next year's earnings.</t>
  </si>
  <si>
    <t xml:space="preserve">| Skip | FTNT | Analyst target is 19% *below* the price; 49× forward | High |</t>
  </si>
  <si>
    <t xml:space="preserve">And to close out Dad's note: none of his nine limits are triggered. The closest is HUBB, still 14.4% above his $430; the furthest is FTNT, 40.6% above his $100. He's set patient prices — nothing to do on that list today.</t>
  </si>
  <si>
    <t xml:space="preserve">More importantly, it has no revenue at all — none, in any year since 2022. Analysts expect the company to make $50,000 in sales this entire year. That is fifty thousand dollars, not fifty million. It has 16 employees. It has $31 million in the bank and has already signed a commitment to put another $77 million into a joint venture with GE Vernova, which is a $46 million hole it has no obvious way to fill except by issuing more shares — and it's already issuing them fast, up 10% in a single quarter. It jumped 20% on Aug 3 and the financial press openly reported that nobody could find a reason why. Think of it as buying a ticket, not building a position — the size should be money you'd be relaxed about losing entirely.</t>
  </si>
  <si>
    <t xml:space="preserve">💡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</si>
  <si>
    <t xml:space="preserve">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</si>
  <si>
    <t xml:space="preserve">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</si>
  <si>
    <t xml:space="preserve">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</si>
  <si>
    <t xml:space="preserve">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</si>
  <si>
    <t xml:space="preserve">Reported Jul 22 after close. The headline was a beat; the stock fell ~5–6% anyway. GOOGL now sits in the low $340s on our book — down from ~$375 pre-print, still ~12% above dad's $300 limit.</t>
  </si>
  <si>
    <t xml:space="preserve">2. The cash machine broke — temporarily. Negative FCF removes the thing that justified GOOGL's premium. You re-rate a stock hard when its defining feature disappears, even for a quarter.</t>
  </si>
  <si>
    <t xml:space="preserve">Now put dad's own new metrics on it (right there in the matrix now): GOOGL shows EV/EBITDA 21.6 (reasonable for the growth), D/E 0.18 (a fortress balance sheet — it can absolutely *afford* the spend), but P/FCF 72.5 and climbing — and with FCF now negative near-term, that ratio is the flashing light. The balance sheet says "they can do this"; the FCF ratio says "you're paying up while the cash flow is impaired." That's the exact tension.</t>
  </si>
  <si>
    <t xml:space="preserve">That last line is the whole story. Alphabet is the definitional cash machine — its identity is gushing free cash flow that funds buybacks. This quarter, capex outran the $39.1B of operating cash flow, FCF flipped negative, and they raised $49.6B issuing equity. A software business with 34% margins is now spending like a utility — capex is running at ~42% of revenue, a ratio you see in telcos and power companies, not ad platforms.</t>
  </si>
  <si>
    <t xml:space="preserve">New POEMS statement — GOOGL got a +7-share add on the post-earnings dip, and prices moved. Let me reconcile.</t>
  </si>
  <si>
    <t xml:space="preserve">The one position change: GOOGL +7 shares at ~$319.38 ($2,235.64), booked to the Jul 24 trade log. You now hold 205 shares, avg cost still a very low $269.88 (+17.7% unrealized). Cash moved $25,394 → $23,158.59.</t>
  </si>
  <si>
    <t xml:space="preserve">You bought the exact dip I analyzed. GOOGL fell from ~$342 to $317.69 on the capex/negative-FCF selloff — and you added into it. That's the right instinct on a fortress-balance-sheet compounder whose Cloud is growing 82%; buying quality when the market panics about spending is how you build a position. ⚠ The only discipline note: dad's written limit was &lt; $300, and you filled at $319 — about 6% above the line. Small size (7 sh) so it barely moves your average, but it's a deviation from the plan worth being conscious of. If GOOGL keeps sliding toward $300 on continued capex worry, that's where the *real* add sits.</t>
  </si>
  <si>
    <t xml:space="preserve">Reconciled — spreadsheet and dashboard are aligned. All share counts match to the position (including GOOGL at 205 sh in both), 258 buys / 13 sells, and the latest GOOGL +7 add on Jul 23 is captured in both. Let me confirm the cost/total ties, then set up the daily discipline.</t>
  </si>
  <si>
    <t xml:space="preserve">| 2 | GOOGL | 8× engineering speed; falling AI serving cost | ★★★★☆ CEO stated | $356.13 (Jul 31) | 28.0× | +20% | High |</t>
  </si>
  <si>
    <t xml:space="preserve">Two years of engineering work, done in three months. If that spreads across Alphabet's engineering organisation, it doesn't reduce headcount — it means the same engineers ship eight times more product.</t>
  </si>
  <si>
    <t xml:space="preserve">Two exact matches. Verifying one NYSE name plus GOOGL (its quote page is serving a cached Jul 31 snapshot).</t>
  </si>
  <si>
    <t xml:space="preserve">All four verified exactly (MSFT 487.65, META 590.24, TSM 406.11, GOOGL 373.51) — the POEMS "Current Price" column is the official Aug 3 close, not an intraday mark. I can use all 47.</t>
  </si>
  <si>
    <t xml:space="preserve">Items 1 and 2 are quick. LMND and HINGE are new names needing full fundamentals research — roughly a couple of hours' work each to do properly rather than sloppily. Say the word and I'll start; I'd suggest doing APP right away since it's live on Dad's buy list.</t>
  </si>
  <si>
    <t xml:space="preserve">"HGE" doesn't exist — the real ticker is HNGE. I searched and there is no US-listed company or fund trading under HGE. The company you almost certainly mean is Hinge Health (NYSE: HNGE), the digital physical-therapy company. I've filed it under Healthcare at its Aug 4 close of $79.42. Worth knowing: it reported earnings that very day and beat badly — revenue up 53%, earnings of $0.59 a share against an expected $0.13, and it raised its full-year forecast. The stock only rose 2.3% on the day, then slipped 1.9% after hours, which usually means the good news was already in the price.</t>
  </si>
  <si>
    <t xml:space="preserve">LMND and HNGE were already there from yesterday — Lemonade sits in Fintech / Digital Platform at $54.11, Hinge Health in Healthcare at $79.42. Nothing needed doing.</t>
  </si>
  <si>
    <t xml:space="preserve">Dad also corrected himself on the note — he crossed out "HGE" and wrote HNGE. That's the right ticker.</t>
  </si>
  <si>
    <t xml:space="preserve">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</si>
  <si>
    <t xml:space="preserve">| HOOD ✅ | $92.80 | +32% | ✅ All 26 analyst targets sit above today's price |</t>
  </si>
  <si>
    <t xml:space="preserve">&gt; HOOD — Conviction: Medium · Horizon: Medium (6–24 months)
&gt; What would prove me wrong: two consecutive quarters of falling monthly funded customers. Robinhood's whole story is customer growth; if that stalls, the premium valuation has nothing holding it up.</t>
  </si>
  <si>
    <t xml:space="preserve">That last point is the same structural signal I used on TSM. The *lowest* target any of the 26 analysts has on Robinhood is $100 — above the $92.80 price. When the biggest bear on the desk still sees upside, you're not fighting the crowd.</t>
  </si>
  <si>
    <t xml:space="preserve">Robinhood beat both lines on July 29 (revenue $1.31B, +32%; earnings $0.62 against $0.43 expected — a 44% beat), and it carries almost no debt. It's down 40% from its high, but that drawdown is *cyclical*, not structural: crypto trading revenue fell 38% because Bitcoin and Ethereum are off their peaks. When crypto recovers, that revenue comes straight back. The business itself is intact — it already bottomed at $63.52 in March and has recovered 45% since.</t>
  </si>
  <si>
    <t xml:space="preserve">| HPE | HP Enterprise | $47.69 | 12.4 | 0.42 | +23% | 4% | Cheapest; Juniper deal integrating |</t>
  </si>
  <si>
    <t xml:space="preserve">Repo recovered from the container rollback — and while it was down, the Monday weekly-audit job had already run and re-verified all 110 Friday closes, so the price base is solid. Two of Dad's ten names (APP, HUBB) aren't on the dashboard yet, so I pulled those fresh. The US market is open right now (11am New York = 10pm Bangkok), so I used live quotes where they moved.</t>
  </si>
  <si>
    <t xml:space="preserve">| Watch | HUBB | Only +9.9% over limit, +20% to target — but modest vs the others | Low |</t>
  </si>
  <si>
    <t xml:space="preserve">| HUBB $502.24 | Hubbell | Beat and raised on grid modernization and data centres. The steadiest of the four — lowest volatility. |</t>
  </si>
  <si>
    <t xml:space="preserve">| IBM | Large services/consulting arm sells human hours. AI compresses the hours. |</t>
  </si>
  <si>
    <t xml:space="preserve">2. Move "IBM" from SaaS to Quantum — this makes real sense. Quantum currently holds just one name (IONQ), and IBM is one of the two or three most serious quantum-computing efforts in the world. It is arguably mis-filed where it is.</t>
  </si>
  <si>
    <t xml:space="preserve">Both checked with fresh data — and one of them changes the tactical picture, so read the INTC part before you place anything.</t>
  </si>
  <si>
    <t xml:space="preserve">✅ INTC condition check — both conditions still unmet, but ⚠ earnings are TOMORROW</t>
  </si>
  <si>
    <t xml:space="preserve">&gt; Of everything you hold, Intel is the position where the price has run furthest beyond what the business is doing.</t>
  </si>
  <si>
    <t xml:space="preserve">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</si>
  <si>
    <t xml:space="preserve">The pattern that jumps out immediately 📊: the stocks with the longest green bars almost all have the longest red bars too — ORCL (▲99/▼63), ONDS (▲203/▼57), IONQ (▲98/▼59), MU (▲75/▼32). That's not a coincidence; analyst targets lag crashes. The rarer and more interesting rows are long green with short red — MRVL (▲34/▼43... still symmetric), but look at AMKR (▲24/▼35) vs AVGO (▲41/▼25) and NVDA (▲49/▼14) — upside without the wreckage. Those asymmetries are where conviction actually means something.</t>
  </si>
  <si>
    <t xml:space="preserve">Clear orders — executing: ORCL stays in Hyperscalers (question mark resolved), CDNS removed entirely (sold), IREN·NBIS·ZETA into a flagged "⚠ To Be Sold" bucket, BWXT confirmed in Energy, and a new Software group for CRM + IBM (Quantum becomes IONQ solo).</t>
  </si>
  <si>
    <t xml:space="preserve">⚠️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</si>
  <si>
    <t xml:space="preserve">2. Unbudgeted holdings: ONDS ($1.4K), IONQ ($2.8K), IBM, CRM, ZETA ($5.6K combined) — plus IREN/NBIS (To Be Sold, correctly zero). If Quantum and SaaS are zero-allocation by intent, these five are implicitly exit candidates too — worth confirming.</t>
  </si>
  <si>
    <t xml:space="preserve">| 4 | ⚠ IONQ gone | Not on statement | 81 sh, $3,569.26 | Position zeroed — kept visible as a Quantum watchlist row |</t>
  </si>
  <si>
    <t xml:space="preserve">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</si>
  <si>
    <t xml:space="preserve">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</si>
  <si>
    <t xml:space="preserve">That takes you to 14 groups. I inserted Drone &amp; Defense right after Space so the two sit adjacent, gave Neocloud Watch a new distinct color (the palette shifted one slot for the groups below the split — purely cosmetic, still all distinct), and remapped every downstream reference: the filter chips on both pages, the fair-value ladder bands, the metric matrix, the P&amp;L-by-group and by-stock tables, the monthly rollup's by-group figures, and the realized ledger (IONQ's realized loss now sits under Quantum at its new index, etc.). The workbook's group colors updated to match.</t>
  </si>
  <si>
    <t xml:space="preserve">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</si>
  <si>
    <t xml:space="preserve">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</si>
  <si>
    <t xml:space="preserve">The machine is now: live tape → daily API closes → weekly API fundamentals + revision flags → auto-deployed to your artifact, your workbook, and dad's LINE-able link. Still open whenever you're ready: budget numbers for row 10, and the word "sold" on IREN/NBIS.</t>
  </si>
  <si>
    <t xml:space="preserve">💡 One actionable observation: IREN — sitting in your ⚠ To Be Sold bucket — just ripped +19.6% in a single session and flipped your position from −13% to +4% unrealized. If the exit decision stands, strength like this is what you sell into; you're being handed your cost basis back.</t>
  </si>
  <si>
    <t xml:space="preserve">Now — the IREN/NBIS exit. Here's my plan, thinking like someone who's had to unwind positions without donating the gains back to the market:</t>
  </si>
  <si>
    <t xml:space="preserve">- Time stop: Friday Jul 31 — NBIS gets two weeks because the uptrend is intact and the Street's $244 average target gives the second tranche a genuine tailwind; IREN gets one because its rally is squeeze-flavored, not estimate-driven.</t>
  </si>
  <si>
    <t xml:space="preserve">- IREN and NBIS: current price, opening gap, distance to your next limit and to the floor</t>
  </si>
  <si>
    <t xml:space="preserve">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</si>
  <si>
    <t xml:space="preserve">When fills happen, just tell me — "sold 45 IREN at 40" or "both done" — and I'll log the realized P&amp;L, update the book everywhere, retire the ⚠ To Be Sold band, and delete this watch. Good hunting, Salee. 🫡</t>
  </si>
  <si>
    <t xml:space="preserve">| Sell 45 IREN, limit $40.00, GTC | "Sell half my IREN as soon as anyone pays $40+" (price is ~there now → fills almost instantly, locking the squeeze gain) |</t>
  </si>
  <si>
    <t xml:space="preserve">| Sell 45 IREN, limit $44.00, GTC | "Sell the other half only if the rally stretches another 10%" |</t>
  </si>
  <si>
    <t xml:space="preserve">- The floor (IREN below $35.50 / NBIS below $164): if price drops through it, the rally is over — you cancel the remaining limit orders and sell at market (= "sell now at whatever the current price is"). This is the fire exit. Without it, "to be sold" quietly becomes "riding it down 40%."</t>
  </si>
  <si>
    <t xml:space="preserve">-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</si>
  <si>
    <t xml:space="preserve">- Quiet night: "IREN $39.80, no levels touched, 2 days to time stop. NBIS $185, tranche-1 level exceeded — check your fill." → glance, done, 10 seconds.</t>
  </si>
  <si>
    <t xml:space="preserve">- ⚠ Floor breach: "IREN below $35.50 — plan says cancel remaining limits and sell at market." → you open the broker app and act.</t>
  </si>
  <si>
    <t xml:space="preserve">- ⚠ Time-stop day: "Today is Jul 24 — anything IREN unsold sells at market before the 03:00 close." → same.</t>
  </si>
  <si>
    <t xml:space="preserve">One thing to be crystal clear about: I cannot touch your broker account — I never place, cancel, or execute anything. I'm the risk manager shouting from the next desk; your finger is the only one on the button. And the loop closes with you telling me the fills ("sold 45 IREN at 40") — I then log the realized P&amp;L, update the dashboard/workbook, and when both hit zero, retire the ⚠ To Be Sold band and delete the watch.</t>
  </si>
  <si>
    <t xml:space="preserve">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</si>
  <si>
    <t xml:space="preserve">Already running: the 20:45 evening watch covers MU alongside the IREN/NBIS exits starting tonight — fills, invalidation, reserve signal, earnings date.</t>
  </si>
  <si>
    <t xml:space="preserve">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</si>
  <si>
    <t xml:space="preserve">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</si>
  <si>
    <t xml:space="preserve">Tonight's complete ticket stands at six orders: four sells (IREN/NBIS), two buys (MU). Watch fires at 20:45. Report fills as they land, Salee — and good hunting. 🎯</t>
  </si>
  <si>
    <t xml:space="preserve">Everything stands ready for tonight: six orders on your ticket (IREN ×2, NBIS ×2, MU ×2), trade watch firing at 20:45, and the full refresh machinery humming on schedule.</t>
  </si>
  <si>
    <t xml:space="preserve">Movers (Fri→Mon close): ▲ IREN +19.6% (+$592) · ONDS +5.2% · CRDO +4.6% (+$507) · LITE +4.5% · TER +3.5% — ▼ ORCL −4.0% (−$474) · TSLA −3.0% · PANW −2.8% · RKLB −2.8% · KLAC −2.4%</t>
  </si>
  <si>
    <t xml:space="preserve">*The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</si>
  <si>
    <t xml:space="preserve">The workbook carries the new positions too (NBIS zeroed, IREN 45 sh, MU 29.45 sh), recalc clean. And nice discipline on the NBIS exit — that's a +51.9% realized gain on a name we'd flagged To Be Sold, sold into strength rather than hope. 🎯</t>
  </si>
  <si>
    <t xml:space="preserve">First, the plan you already have: finish IREN today. 45 sh left, ~$1,858, sitting +7% above cost, time stop is Friday Jul 24 anyway. A 0.3%-of-book residual in the To Be Sold bucket earns nothing but attention. Execute tranche 2, close the bucket.</t>
  </si>
  <si>
    <t xml:space="preserve">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</si>
  <si>
    <t xml:space="preserve">The strategic logic matters more than any single number: your compute exposure is NVDA + AMD + TSM + AVGO + AMAT/LRCX/KLAC — you own the winners of the AI buildout up and down the stack. INTC is the turnaround lottery ticket that already paid out 2.3×. Selling releases ~$4.7K with a +$2,715 realized gain and zero loss of thesis coverage. Combined with IREN, that's ~$6.6K freed — enough to top up MU toward its $30K budget ($1,409 of room) with plenty left over.</t>
  </si>
  <si>
    <t xml:space="preserve">⚠ IREN tranche 2 is going to expire unfilled. Your GTC $45 sell limit dies tomorrow (Jul 24) and IREN closed $41.28 — it needs a +9% day to fill. Given you've since moved IREN to Neocloud Watch "in case of a turnaround," the two instructions now point in opposite directions. If you let the order lapse, I'll treat the 45 sh as a keeper and remove the SELL badge; if you still want out, the order needs a lower limit tonight. Your call — I'll follow whichever the Friday order status shows.</t>
  </si>
  <si>
    <t xml:space="preserve">💡 Your night's fills also locked in the real Jul 21 numbers (replacing my at-close estimates in the trade log): NBIS exit went at ~$194.85 avg → realized +$1,405 (not my +$2,000 est — the fills were below Monday's close), and IREN tranche 1 at ~$40.76 → +$99. The log now shows actuals, no more asterisks.</t>
  </si>
  <si>
    <t xml:space="preserve">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</si>
  <si>
    <t xml:space="preserve">Two events in those screenshots: NVDA BUY 9 sh @ $211.0599 (executed Jul 25, order done) and the IREN SELL @ $45 was Withdrawn (cancelled — no fill, IREN position unchanged). Let me look at how the current NVDA cost basis, cash, and trade log are structured so I update consistently.</t>
  </si>
  <si>
    <t xml:space="preserve">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</si>
  <si>
    <t xml:space="preserve">| IREN SELL | $45 limit Withdrawn — no fill, position unchanged (45 sh, still flagged To-Be-Sold) |</t>
  </si>
  <si>
    <t xml:space="preserve">📊 What the tape is actually saying, and why it matters for SKHY: this is a broad memory/semi de-rating in the US session, not idiosyncratic noise — VRT −13.8%, IREN −9.1%, KLAC −7.6%, LITE −7.0%, ETN −6.1%, CRDO −5.8%, ANET −5.4%, AMAT −5.3%, AMD −5.2%, MU −4.9%, LRCX −4.6%, MRVL −4.3%, TSM −4.1%. And it is happening *even though Seoul rebounded +3.74%*. That divergence strengthens the SKHY call rather than weakening it: the US listing is being marked down by the same complex that's carrying a ~20% ADR premium, and you don't want to be the marginal buyer paying that premium into a session where the entire supply chain is being sold. The recommendation stands.</t>
  </si>
  <si>
    <t xml:space="preserve">What went to the board: 46 prices, each `mcapB` scaled by the same ratio so implied share counts didn't move — the sanity gate passed with zero warnings, meaning the price/mcap linkage held on all 46. Eight names cleared the 6% threshold and I passed `--allow` on each, since the POEMS statement is an independent broker source and that is exactly the verification the gate asks for: VRT, IREN, ONDS, KLAC, LITE, AVAV, ETN, APH.</t>
  </si>
  <si>
    <t xml:space="preserve">Twenty names tripped the 6% gate — IREN +30.5%, ALAB +20.0%, MU +18.4%, LRCX +18.0%, SKHY +17.5%, LITE +15.1%, AMAT +15.0%, TER +14.4%. None of those are one-day moves. The Jul 30 daily cron could only refresh 23 of 107 tickers before hitting FMP plan limits, so 84 names were still carrying a Jul 29-or-older close. Your screenshot was doing the work the automated job couldn't. Until that coverage gap is fixed, the board between your screenshots is quietly stale on roughly four names in five — I'd rather tell you that than let a green number on dad's page imply freshness it doesn't have.</t>
  </si>
  <si>
    <t xml:space="preserve">Monday was a big up day. Ten of your holdings moved more than 6%: ONDS +9.9%, LITE +9.2%, ORCL +9.2%, VRT +8.9%, RKLB +8.4%, IREN +8.0%, AVAV +6.6%, ISRG +6.3%, CRWD +6.1%, META +6.0%. AMZN and ETN both closed at new 52-week highs.</t>
  </si>
  <si>
    <t xml:space="preserve">Deep research done. Here's the full picture on ISRG — and it's a genuinely important one, because it's your biggest percentage loser (33 sh, cost $438.94, now $332 = −24.4%, −$3,528 unrealized).</t>
  </si>
  <si>
    <t xml:space="preserve">The setup: ISRG reported Q2 CY2026 on Jul 16 after close, the stock fell ~11–12% the next day, and it's now down ~30% YTD — it broke below its 200-week moving average for the first time in years. Your entry at $439 was near the highs; the whole move down happened after.</t>
  </si>
  <si>
    <t xml:space="preserve">5. Valuation at 46× forward earnings. At that multiple, *any* deceleration gets punished violently. The premium that rewarded you on the way up is what's hurting on the way down — and it's still not cheap. By dad's new value screens (EV/EBITDA &lt;10), ISRG's EV/EBITDA of ~26 fails hard; this was never a value name.</t>
  </si>
  <si>
    <t xml:space="preserve">6. Sector contagion + technical break. HCA Healthcare cut its outlook Jul 14, dragging *all* medtech down two days before ISRG reported. The stock then sliced through its 200-week trendline — a decisive technical breakdown that pulled in momentum sellers.</t>
  </si>
  <si>
    <t xml:space="preserve">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</si>
  <si>
    <t xml:space="preserve">Everything that made ISRG great is intact: 70% gross margin, 42% operating margin, a growing 11,710-system installed base, the da Vinci 5 ramp, and a recurring-revenue razor-blade model. But the three-headed worry — decelerating procedures + GLP-1/ACA demand pressure + a self-inflicted 2027 recurring-revenue haircut — is legitimate, and at 46× forward the stock can compress further before it's "cheap."</t>
  </si>
  <si>
    <t xml:space="preserve">Let me get ISRG's exact forward PE math so the alert triggers on the right price, then set up the watch.</t>
  </si>
  <si>
    <t xml:space="preserve">Important nuance before I set this up — the two conditions don't bind the way they might seem. I verified ISRG's current forward PE is ~29.5× (at $332, on ~$11.2 consensus forward EPS), already *below* dad's 40× gate. So:</t>
  </si>
  <si>
    <t xml:space="preserve">- The 40× forward condition is already satisfied today — ISRG isn't expensive on forward earnings anymore; that's exactly what the 30% de-rating did.</t>
  </si>
  <si>
    <t xml:space="preserve">Net: the alert = flag when ISRG hits $300 or below. Let me set up a daily watch.</t>
  </si>
  <si>
    <t xml:space="preserve">Let me confirm the ISRG trigger got created, then handle the trade-order fix and the earnings-update request.</t>
  </si>
  <si>
    <t xml:space="preserve">ISRG watch is live (fires Tue–Sat mornings Bangkok; pushes only when it hits $300). Now the trade-order fix and the earnings automation.</t>
  </si>
  <si>
    <t xml:space="preserve">2. ISRG add-target watch ✅ — a daily check (Tue–Sat mornings Bangkok, after each US close) that flags you the moment ISRG hits $300 or below. As covered above, the 40× forward gate is already satisfied (it's at ~29.5× now), so $300 is the real trigger — and at $300 forward PE would be ~27×, well inside dad's ceiling. It stays silent on days the target isn't hit and pushes to your phone only when it triggers, with the price, forward PE, and a one-line thesis reminder.</t>
  </si>
  <si>
    <t xml:space="preserve">The two differ because analysts expect ISRG's earnings to grow — from $8.73 trailing toward ~$11 forward (that +21.75% EPS growth is literally in the "EPS dil growth" column on your screenshot). When earnings are rising, the forward multiple is always *lower* than the trailing one at the same price.</t>
  </si>
  <si>
    <t xml:space="preserve">Here's the part that actually matters for the plan: dad wrote "40× *forward* PE," so forward is the right basis — and ISRG is already at ~29.5×, below 40×. But notice it's below 40× even on the *trailing* number (38 &lt; 40). So either way you measure it, the 40× gate is already met. That's why I said the binding trigger is purely the $300 price — the valuation condition is satisfied on both definitions right now; you're just waiting on the price. At $300, trailing P/E would be ~34× and forward ~27× — comfortably inside his ceiling on both.</t>
  </si>
  <si>
    <t xml:space="preserve">Sounds good, Salee. Everything's saved and current — dashboard, workbook, and dad's link all reconciled to POEMS Jul 24, and your four scheduled tasks (ISRG $300 watch, earnings-day refresh, daily reconciliation reminder, Monday full refresh) are running in the background.</t>
  </si>
  <si>
    <t xml:space="preserve">The one I would *not* chase is ISRG — it popped +1.7% today to $337, it's the furthest of the "quality" names from dad's $310 line, and dad's real add-thesis is the $300 / 40× forward-PE level we flagged. $337 is nowhere near it. That scheduled alert will ping you when it's actually there.</t>
  </si>
  <si>
    <t xml:space="preserve">- ACA subsidy uncertainty — if premium subsidies lapse, patients defer elective/"deferrable" procedures, which is exactly Intuitive's volume base.</t>
  </si>
  <si>
    <t xml:space="preserve">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</si>
  <si>
    <t xml:space="preserve">The two worth watching are ISRG and META. ISRG needs a 6.5% pullback and META 7.2% — both are one bad session away, not one bad quarter away. Everything else needs a 10–40% drawdown, which is a different kind of event entirely.</t>
  </si>
  <si>
    <t xml:space="preserve">Answer to your original question stands: nothing is triggered. ISRG at −5.6% is still the only one within reach.</t>
  </si>
  <si>
    <t xml:space="preserve">JNJ is on the dashboard — but I put it in Healthcare, not Consumer or Robotic, and I'd push back on both of your instincts. Here's the honest reasoning:</t>
  </si>
  <si>
    <t xml:space="preserve">And one structural reason "both" doesn't work: the dashboard is one-group-per-ticker by design. Adding JNJ to two groups would make it appear twice — double-counting it in the totals, the win/loss record, and every group subtotal. Fixing that would mean rebuilding the whole grouping model for one edge case. Not worth it, and not what you'd want in the P&amp;L math anyway.</t>
  </si>
  <si>
    <t xml:space="preserve">D/E now sits in Fundamentals (after Profit margin, before Rule of 40), and KO/JNJ metrics are filled. Recalcing the workbook and deploying.</t>
  </si>
  <si>
    <t xml:space="preserve">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</si>
  <si>
    <t xml:space="preserve">TEM = Tempus AI (healthcare genomics/AI diagnostics) — fits the Healthcare group next to JNJ/UNH. Let me pull its fundamentals.</t>
  </si>
  <si>
    <t xml:space="preserve">TEM (Tempus AI) is now on all three surfaces, sitting in Healthcare alongside JNJ and UNH — as a watchlist entry, no position held.</t>
  </si>
  <si>
    <t xml:space="preserve">KO's in Consumer/F&amp;B — let me fix its metrics entry (the append missed) and move D/E to Fundamentals as you asked.</t>
  </si>
  <si>
    <t xml:space="preserve">YUM = Yum! Brands (KFC / Pizza Hut / Taco Bell) — fits the Consumer/F&amp;B group where KO sits, and it's squarely in your operator wheelhouse. Let me pull its fundamentals, then wire it into all three surfaces (dashboard, workbook, dad's link).</t>
  </si>
  <si>
    <t xml:space="preserve">Group 11 (Consumer/F&amp;B) confirmed — YUM slots in next to KO as a watchlist entry. Now let me pull YUM's fundamentals.</t>
  </si>
  <si>
    <t xml:space="preserve">YUM (Yum! Brands) is now on all three surfaces — dad's live link, the dashboard, and the workbook — sitting in Consumer / F&amp;B right next to KO, as a watchlist entry (no position held).</t>
  </si>
  <si>
    <t xml:space="preserve">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</si>
  <si>
    <t xml:space="preserve">I recovered their V/KO/PYPL data before resetting, and it makes me more concerned, not less: their prices came in V +3.0%, KO +8.7%, PYPL +3.9% above mine — all one direction, on a same-day refresh. That's the same failure signature as the job that once wrote MSFT $381 against a verified ~$421.</t>
  </si>
  <si>
    <t xml:space="preserve">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</si>
  <si>
    <t xml:space="preserve">Separate from the clobber — that job has now printed two suspicious price sets. MSFT at $381 against a verified ~$421, and this week V +3.0% / KO +8.7% / PYPL +3.9% above mine, all in the same direction on a same-day refresh. KO moving 8.7% in a day would be a headline event; it wasn't one.</t>
  </si>
  <si>
    <t xml:space="preserve">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</si>
  <si>
    <t xml:space="preserve">LITE — no. 114.7x trailing, 37.8x forward, down 21% in three sessions, and it reports August 11. Insiders sold $38.9M with literally zero buying. Three reasons to wait, one date to wait for.</t>
  </si>
  <si>
    <t xml:space="preserve">&gt; Conviction: Medium-Low. Horizon: Medium (6–24m). The datacenter optics cycle is real and Rule-of-40 at 73.6 is genuinely excellent, but $0.11B of free cash flow means this is priced on a future that hasn't shown up in cash yet. What changes my mind: a print showing free cash flow inflecting above ~$400M annualized — that converts LITE from a story into a business.</t>
  </si>
  <si>
    <t xml:space="preserve">Third — LITE at $530 or below, ~$3,700, after August 11. Last in the queue because it's the lowest-quality balance sheet of the three and it's the only one with a hard event gate.</t>
  </si>
  <si>
    <t xml:space="preserve">⚠️ Lumentum reports August 11, insiders sold $38.9M with zero buying, and the fundamentals underneath the 69% revenue growth are thin: trailing P/E 139x, free cash flow of $0.11B on $2.49B of revenue (a 566x price-to-free-cash-flow), EV/EBITDA of 127x, and debt-to-equity of 1.11. This is a story stock that has to *earn* its multiple in two weeks.</t>
  </si>
  <si>
    <t xml:space="preserve">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</si>
  <si>
    <t xml:space="preserve">| 5 | LMND | Loss ratio 78% → 62%, fewer staff | ★★★★☆ Reported | $48.31 | n/a (loss) | +27% | Medium (small, volatile) |</t>
  </si>
  <si>
    <t xml:space="preserve">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</si>
  <si>
    <t xml:space="preserve">NET is currently in Cybersecurity — I'll move it to SaaS. LMND is a genuinely new ticker, so it needs a full fundamentals record. Gathering that now.</t>
  </si>
  <si>
    <t xml:space="preserve">Two more to add. Let me resolve the LMND price conflict and research both new tickers in parallel.</t>
  </si>
  <si>
    <t xml:space="preserve">- Equity research snapshot — the flagship for you: consensus estimates vs actuals, forward estimates by quarter, fundamentals, and price performance from the same feed the sell-side uses. Sharper than free aggregators on estimate detail (EPS/revenue by period, revision momentum).</t>
  </si>
  <si>
    <t xml:space="preserve">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</si>
  <si>
    <t xml:space="preserve">The full research note is delivered — in the chat above and saved to your ClaudeCoWork/P4 folder. Four pages, six sections; read section 5 first since that's the one that answers your actual question.</t>
  </si>
  <si>
    <t xml:space="preserve">On it — Google research and the three new dashboard metrics (Price/FCF, EV/EBITDA, D/E — the ones from dad's note) in parallel. Let me grab the ticker list and kick off both.</t>
  </si>
  <si>
    <t xml:space="preserve">My stored forward PE (30.8) conflicts with the ~46× the research cited — I need the current number before setting a price trigger. Let me verify.</t>
  </si>
  <si>
    <t xml:space="preserve">Eight energy names — nuclear SMRs (OKLO, SMR, NNE), uranium (CCJ), solar/storage (TE, EOSE, ENPH) and a utility (NEE) — all into the Energy group (g=5). That's a lot of fundamentals to pull accurately, so I'll fan out the research across two agents, then wire the results in myself.</t>
  </si>
  <si>
    <t xml:space="preserve">You picked all three baskets — that's 13 fintech/platform names. Let me fan out the fundamentals research across three agents, then wire them all into the new group at once.</t>
  </si>
  <si>
    <t xml:space="preserve">What they do state. Their reference data comes via FactSet Research Systems, with SEC filings supplied by Quartr. They offer figures on three bases — fiscal year, fiscal quarter, and trailing twelve months. And they carry an explicit warning that their financial data *"may differ from that shown in corporate reports."* No update frequency is stated anywhere I could find.</t>
  </si>
  <si>
    <t xml:space="preserve">APP's print landed — and it's decisive. Launching the remaining research in parallel.</t>
  </si>
  <si>
    <t xml:space="preserve">Research is complete. Now checking field conventions before writing the two new records.</t>
  </si>
  <si>
    <t xml:space="preserve">| LUNR | Space | $12.92 | −72% | +54% | −33% | avg $41 (+216%) | Lunar-lander pure-play, pre-profit |</t>
  </si>
  <si>
    <t xml:space="preserve">| LWLG | No — $243K revenue | Reports in 5 days, no coverage | ❌ Lottery ticket |</t>
  </si>
  <si>
    <t xml:space="preserve">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</si>
  <si>
    <t xml:space="preserve">On it — three changes: THB columns on Group Summary, prominent win-rate %, and three new watchlist names. Let me pull data for MDB, OUST, ROK first.</t>
  </si>
  <si>
    <t xml:space="preserve">⚠ One flag on MDB: you asked for it under the Defense group, but MDB is MongoDB — a database-software company (71% gross margin, −1% net, Rule of 40 ~42, avg target $396 = +30%). It has nothing to do with defense; it'd sit more naturally in SaaS. I placed it in Space/Drone/Defense exactly as you asked, but say the word and I'll move it to SaaS. If you actually meant a defense-sector name, let me know which — there's no defense company trading under "MDB."</t>
  </si>
  <si>
    <t xml:space="preserve">One flag I'll repeat since it's now more visible in its own group: MDB is MongoDB, a database-software company sitting in Drone &amp; Defense only because that's where you'd placed it. It's the one member of that group with no defense connection. Happy to move it to SaaS whenever you want — just confirm.</t>
  </si>
  <si>
    <t xml:space="preserve">| MELI | $1,922.57 | +15% | ⏸️ Cheapest cash flow of the lot, but reported last night, fell 4.5%, margins down 550bps. Same timing trap as APP |</t>
  </si>
  <si>
    <t xml:space="preserve">- META is the anomaly — fattest margin in your book (81.9% GM) at one of the cheapest multiples (23.5x). That's the "cheap · fat margin ✓" corner, and it's only your 5th-largest position.</t>
  </si>
  <si>
    <t xml:space="preserve">- All 27 of your notebook metrics, digitized as a matrix (metrics as rows, stocks as columns — same layout as your handwriting) for NVDA, MSFT, GOOGL, AMZN, META, AAPL, ORCL. I verified my pulled data against your notebook and it matches nearly line-for-line: MSFT conviction +41.9% (you wrote +41%), ORCL devastation −63.4% (you wrote −63%), AAPL at ATH → "—" exactly as you marked it.</t>
  </si>
  <si>
    <t xml:space="preserve">I have partial numbers from memory (NVDA ~$43K, MSFT ~$34K, GOOGL ~$33K, AMZN ~$25K, META ~$24K position values), but those are stale and I don't have your actual cost basis, share counts, or anything for AAPL/ORCL — I won't guess on numbers that drive your P&amp;L.</t>
  </si>
  <si>
    <t xml:space="preserve">Two reconciliation notes: NVDA, MSFT, AMZN, META, AAPL match your broker statement exactly. GOOGL shows +32.2% here vs +29.3% on the statement — your broker's quote (346.77) is staler than my Jul 17 close (354.46); your own notebook's MKT row (70.183) agrees with mine. ORCL differs by 7 cents of price. Nothing to fix — the weekly refresh will keep converging both.</t>
  </si>
  <si>
    <t xml:space="preserve">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</si>
  <si>
    <t xml:space="preserve">- VST $160 and META $600 — the quality names in the ~4% zone. These I'd happily set as GTC limits; a normal down day in an earnings-heavy week (META reports Jul 30) could fill either.</t>
  </si>
  <si>
    <t xml:space="preserve">If you want *one* order working today, make it META at $600 — best business of the three, and its Jul 30 print is the kind of event that can hand you the 4% dip. Set it GTC, size it to your Hyperscaler budget room, and let it sit.</t>
  </si>
  <si>
    <t xml:space="preserve">Found it — META (fell to $606.10 post its own capex read) was in the statement but I missed it in my price map. Fixing.</t>
  </si>
  <si>
    <t xml:space="preserve">If you're determined to deploy cash today, the only name I'd consider relaxing the limit on is META — it's the highest-quality business on the list, it's a mere $6.40 (1.1%) above dad's line, and you already own it at a good cost basis so this would just be an add. But even there I'd put a limit at $600 and wait for the intraday dip rather than pay $606 at market.</t>
  </si>
  <si>
    <t xml:space="preserve">Conviction: High (on "wait") · Horizon: Immediate · What changes my mind: META prints &lt; $600, NVDA &lt; $200, or you correct one of the three ambiguous limits above and it turns out something's already through.</t>
  </si>
  <si>
    <t xml:space="preserve">The whole book took the AI-capex hit today, not just Google. META dropped to $606 (−8.7% unrealized now — it reports Jul 30 and the market's pricing the same capex fear), MSFT $381, NVDA $208. This is the rotation I described playing out in real time: the hyperscalers footing the AI bill got sold. Your semis/infra names held up better (AMD $540, MU $990, TSM $416, AVGO $392), which is the portfolio hedge working — you own both sides.</t>
  </si>
  <si>
    <t xml:space="preserve">⚠️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</si>
  <si>
    <t xml:space="preserve">The winners carrying the +11.61%: AMD (+97%), AMAT (+115%), INTC (+103%), PANW (+86%), CRWD (+84%), LRCX (+56%). The drags: MSFT (−13.5%, −$6,850 — your single biggest dollar loss), META (−10.6%, −$3,933), ORCL (−27.9%), ISRG (−18.7%), TSLA (−28%). MU is now +49% and sitting at $900 after dad's $869 add — nice timing confirmed.</t>
  </si>
  <si>
    <t xml:space="preserve">META — do not buy today. It reports tonight, July 29, after the close. Implied move is ~±7%. Buying this afternoon is not investing, it's a coin flip on one number: capex. FY26 guidance is $125–145B and only $19.84B was spent in Q1, so the back-half number is enormous and unresolved. Remember the last print — Meta *beat* and still fell 8.55%, purely because of the capex raise. Wait for the tape tomorrow. If it sells off on spending and the business is intact, that's the better entry, and dad still has $12,810 of unused META budget to do it with.</t>
  </si>
  <si>
    <t xml:space="preserve">First — META $560 and $535 (~$8,760). Highest conviction, cheapest on cash flow, and the catalyst is tonight, so it's the first band that can realistically fill. This gets funded before anything else.</t>
  </si>
  <si>
    <t xml:space="preserve">⚠️ Hard ceiling: do not add above $600. Here's why that number and not a rounder one — Meta's trailing free cash flow is $48.25B while capex is $75.75B. The company is now spending 1.57x its free cash flow on capital investment. That's a defensible bet on AI infrastructure, but it means the multiple has to *compress* to reflect the fact that cash is going out the door faster than it comes in. Paying 20x+ forward for that is paying growth-stock prices for a company in its heaviest-investment phase.</t>
  </si>
  <si>
    <t xml:space="preserve">The practical consequence: META is already inside the band I told you to wait for. I said 17–18x forward was attractive and named $560 and $535. At $585.61 it is trading at 17.75x — the multiple got there via *both* a lower price and higher estimates, without needing the $560 print. Revised ladder on the new $32.99 forward EPS:</t>
  </si>
  <si>
    <t xml:space="preserve">&gt; Recommendation: no, don't buy MSFT at market today. Work a limit at $402 for 22 shares (~$8,844), which closes the $60,000 MSFT budget almost exactly. And META goes first.</t>
  </si>
  <si>
    <t xml:space="preserve">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</si>
  <si>
    <t xml:space="preserve">Conviction: META first, High. MSFT at market for the remaining budget, Medium-High. What would change my mind: META guiding 2027 capex above ~$135B without a Reels/AI revenue line to match — that's the number that turns the discount into a value trap.</t>
  </si>
  <si>
    <t xml:space="preserve">TradingView itself gave me a wrong number. I pulled its META page and it reported $646.01. That is not the price. TradingView's page is built by JavaScript in a live browser, so when a tool fetches the raw page it gets whatever placeholder happens to be sitting in the file — not what you'd see on screen. Confirmed my earlier answer, just for a reason I hadn't spelled out.</t>
  </si>
  <si>
    <t xml:space="preserve">The covered 11 are your biggest by value — NVDA $78.4K, GOOGL $68.4K, MSFT $51.0K, AMZN $47.6K, TSM $41.5K, META $30.2K, AMD $26.7K, AAPL $15.3K, PLTR $4.9K, INTC $4.1K, TSLA $3.1K. That's why the dashboard looked fine for a while: the fat end of the book kept updating.</t>
  </si>
  <si>
    <t xml:space="preserve">That's what happened. TradingView ships the page with the price left blank, to be filled in live once the page is running. What I read was leftover junk sitting in the box. $646.01 was never Meta's price — it was a number that happened to be lying in the file.</t>
  </si>
  <si>
    <t xml:space="preserve">Dashboard note 680b95b</t>
  </si>
  <si>
    <t xml:space="preserve">Jul 30, 2026 · close (23 tickers refreshed via FMP; remainder Jul 29 close — data source limited) — fundamentals refreshed Jul 30 (post-earnings: MSFT · META-week reporters)</t>
  </si>
  <si>
    <t xml:space="preserve">Meta Ads needs you to authorize it in your Claude connector settings before I can touch it. Unrelated to this task, just noting it.</t>
  </si>
  <si>
    <t xml:space="preserve">4. Your own brokerage statement. Eight mega-caps — AAPL, AMZN, NVDA, MSFT, GOOGL, META, TSM, AVGO — matched the POEMS screen exactly, to the penny, on all three sources. That's the calibration that says the method works.</t>
  </si>
  <si>
    <t xml:space="preserve">*(MU, APP, META, TSM are live Aug 3 quotes; the rest are Friday Jul 31 closes.)*</t>
  </si>
  <si>
    <t xml:space="preserve">META is arguably the *better business case* on this list — and today is the wrong day to pay for it.</t>
  </si>
  <si>
    <t xml:space="preserve">That is a genuine, durable re-rating catalyst. It's also 6% of upside that the market took this morning while Bangkok was asleep. At $591 META still trades at just 17.6× forward earnings — the cheapest of any mega-cap on Dad's list, and cheaper than the S&amp;P 500 average — with an analyst target of $762 (+29%).</t>
  </si>
  <si>
    <t xml:space="preserve">| Limit order | META @ ~$556–565 | Cheapest mega-cap multiple; don't chase today's +6% gap | High / Medium on entry |</t>
  </si>
  <si>
    <t xml:space="preserve">But *why* it fell 47% is the whole story: a short-seller attack alleging weak anti-money-laundering controls, Google launching an AI game-creation platform that threatens the mobile-gaming ecosystem APP advertises into, and Meta moving to compete for the exact iOS ad traffic APP dominated. Two of the largest companies on earth walking into your lane is not a valuation problem — it's a business-model question.</t>
  </si>
  <si>
    <t xml:space="preserve">Thursday's earnings report is the referendum on that question. Buying Monday instead of Thursday is choosing to flip a coin you don't have to flip. Waiting 48 hours costs nothing; it just removes the guess. If the numbers show the growth surviving Google and Meta, it'll still be cheap on Friday — and you'll be buying with the answer in hand instead of hoping.</t>
  </si>
  <si>
    <t xml:space="preserve">Then this morning Meta announced it will rent out its spare AI computing power — an internal project called "Meta Compute." That single announcement reframes the entire capex story: what looked like a bottomless cost turns into a potential revenue business alongside AWS and Azure. The stock is up 6.2% today to $591, having been as high as +10%.</t>
  </si>
  <si>
    <t xml:space="preserve">| Wait 2 days | APP | Earnings Aug 5 decides the Google/Meta threat question | High |</t>
  </si>
  <si>
    <t xml:space="preserve">One housekeeping note: the Meta Ads connector needs you to authorize it in your claude.ai connector settings before I can use it — I can't run that sign-in from here.</t>
  </si>
  <si>
    <t xml:space="preserve">Meta just gave me the cleanest data point in the entire market. Digging into the next tier.</t>
  </si>
  <si>
    <t xml:space="preserve">That is $806,000 of revenue per employee in a single quarter — roughly $3.2 million per person per year. Meta's rising cost line isn't people anymore; it's capex, $31.08 billion in the quarter on data centres. They swapped a payroll bill that grows forever for a machine bill that eventually stops growing.</t>
  </si>
  <si>
    <t xml:space="preserve">- Meta's headcount starts rising again while capex keeps climbing — that means the AI isn't substituting for people, it's an additional cost on top.</t>
  </si>
  <si>
    <t xml:space="preserve">&gt; If you buy one name today, buy META. It is the only stock on Dad's list that is *cheaper* this morning than it was last night. Every other name on the list is asking you to pay a premium for news that broke after Dad wrote the note.</t>
  </si>
  <si>
    <t xml:space="preserve">A "moat" just means: if a competitor wanted to take this business away, could they? For META the answer is still no, and the Q2 numbers actually made the case *stronger*, not weaker.</t>
  </si>
  <si>
    <t xml:space="preserve">The single cleanest piece of evidence is this. Last quarter META showed 14% more ads than a year ago — and charged 12% more for each one. Think about what that means. Normally if you flood the market with more of something, the price falls. META did the opposite: more ads *and* a higher price per ad, at the same time. That only happens when the buyers have nowhere better to go.</t>
  </si>
  <si>
    <t xml:space="preserve">The reason advertisers can't leave is that META's auction is the only place where a small business can reach a very specific person — a 34-year-old in Bangkok who just searched for gym equipment — at low cost and at that scale. Google is the only real alternative, and most advertisers use both rather than choosing.</t>
  </si>
  <si>
    <t xml:space="preserve">META is at $581.74 right now (Aug 4, 2026, 11:04 AM EDT, −1.44% today), against a 52-week high of $796.25. That's a 27% fall from the top.</t>
  </si>
  <si>
    <t xml:space="preserve">That's META. The $130–145 billion is being spent on data centres and chips for AI. Zuckerberg believes whoever has the most computing power wins the next decade, and he is spending like he means it.</t>
  </si>
  <si>
    <t xml:space="preserve">The market's objection is not "this business is broken." The objection is "you are spending our money at a rate we did not agree to, and you haven't shown us what we get back." Some analysts went further and pointed out that if spending keeps climbing, free cash flow could actually turn *negative* — meaning META would have to borrow to fund the build. That's the sentence that triggered the ~10% overnight drop after the results.</t>
  </si>
  <si>
    <t xml:space="preserve">That last row is the argument in a single number. At 17.9× next year's expected earnings, META is priced roughly like a slow, ordinary company — while growing revenue 28% and earning 82% gross margins. You are being offered a business with an intact moat at a price that assumes the moat is leaking. Even the *most pessimistic* of the 65 analysts covering it has fair value at $700, which is 20% above today.</t>
  </si>
  <si>
    <t xml:space="preserve">The honest counter-argument: the cheap multiple is only cheap if the AI spending eventually turns back into profit. If META spends $140 billion a year for three years and the revenue doesn't follow, then today's "17.9× earnings" becomes "17.9× earnings that never arrive," and the stock deserves to be here. I think that's unlikely — a company converting 82 cents of every revenue dollar into gross profit has an unusually forgiving margin for error — but it is the real risk and I won't paper over it.</t>
  </si>
  <si>
    <t xml:space="preserve">My recommendation: buy about 10 shares (~$5,820) at current levels, not the full remaining budget. You have $12,810 of room left in your $50,000 META allocation. Ten shares brings your average cost down from $664.10 to about $651.60 and gets you exposure at what I think is a good price. Hold the other ~$7,000 back for either (a) a drop toward $540, or (b) confirmation at the Q3 results in late October. Buying it all today would leave you with nothing to respond with if it falls another 10%, and given how nervous this stock is right now, that optionality is worth more than the extra shares.</t>
  </si>
  <si>
    <t xml:space="preserve">One thing the picture makes obvious that a table doesn't: the top-right quadrant of the wheel — NVDA, GOOGL, AMZN, MSFT, TSM — is 48% of your money in five names, and if you add META and AVGO it's roughly two-thirds in seven. That's a concentrated book. Not a criticism given your 2026–2030 target needs winners, but worth seeing in one glance.</t>
  </si>
  <si>
    <t xml:space="preserve">The plain-English version: imagine you walk into a market with a shopping list your father wrote yesterday. Overnight, someone announced good news about eight of the ten items, and the sellers have raised their prices accordingly. One item — Meta — is quietly marked down. Buying the marked-down item is not clever; it is just the only purchase where you are not paying for excitement you already missed.</t>
  </si>
  <si>
    <t xml:space="preserve">The dashboard's fair-value band says it is too cheap. Twenty-three analysts put Meta's reasonable range at $700 to $880. Today's price is below even the *bottom* of that band. Not one of the other nine names is below the low end of its own band.</t>
  </si>
  <si>
    <t xml:space="preserve">| What would prove me wrong | Meta is down for a real reason: last quarter revenue grew 26% but earnings grew only 7%, meaning the heavy AI spending is eating the profit. If the next quarterly report raises spending again with no revenue to show for it, $520 is the floor that matters. If it breaks $520 on heavy volume, this stops being "cheap" and starts being a value trap — and I would stop adding. |</t>
  </si>
  <si>
    <t xml:space="preserve">| Daily users | 3.6 billion | Roughly 4 in every 10 people alive open a Meta app every day |</t>
  </si>
  <si>
    <t xml:space="preserve">Changes I made from your note: MPWR moved to Energy (your note lists it there — 5K) and group 4 renamed "Memory &amp; Storage."</t>
  </si>
  <si>
    <t xml:space="preserve">- MSFT and ORCL sit almost on top of each other (~66-68% GM, ~22-23x) — the market is pricing Oracle like Microsoft on these two axes, despite wildly different FCF profiles. That's either your ORCL opportunity or the market telling you something.</t>
  </si>
  <si>
    <t xml:space="preserve">A workbook version — good call. For live prices in Excel, the realistic best is `STOCKHISTORY` (built into Microsoft 365, auto-pulls the latest close whenever you open the file) with my static last-close as automatic fallback if your Excel version doesn't support it — which is exactly your "previous day close" requirement. Let me check the spreadsheet skill first, then build.</t>
  </si>
  <si>
    <t xml:space="preserve">- Option volatility analysis — vol surfaces and Greeks; useful if you ever sell covered calls against NVDA/MSFT.</t>
  </si>
  <si>
    <t xml:space="preserve">One flag while I was pushing: a scheduled daily-refresh had written some odd watchlist prices to dad's link (MSFT showing $381 vs the ~$421 I pulled live today). My rebuild overwrote them with the reconciled figures, so the link is correct now — but you may want me to sanity-check that daily-refresh task's price source before it runs again tomorrow. Want me to look into it?</t>
  </si>
  <si>
    <t xml:space="preserve">⚠️ One thing you need to know. When I fetched to deploy, the branch head was `de9db26 "Daily price refresh Jul 28, 2026"` — the scheduled task fired and overwrote my statement-reconciled version, resetting ASOF to "Jul 28, 2026 (US close)". I reset over it, so the live page is correct now, but this is the same automated job I flagged last week for writing MSFT at $381 against a verified ~$421. It's going to clobber this reconciliation again on its next fire. That job should be pointed at the reconciled data or switched off until its price source is fixed.</t>
  </si>
  <si>
    <t xml:space="preserve">One thing I noticed and did not chase: the board carries MSFT at $393.35, but my note from the earlier incident says the verified price then was ~$421. One of those is wrong and it's a held position. Want me to reconcile it?</t>
  </si>
  <si>
    <t xml:space="preserve">On MSFT — question closed. POEMS shows $394.59 against the board's $393.35, 0.3% apart. The board was right; the "~$421" figure in my incident notes was the bad number, not the price on the page. No correction needed.</t>
  </si>
  <si>
    <t xml:space="preserve">Microsoft reported Q4 FY2026 after the close on Jul 29. The ladder's $390.54 is that day's close — pre-earnings. The stock gapped +8.9% to roughly $418–425 overnight. So "current price" isn't $390 and MSFT isn't sitting at 20% of its 52-week range any more; at $425 it's at about 37%.</t>
  </si>
  <si>
    <t xml:space="preserve">Your MSFT position: 113 sh, avg cost $449.72. At $425 you're down $2,770 (−5.5%) — the gap already repaired most of a $6,687 hole.</t>
  </si>
  <si>
    <t xml:space="preserve">What would prove me wrong: if MSFT closes above $440 on heavy volume with the 45% Azure guide intact, the gap isn't filling and I'm being clever for $500 on 22 shares — take it at market and move on. Conversely, if Q1 FY27 capex prints north of $55B or the Azure guide slips under 42%, the free-cash-flow trough extends and you'll get a better entry than $402, so don't rush the limit up. And watch those investment marks — the Anthropic and OpenAI stakes that flattered this quarter's EPS cut in both directions.</t>
  </si>
  <si>
    <t xml:space="preserve">My words last turn: *"if MSFT closes above $440 on heavy volume with the 45% Azure guide intact, the gap isn't filling and I'm being clever for $500 on 22 shares — take it at market and move on."*</t>
  </si>
  <si>
    <t xml:space="preserve">MSFT printed $451.10. The $402 limit is dead — it never came close. The position went from −$6,687 (−13.2%) to +$155.86 (+0.31%) in one session, and dad's 113 shares are now above water. I was right on the business and wrong on the entry, which is the more expensive of the two errors to make. Conviction on waiting: withdrawn.</t>
  </si>
  <si>
    <t xml:space="preserve">| 3 | MSFT | $500m saved; 30% of code AI-written | ★★★★☆ Executive stated | $481.90 | 23.6× | +17% | Medium-High |</t>
  </si>
  <si>
    <t xml:space="preserve">Judson Althoff, Chief Commercial Officer, on record: Microsoft saved approximately $500 million in its call centres alone using AI. Nadella: 30% of Microsoft's code is already written by AI.</t>
  </si>
  <si>
    <t xml:space="preserve">Q4 operating margin 45.1%. Azure +43%. Microsoft 365 Copilot passed 30 million paid seats — which makes Microsoft both an applier *and* a seller.</t>
  </si>
  <si>
    <t xml:space="preserve">MSFT Aug 3 close = $487.65 — exactly the POEMS figure. Confirming with two more.</t>
  </si>
  <si>
    <t xml:space="preserve">- MU is the single best trade on the sheet: +187.7% YTD, +51% on your position, and the Street's $1,486 avg target still implies +75% — though at these levels I'd treat that target with healthy skepticism; memory cycles cut both ways.</t>
  </si>
  <si>
    <t xml:space="preserve">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</si>
  <si>
    <t xml:space="preserve">Good — then let's mirror the selling machine on the buy side. Same philosophy: you decide the *what*, we engineer the *how*, and automation removes emotion from the *when*. Using MU as the live example, here's the full support stack:</t>
  </si>
  <si>
    <t xml:space="preserve">1. Pre-buy brief (before any order exists). You say "I'm thinking of adding MU" and I produce a one-page decision brief within minutes: current valuation vs its own history (MU today: 19x trailing, 5.9x forward, PEG 0.03 — cheap *if* the estimates hold, which is always the catch with memory), analyst revision direction (the Street's been chasing it *up* — avg target $1,486, +72% above price), the next earnings date (the single most important calendar item — memory stocks routinely move ±10% on results; I'll pull the exact date when we build the real plan), and the bear case stated plainly — MU is a cyclical that's already +188% YTD; every memory supercycle in history ended with people explaining why "this one's different." The brief ends with my honest read and conviction level, not a menu.</t>
  </si>
  <si>
    <t xml:space="preserve">2. Budget check (automatic). The dashboard already knows your ceiling: MU budget $30K, deployed $15.4K → $14.6K of sanctioned room. Any plan I draft fits inside that — the allocation you wrote in your notebook becomes the hard constraint, so a good story never talks you into an oversized position.</t>
  </si>
  <si>
    <t xml:space="preserve">4. The buy-watch (same 20:45 rhythm). Once you approve a plan, I add the levels to the evening note: "MU $792 — inside tranche-2 zone, check your fill," "⚠ earnings in 3 trading days — plan says pause new buys until the print," "⚠ consensus target cut 8% this week — invalidation review before deploying reserve." And the Monday Street-signals report already tracks MU's revisions, so the thesis gets re-tested weekly without you asking.</t>
  </si>
  <si>
    <t xml:space="preserve">Want me to build the real MU buy plan now — exact earnings date, fresh revision check, tuned levels — or park the template until you're ready to deploy?</t>
  </si>
  <si>
    <t xml:space="preserve">On it — pulling fresh MU data first (the market's open right now, so these are live numbers):</t>
  </si>
  <si>
    <t xml:space="preserve">There's a certain elegance to tonight's setup worth naming 💡: you're selling two speculative names into strength and redeploying into your highest-conviction winner on a pullback — trimming the lottery tickets to feed the compounder, exactly what your own budget allocation said to do before any of us looked at a chart. If all six orders eventually fill, roughly $8.5K exits the To-Be-Sold bucket and $9.8K goes to work in MU, all inside your written plan.</t>
  </si>
  <si>
    <t xml:space="preserve">Report fills as they happen and I'll keep the book true. And one standing caveat, fund manager to fund manager: plans written at 15:00 get tested at 20:31 — if MU gaps hard either way at the open, tonight's 20:45 note will tell you whether the levels still make sense or need a fresh look before you chase anything.</t>
  </si>
  <si>
    <t xml:space="preserve">Your two orders tonight: BUY 6 MU @ limit $860 GTC · BUY 6 MU @ limit $780 GTC — that's it. The third tranche (~6 sh at ~$700) deliberately has *no* order; it waits for my ⚠ signal confirming the thesis is intact if price ever gets there.</t>
  </si>
  <si>
    <t xml:space="preserve">Standing rules: cancel unfilled nets if MU closes below $650 or estimates turn down · no new buying within 5 days of fiscal Q4 earnings (~late Sept, exact date being confirmed by the watch) · everything fits inside your $14.6K budget room.</t>
  </si>
  <si>
    <t xml:space="preserve">2. The comp table cuts both ways: SK Hynix and Samsung trade at 5-6x forward vs MU's ~12x. MU's premium buys you the only NASDAQ-listed pure play and the only US-domiciled supplier — defensible, but it means MU has the most multiple to lose if Samsung's yields fix and supply floods.</t>
  </si>
  <si>
    <t xml:space="preserve">The one thing I'd stop you from doing is market-buying at the open because you're feeling eager — if MU gaps up to $890-900 at 20:30, chasing it erases the whole point of buying a pullback. The limit at $860 enforces the discipline your feelings won't: it buys weakness automatically and *cannot* chase strength. If tonight runs away without filling — fine; you already own 27.45 shares enjoying the ride, and the order keeps working every session after.</t>
  </si>
  <si>
    <t xml:space="preserve">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</si>
  <si>
    <t xml:space="preserve">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</si>
  <si>
    <t xml:space="preserve">| BUY MU 2 sh @ $921.01 | Avg cost now $585.20 on 29.45 sh — MU closed $970.82 (+12.2% day), unrealized +65.9% | — |</t>
  </si>
  <si>
    <t xml:space="preserve">| 5 | MU cost | $17,242.60 | $17,234.04 | +$8.56 — commission/fees on the +2 sh fill; avg cost is $585.49, not $585.20 |</t>
  </si>
  <si>
    <t xml:space="preserve">First, let me challenge the premise slightly, because it matters for sizing: GlobalWafers is a *supplier to* Micron, but not *the* key supplier. It's the world's #3 silicon wafer maker (~15–17% share) behind Shin-Etsu (~30%) and SUMCO (~20%+), and Micron multi-sources wafers across all of them under long-term agreements. Raw silicon is also only a small slice of a chip's cost — so GlobalWafers gives you *volume* exposure to the fab buildout, not the pricing power you own through MU.</t>
  </si>
  <si>
    <t xml:space="preserve">&gt;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</si>
  <si>
    <t xml:space="preserve">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</si>
  <si>
    <t xml:space="preserve">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</si>
  <si>
    <t xml:space="preserve">One honest caveat on the earnings task: it runs unattended and edits live data, so I built it conservatively — it only touches tickers that clearly just reported, never changes your positions or cost basis, and won't push unless the dashboard builds error-free. If a company's data page is formatted oddly and the scrape looks off, it'll defer to you rather than guess. You'll see MU next (it's on your book and reports around late September); the first real test will be whichever holding reports next this week.</t>
  </si>
  <si>
    <t xml:space="preserve">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</si>
  <si>
    <t xml:space="preserve">&gt; `Transaction In` row 61 — the MU lot (5 sh @ $365) has Commission (L61) = $58.56, while every other MU lot is $8.56. That extra $50 is MU's *entire* $50.00 drift. It looks like a fat-finger (an extra "5" in the commission).</t>
  </si>
  <si>
    <t xml:space="preserve">Fix: set L61 = 8.56 (or reduce J61 by $50). MU then ties to POEMS exactly. This is the one I'd correct with confidence.</t>
  </si>
  <si>
    <t xml:space="preserve">Bottom line: all fixes happen in `Transaction In`, columns G / L (price / commission). MU row 61 is the guaranteed win; the rest are small commission trims. Once done, your MAIN_2 "Total Investment" drops by $254 and ties to POEMS — and to my dashboard — to the cent.</t>
  </si>
  <si>
    <t xml:space="preserve">The only open item waiting on you is the `Transaction In` cleanup — MU row 61 is the guaranteed $50 fix, plus the small commission trims on the other five. Whenever you're back, just send the day's POEMS screenshot and I'll pick it up from there. 📊</t>
  </si>
  <si>
    <t xml:space="preserve">2026-07-27</t>
  </si>
  <si>
    <t xml:space="preserve">Dad's list (buy-below limits) with a note: "Prefer ③ or ⑥" (TSM or MU) and "Check Claude 1–6." Let me pull live prices for all six against his limits.</t>
  </si>
  <si>
    <t xml:space="preserve">Live prices are in, and one number needs resolving before I answer — MU came back conflicting ($920.95 vs $874), and MU is dad's preferred #6, so whether it's under his $900 limit is the whole question. Let me nail it.</t>
  </si>
  <si>
    <t xml:space="preserve">Only one name is actually at its limit today: ONDS. Both of dad's preferred picks (TSM ③, MU ⑥) are still above their lines — though MU is close after a rough day.</t>
  </si>
  <si>
    <t xml:space="preserve">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</si>
  <si>
    <t xml:space="preserve">⚠️ One data flag that could flip this — verify MU on your own POEMS screen before doing anything. My sources disagreed on MU: Google Finance shows $920.95 (Jul 24 close, $939 pre-market), but stockanalysis.com flashed $874. If POEMS shows MU *under $900*, then dad's preferred pick is already triggered and MU is your unambiguous buy today. If it shows ~$920, hold the limit and wait.</t>
  </si>
  <si>
    <t xml:space="preserve">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</si>
  <si>
    <t xml:space="preserve">That settles it. MU at $869 is through dad's $900 line — buy MU (his preferred ⑥). 🎯</t>
  </si>
  <si>
    <t xml:space="preserve">That's the clean setup: it's the *only* quality name on the sheet that's both triggered and dad's own pick, and $869 means it's now ~$31 (3.5%) below his limit, not a hair's-breadth call. MU has dropped ~12% from the ~$990 it was at last week, so you're buying a genuine pullback in the memory-supercycle name, not chasing.</t>
  </si>
  <si>
    <t xml:space="preserve">&gt; Recommendation: Buy MU today. Dad's ⑥, at $869 vs his &lt;$900 limit — confirmed trigger. Conviction: High.</t>
  </si>
  <si>
    <t xml:space="preserve">Ranking-wise it beats the only other trigger (ONDS at $7.80) on every axis that matters — MU is a real, profitable business riding the HBM/AI-memory cycle; ONDS is an $8 speculative drone micro-cap. If you only make one buy today, it's MU.</t>
  </si>
  <si>
    <t xml:space="preserve">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</si>
  <si>
    <t xml:space="preserve">Dad's MU buy filled — 2 sh @ $869.16 — and the cash screenshot ties out beautifully to my prior reconciliation. Let me confirm the MU cost basis before I update.</t>
  </si>
  <si>
    <t xml:space="preserve">Reconciled to the cent — POEMS live cash = my prior $21,250.49 + the $39.18 ORCL dividend. Now booking the MU fill (trade-date, same as NVDA).</t>
  </si>
  <si>
    <t xml:space="preserve">MU fill booked and everything reconciled — dashboard, workbook, and dad's link all updated.</t>
  </si>
  <si>
    <t xml:space="preserve">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</si>
  <si>
    <t xml:space="preserve">Good discipline on this one, Salee — dad wanted #6, the price came to his limit, and you executed at $869.16, a full ~12% below where MU was trading last week. That's the buy-list working exactly as designed: patience got you a better entry than chasing.</t>
  </si>
  <si>
    <t xml:space="preserve">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</si>
  <si>
    <t xml:space="preserve">⚠️ Salee — before anything else: this is a memory crash day. KOSPI closed −10.84% with a circuit breaker, SK Hynix −14.65% in Seoul, MU −9.75% right now. Let me finish the board update and then give you the answer.</t>
  </si>
  <si>
    <t xml:space="preserve">&gt;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</si>
  <si>
    <t xml:space="preserve">4. Salee มี memory exposure อยู่แล้วผ่าน MU ($18,989 cost) — ซื้อ SKHY วันนี้คือเพิ่ม bet ก้อนเดิมตอนที่มันกำลังแตก</t>
  </si>
  <si>
    <t xml:space="preserve">ผมต้อง flag เรื่องนี้ MU ตอนนี้ revenue โต 167% YoY, net margin 55.91% — ตัวเลขระดับนี้ไม่มีทางยั่งยืน และ CXMT กำลังจะเอากำลังผลิตที่รัฐจีนหนุนเข้าตลาด กำไร +$6,562 (+34.6%) ที่มีอยู่คือกำไรจริงที่ยังไม่ realize</t>
  </si>
  <si>
    <t xml:space="preserve">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</si>
  <si>
    <t xml:space="preserve">&gt; Don't buy SKHY. If you want more memory-cycle exposure, add to MU or open STX — same thesis, no 20% toll.</t>
  </si>
  <si>
    <t xml:space="preserve">You already hold MU (31.45 sh, cost $18,989, now $820.53) giving you ~$25.8K of memory beta in that exact group. Cash is $19,542.79 and pre-settlement — the NVDA buy clears Jul 30. Spending it on the most expensive wrapper for a thesis you already own is the wrong trade twice over.</t>
  </si>
  <si>
    <t xml:space="preserve">The MU buy is logged. 2 shares at $828.6263 = $1,665.81, contract 396719/400/01, settling Aug 3. That takes you to 33.45 shares at an average cost of $617.4975, and MU is now sitting on roughly +$6,875 unrealized. Budget left on the MU line: $9,344.71.</t>
  </si>
  <si>
    <t xml:space="preserve">MU is the closest name to Dad's limit (+8.8%) — and that's precisely what makes it dangerous. Micron trades at 5.7× forward earnings. That looks absurdly cheap next to everything else on the list.</t>
  </si>
  <si>
    <t xml:space="preserve">It's like a durian orchard in a year when a storm wiped out everyone else's crop. Your profits are enormous and your "price to earnings" looks tiny. But those earnings are the storm, not the orchard. MU is up 179% this year yet already down 35% from its June high — that shape is what a cycle top looks like while it's forming. Salee is already up 33% on the existing 33 shares. I'd hold, not add.</t>
  </si>
  <si>
    <t xml:space="preserve">| Hold, don't add | MU | 5.7× forward is a cycle-peak signal, not a bargain | Medium-High |</t>
  </si>
  <si>
    <t xml:space="preserve">Here's the thing about memory chip companies: *they look cheapest at the exact moment their profits are about to peak.* Micron's gross margin right now is ~85%, near an all-time record, because memory is in desperately short supply. The market isn't stupid — a single-digit multiple is the market saying "we don't believe these earnings last." Meanwhile China's CXMT is adding conventional DRAM capacity, and Micron itself has committed $250bn+ of new plants through 2035. More supply eventually meets the same demand.</t>
  </si>
  <si>
    <t xml:space="preserve">AI sellers make money when *other people* buy AI. Nvidia, TSMC, Micron. When AI spending slows, their revenue slows. You already own a lot of this.</t>
  </si>
  <si>
    <t xml:space="preserve">MU (+5.8%) and SNDK (+8.6%) — riding the same memory-chip rally. Micron is your third-best performer already (+34%). Both fine businesses, both up strongly this morning. Nothing wrong with them; just not today.</t>
  </si>
  <si>
    <t xml:space="preserve">| Sell 13 NBIS, limit $183.00, GTC | "Sell half my NBIS near today's price" (locks in ~+28%) |</t>
  </si>
  <si>
    <t xml:space="preserve">| Sell 14 NBIS, limit $198.00, GTC | "Sell the rest only if it runs toward $200" |</t>
  </si>
  <si>
    <t xml:space="preserve">What the exact numbers changed versus my earlier rounded estimates: I now have the two-lot NBIS exit split correctly (13 sh +$640.88, 14 sh +$763.64 = +$1,404.52), and every other line matched within a dollar. Here's how lifetime realized P&amp;L distributes across your groups:</t>
  </si>
  <si>
    <t xml:space="preserve">&gt;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</si>
  <si>
    <t xml:space="preserve">| NET | Cloudflare | $262.15 | 202 | 4.69 | +34% | −4% | 47 | Fastest growth, wildest valuation ⚠️ |</t>
  </si>
  <si>
    <t xml:space="preserve">⚠️ NET (Cloudflare) is the one to be clear-eyed about — 202× forward P/E and an EV/EBITDA of ~860×. That's not a typo; it's what happens when a company has a $93B enterprise value and almost no EBITDA. Cloudflare is a genuinely great growth business (+34%, expanding into AI-inference at the edge), but at 40× *sales* the market has priced in years of flawless execution. Any growth stumble and there's a very long way to fall. It's the single most expensive name in your entire 100-stock book on almost every multiple. Momentum bet, not a value one.</t>
  </si>
  <si>
    <t xml:space="preserve">- NVDA's 74% margin at 31x looks expensive until you remember the PEG of 0.46 — growth is doing the work the multiple can't show on this map.</t>
  </si>
  <si>
    <t xml:space="preserve">The gap and the fix: between Mondays, a big move — say NVDA drops 8% on a Wednesday — would show in the tape but *not* in your G/L or conviction numbers. That's a real blind spot for a $625K book.</t>
  </si>
  <si>
    <t xml:space="preserve">What you'd actually gain over the current stack once connected, concretely for NVDA:</t>
  </si>
  <si>
    <t xml:space="preserve">1. Try connecting Daloopa first — you already have its full skill suite installed here (DCF, comps, earnings reviews, guidance trackers, bull/bear frameworks). Daloopa is hedge-fund-grade fundamentals extracted from filings — every line item, historical, clean — and unlike LSEG it has accessible entry tiers for individuals. Same path: Settings → Connectors → search Daloopa in the directory (one housekeeping note: your Claude settings currently have connector *suggestions* disabled, which is why I can't push you a connect button directly — browse the directory manually or flip that toggle on). Once connected, say `daloopa:setup` here and I'll verify the pipe, then run a real DCF or earnings-prep on NVDA before its next report.</t>
  </si>
  <si>
    <t xml:space="preserve">🎯 My recommendation (Conviction: High): connect FMP + Daloopa now; chase LSEG through your broker in parallel. FMP gives your *whole book* consistent API-grade data — and critically, once it's connected I'll rewire the daily and Monday refresh tasks to pull from the API instead of scraping web pages: faster, more reliable, and estimate revisions come native. Daloopa covers the deep-dive layer (I'd start with an earnings-prep on NVDA before its next report). If LSEG credentials ever materialize, it slots in on top for Pillar 3 fixed income, where nothing else here competes.</t>
  </si>
  <si>
    <t xml:space="preserve">One immediate fruit from the first API pull worth registering 📊: NVDA's analyst floor moved from $180 to $218 and consensus from ~$302 to $319 — upward revisions on your largest position, with the stock at $203 still sitting *below the lowest target on the Street*. Monday's note will tell you whether that's a trend or a blip.</t>
  </si>
  <si>
    <t xml:space="preserve">- Dashboard matrix: new row 3b "Budget remaining ($)" right under cost — green `+$8,518` (NVDA: room to add), red `−$10,630 over` (ORCL)</t>
  </si>
  <si>
    <t xml:space="preserve">NVDA is showing conflicting quotes ($197 vs $235) — that's the borderline name against dad's limit, so let me nail it down.</t>
  </si>
  <si>
    <t xml:space="preserve">The composite below weights growth (30%), quality/returns (25%), margins (15%), and valuation-adjusted-for-growth (30%). NVDA scores +1.64; the next name is +0.52.</t>
  </si>
  <si>
    <t xml:space="preserve">The rare thing here is that the *fastest-growing, highest-quality* name is also the *cheapest on growth-adjusted valuation*. NVDA grows revenue +71% and EPS +111%, earns a 105% return on invested capital, runs a 63% net margin, posts a Rule of 40 *(revenue growth + FCF margin)* of 118 — nearly 3× the "great business" threshold of 40 — and still trades at a 0.46 PEG *(price/earnings-to-growth; under 1.0 means you're paying less than a point of P/E per point of growth)* and a 20× forward P/E, the second-lowest on the whole list. On the numbers alone, that combination doesn't exist anywhere else on dad's sheet. It's the textbook "growth at a value price."</t>
  </si>
  <si>
    <t xml:space="preserve">Runner-up worth naming: TSM. It's the cleanest value on the board — cheapest forward P/E (18.8), lowest EV/EBITDA (18.5), 50% net margin, ROIC 55% — and it's the foundry NVDA physically depends on, so you get most of the same AI tailwind with less single-company risk.</t>
  </si>
  <si>
    <t xml:space="preserve">⚠️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</si>
  <si>
    <t xml:space="preserve">Conviction: High that NVDA leads on fundamentals · Horizon: Long (&gt;24m) · What would prove me wrong: forward numbers here embed enormous expectations — a hyperscaler capex pause, a Blackwell/Rubin demand air-pocket, or China export escalation would compress that +71% growth fast, and at that point the 20× forward P/E re-rates *up* (E falls) rather than staying cheap. That's the whole risk in one sentence: NVDA is cheap only if the growth is real.</t>
  </si>
  <si>
    <t xml:space="preserve">Want me to pull the actual latest earnings-print details on NVDA and TSM to confirm these snapshots are current before you act?</t>
  </si>
  <si>
    <t xml:space="preserve">You've deployed 89.4% of the NVDA line. At the current ~$208, the remaining $8,518 buys roughly 40 more shares before you hit the $80K cap.</t>
  </si>
  <si>
    <t xml:space="preserve">1. On market value, NVDA is already at the cap. Cost basis is $71.5K, but the position is *worth* ~$80K right now (383 × $208 ≈ $79,955). So the $8.5K "room" only exists because the budget is measured against cost, not market value. If your mental cap is "no more than $80K of NVDA exposure," you're effectively already there — adding $8.5K pushes NVDA to ~$88K of live exposure, ~10% over the intended ceiling.</t>
  </si>
  <si>
    <t xml:space="preserve">2. It's still your single most concentrated name. This is the same flag from the fundamentals question: NVDA is the best business on dad's list *and* already the biggest position. Filling the last $8.5K is defensible on conviction, but it's adding to the one bet that's already largest.</t>
  </si>
  <si>
    <t xml:space="preserve">| NVDA BUY | +9 sh @ $211.06 (limit $211.50, filled) → 392 sh total, avg cost now $187.22 incl. fees |</t>
  </si>
  <si>
    <t xml:space="preserve">⚠️ On the cash number — deliberate mismatch you'll notice. Your POEMS "Cash Balance (Live)" screenshot still shows $23,158.59, but I set the dashboard to $21,250.49. That's not an error — POEMS hasn't *settled* the NVDA buy yet (T+2, ~Jul 29), so it hasn't debited the ~$1,908 from live cash. I use trade-date accounting instead: the moment the trade is Done, I move the cash into the position. If I left cash at $23,158 *and* added the shares, the "Net capital invested" card would falsely jump ~$1,900 as if dad wired in new money — he didn't, he used existing cash. The two figures converge once POEMS settles on ~Jul 29.</t>
  </si>
  <si>
    <t xml:space="preserve">วันนี้ KOSPI ปิด −10.84% โดนทั้ง sidecar และ circuit breaker หยุดเทรด 20 นาที ต่ำสุดตั้งแต่เมษายน สาเหตุ: CXMT (ผู้ผลิต DRAM รายใหญ่ของจีนที่รัฐหนุน) เข้า IPO → ตลาดกลัว supply glut ในหน่วยความจำ บวกกับข่าว NVDA ค้ำสัญญาเช่า data center ของ OpenAI ถึง $250B ที่จุดชนวนความกลัวเรื่อง *circular financing* (การที่ผู้ขายชิปเอาเงินไปอุดหนุนลูกค้าให้กลับมาซื้อชิปตัวเอง)</t>
  </si>
  <si>
    <t xml:space="preserve">💡 คำตอบ: ตั้ง limit order NVDA ที่ $190.00 — ไม่ซื้อ market วันนี้ และห้ามแตะ SKHY</t>
  </si>
  <si>
    <t xml:space="preserve">Order นี้สวยตรงที่มัน ใช้ budget NVDA ที่เหลือให้หมดพอดี — ถ้าไม่ fill วันนี้ก็ไม่เสียอะไร</t>
  </si>
  <si>
    <t xml:space="preserve">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</si>
  <si>
    <t xml:space="preserve">ผมแนะนำให้ตั้ง limit ที่ $190.00 จำนวน 34 หุ้น คุณพ่อไม่เอาด้วย ตั้งที่ $196 ได้ฟิลที่ $195.895 × 10 หุ้น เวลา 22:41:11 — และ NVDA ปิดที่ $197.01 โดยไม่เคยลงไปแตะ $190 เลยแม้แต่ครั้งเดียว ถ้าทำตามผม วันนั้นคือ ไม่ได้ของ ผมอ่าน memory selloff ว่าจะลากราคาลงต่อ แต่ NVDA เด้งจาก $193.94 กลับขึ้นทั้งวัน — ผมมองผิด คุณพ่อมองถูก จบ</t>
  </si>
  <si>
    <t xml:space="preserve">NVDA ปรับจาก 392 → 402 หุ้น, cost 73,389.84 → 75,357.35 ส่วนต่าง 1,967.51 = (10 × 195.895) + 8.56 ค่าคอม — และ cost รวมทั้งพอร์ตขยับเท่ากันเป๊ะ 1,967.51 แปลว่า NVDA คือรายการเดียวที่เกิดขึ้น ไม่มีเทรดอื่นแอบอยู่</t>
  </si>
  <si>
    <t xml:space="preserve">เงินสด คงที่ที่ $19,542.79 ตามที่ statement แสดง — ยังเป็นยอดก่อน settlement (T+2) ค่าซื้อ NVDA จะหักออกจริงวันที่ 30 ก.ค.</t>
  </si>
  <si>
    <t xml:space="preserve">Budget NVDA เหลือ headroom $4,642.65 ($80,000 − $75,357.35) — ยิงได้อีกราว 23 หุ้นที่ราคาปัจจุบัน</t>
  </si>
  <si>
    <t xml:space="preserve">First, I own the miss. I recommended a $190.00 limit for 34 shares. Dad ignored me, set his limit at $196, and got filled at $195.895 × 10 shares at 22:41:11. NVDA closed at $197.01 and never traded down to $190 all session. My call would have produced zero fill. I read the memory selloff as having more downside to run; NVDA bounced off the $193.94 intraday low and climbed all day. He was right, I was wrong.</t>
  </si>
  <si>
    <t xml:space="preserve">NVDA moved 392 → 402 shares, cost 73,389.84 → 75,357.35. The delta of 1,967.51 equals (10 × 195.895) + 8.56 commission exactly, and total book cost moved by that same 1,967.51 — which proves the NVDA fill was the *only* position change. No hidden trades.</t>
  </si>
  <si>
    <t xml:space="preserve">Cash stays at $19,542.79 — that's the pre-settlement figure; the NVDA purchase hits on T+2 (Jul 30). NVDA budget headroom is now $4,642.65 ($80,000 − $75,357.35), roughly 23 more shares at current price.</t>
  </si>
  <si>
    <t xml:space="preserve">&gt; This is a valuation gap, not a timing call. I'm not telling you to wait for a dip — I got that wrong on NVDA and dad was right to override me at $196. I'm telling you the vehicle is structurally mispriced by ~20% and no amount of patience on the *price* fixes the *premium*.</t>
  </si>
  <si>
    <t xml:space="preserve">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</si>
  <si>
    <t xml:space="preserve">`chart` works and `quote` doesn't — and NVDA $195.04 for Jul 30 ties exactly to the POEMS screen. Let me map the rest of the entitlement boundary.</t>
  </si>
  <si>
    <t xml:space="preserve">Good question — and a sharper one than "which AI stock is cheap." Let me separate two things people constantly conflate: companies that sell AI (Nvidia, TSMC) versus companies whose own cost structure and decision quality get rebuilt by deploying AI internally. You're asking about the second. Let me screen your universe properly.</t>
  </si>
  <si>
    <t xml:space="preserve">The uncomfortable part: NVDA is *already your largest position* — 402 shares, ~$88,126, 13.0% of your entire equity portfolio. And your own budget line for it ($80,000) is 94% used.</t>
  </si>
  <si>
    <t xml:space="preserve">⚠️ The honest risk: NVDA reports earnings on Aug 26 — company-confirmed, 20 days away. You are buying into the single most-watched earnings report in the market. And the SpaceX news is *already in the price* — the stock rose 3.4% on it Tuesday.</t>
  </si>
  <si>
    <t xml:space="preserve">Buy the full 21 shares of NVDA. That's the $4,643 budget headroom, and you'll still have roughly $10,000 of dry powder left over. No trimming needed.</t>
  </si>
  <si>
    <t xml:space="preserve">Two things unchanged from my earlier answer: use a limit order, not market — NVDA was ~$221.3–221.7 around 10:14 ET and it's a fast tape tonight. And don't go past 21 shares, even with the extra cash sitting there. The $80,000 budget line on NVDA exists precisely so a 13% position doesn't quietly become 16%.</t>
  </si>
  <si>
    <t xml:space="preserve">1. You have NVDA budget left. You bought 9 shares; I'd sized 21. Your $80,000 budget is now 96.7% used with $2,667.60 of headroom — about 12 more shares. No pressure to use it, and there's an argument for holding it back until after the Aug 26 earnings report. But it's there if you want it.</t>
  </si>
  <si>
    <t xml:space="preserve">- Safe Superintelligence partnership (Jul 27) — Ilya Sutskever's lab, plus an NVIDIA investment of undisclosed size. *(A Bloomberg headline said $5B; I couldn't verify it, so I'm not quoting it as fact.)*</t>
  </si>
  <si>
    <t xml:space="preserve">- NVIDIA projects $1 trillion+ of data-center spending by the big cloud companies in 2027, versus ~$650B in 2026.</t>
  </si>
  <si>
    <t xml:space="preserve">- NVIDIA Q2 FY2027 earnings date — NVIDIA Newsroom, Jul 29 2026 (https://nvidianews.nvidia.com/news)</t>
  </si>
  <si>
    <t xml:space="preserve">| NVT $162.24 | nVent Electric | Raised full-year guidance twice over on AI liquid-cooling demand; also buying back its own shares. |</t>
  </si>
  <si>
    <t xml:space="preserve">Yes — ONDS is still in your book: 200 shares, cost $2,031, worth ~$1,374 (−32.3%), sitting in Space/Drone/Defense. It just never got a budget line in your allocation note — flag it if that was an oversight or if it belongs on the exit list.</t>
  </si>
  <si>
    <t xml:space="preserve">Your list is a set of buy-below limits — most are sitting *above* your target, waiting for a pullback. Only two names are actually trading below their limit right now. Here's the whole list against last close (Jul 22, POEMS-verified; ONDS live Jul 23):</t>
  </si>
  <si>
    <t xml:space="preserve">&gt;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</si>
  <si>
    <t xml:space="preserve">Ah — that flips the answer completely, and it's the more disciplined list. Re-scoring against the corrected limits (RKLB &lt; $50, ONDS &lt; $7.50):</t>
  </si>
  <si>
    <t xml:space="preserve">- ONDS $7.50 — closest by a hair, but it's your −25% micro-cap; a $7.50 add is at least more disciplined than $8, though I'd keep it small — averaging down on a speculative drone name is how small losers become big ones.</t>
  </si>
  <si>
    <t xml:space="preserve">Dashboard baseline (Jul 24–25) shows ONDS at $7.93 — just under dad's $8 limit — but that's a few days stale and ONDS is volatile. Let me confirm all six live.</t>
  </si>
  <si>
    <t xml:space="preserve">The only name that mechanically hit its limit is ONDS at $7.80 — but that's an $8 speculative drone micro-cap, the lowest-quality name on the sheet. "It touched the limit" is not a reason to buy junk. If you want a small speculative nibble, fine, but size it like a lottery ticket, not a position.</t>
  </si>
  <si>
    <t xml:space="preserve">Nine of ten verified exactly. ONDS is the one mismatch — flagging and correcting it.</t>
  </si>
  <si>
    <t xml:space="preserve">2. Your portfolio's central risk is the AI capex supercycle — and net income can't see it. Depreciation recognizes capex years after the cash leaves. FCF margin captures it *now*. The cleanest example is ORCL:</t>
  </si>
  <si>
    <t xml:space="preserve">Same company, opposite conclusions. ORCL is borrowing to build data centers faster than it collects cash — the FCF version is the one screaming, and given the stock is −63% off its high, the market clearly agrees with the FCF version. That's the metric earning its seat.</t>
  </si>
  <si>
    <t xml:space="preserve">Worth noting what the move does to your group P&amp;L 📊: ORCL was the Hyperscalers' problem child — without it, that group improves from +6% to roughly +10% unrealized, while SaaS absorbs the −24% ORCL position and swings from −1% to about −17%. Your original notebook instinct (the "?" next to Oracle) was the right question all along — it trades like a leveraged AI-infrastructure bet, not like a mega-cap platform, and now its red ink sits with its true peers instead of hiding among the giants.</t>
  </si>
  <si>
    <t xml:space="preserve">1. ORCL is the only over-budget position: cost $15.6K vs your 5K allocation — 3x over. Combined with your earlier "?" and the −24% P&amp;L, your own allocation is telling you the answer: right-size it. (Note your summary page counts ORCL under Hyperscalers while the dashboard has it in SaaS per your instruction — budget entered either way; tell me if the group should move back.)</t>
  </si>
  <si>
    <t xml:space="preserve">Fixed — Hyperscalers now sits at the top of the table where it belongs: $250K budget, $207,443 invested, $217,706 market value, +$10,263 unrealized (+4.9%), and −$1,962 realized from the ORCL trim. Deploying.</t>
  </si>
  <si>
    <t xml:space="preserve">Both changes render correctly — ORCL now shows Realized −$1,962 and Realized % −26.8% alongside the "%" (unrealized %) column. Deploying both the Budget left ฿ and the Realized % additions.</t>
  </si>
  <si>
    <t xml:space="preserve">Realized % — added to the P&amp;L by stock table right after the Realized column. It's realized gain ÷ the cost basis of the sold lot, so ORCL reads −$1,962 / −26.8%. The existing "%" column stays as unrealized % on held shares — so each stock now shows both its paper return and, where a lot was sold, its realized return side by side. Names with no sale show "—".</t>
  </si>
  <si>
    <t xml:space="preserve">- Group map — ORCL 0 → 10. Hyperscalers drops to 5 names, SaaS rises to 10.</t>
  </si>
  <si>
    <t xml:space="preserve">- Monthly flow attribution — seven months carried ORCL buys/sells inside the Hyperscalers aggregate. I shifted each one out of group 0 and into group 10: Dec '25 $1,938.56, Jan '26 $2,016.16, Mar $3,902.97, Apr $1,874.30, May $1,919.31, Jun $3,978.30, and Jul's $5,354.25 sell with the −$1,961.73 realized. Every month still reconciles byStock → byGroup exactly, no negative residuals.</t>
  </si>
  <si>
    <t xml:space="preserve">4. ORCL is already over its cap. Its budget in the dashboard is $5,000 and you already have $8,314 in it. At $144.50 Oracle is arguably the deepest bargain on the entire list — 58% below its yearly high — but adding more means consciously raising the ceiling. Worth a separate conversation, not a casual add.</t>
  </si>
  <si>
    <t xml:space="preserve">| ORCL | $144.39 | +74% | n/a | ❌ Credit downgraded to BBB−, debt 3× equity, you're 66% over budget already |</t>
  </si>
  <si>
    <t xml:space="preserve">⚠️ One thing to be aware of on ORCL. It wasn't sitting at $5,000 — it was already at $8,313.62, which means it had blown through its old budget by 66% at some point. Raising it to $10,000 doesn't create new room so much as it makes the books honest about where you already are. You've got $1,686 of genuine headroom, not $5,000.</t>
  </si>
  <si>
    <t xml:space="preserve">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</si>
  <si>
    <t xml:space="preserve">Two names added to existing groups: RBRK (Rubrik) into Cybersecurity at $80.99, and PL (Planet Labs) into Space at $22.83. Both watchlist only, no money in them.</t>
  </si>
  <si>
    <t xml:space="preserve">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</si>
  <si>
    <t xml:space="preserve">| 6 | PLTR | $1.5m revenue/employee, NRR 150% | ★★★★★ Reported | $124.75 | 77.3× | +46% | Low (valuation) |</t>
  </si>
  <si>
    <t xml:space="preserve">PLTR (+24.5%) — this jumped because it reported results last night and commercial sales grew 149%. Wonderful business news, genuinely. But the whole gain happened in one gap before you could act. You would be buying a company priced at over 100 times its earnings, on the single most euphoric morning it has had all year. The results are real; the price you would pay today is not the price the results deserve.</t>
  </si>
  <si>
    <t xml:space="preserve">POET has no analyst coverage at all — zero analysts, so no fair-value ladder for it. Its price-to-sales ratio reads 854 and its gross margin reads 100%. Those numbers are correctly retrieved, but they're an artifact of a company with essentially no revenue yet ($1.4M). Treat both as noise, not signal.</t>
  </si>
  <si>
    <t xml:space="preserve">Two bugs fixed along the way. Building this surfaced a real crash that was already sitting in the code: the bubble chart did some arithmetic that only works when there's at least one stock with earnings to plot. Focus on a pre-revenue name like POET and that arithmetic would have produced garbage and scrambled the whole chart. It now shows "POET — no earnings yet, nothing to plot on a P/E axis" instead. Separately, a leftover "Closed / other (pre-dashboard)" row with a phantom $0 was showing up in the focused group summary; that's gone.</t>
  </si>
  <si>
    <t xml:space="preserve">It has zero analysts covering it. Not "a few" — none. So there are no price targets at all, and I left those fields blank the same way we handled POET.</t>
  </si>
  <si>
    <t xml:space="preserve">| POWL $211.38 | Powell Industries | ⚠️ Missed on both revenue and profit Aug 3. Gapped down almost 13% before recovering to close −3.8%. But new orders +158% and backlog +69%, with a book-to-bill of 3.0× — meaning it's booking three dollars of new work for every dollar it ships. Only four analysts cover it, so the price moves violently on any surprise. |</t>
  </si>
  <si>
    <t xml:space="preserve">| PWR $693.00 | Quanta Services | Beat huge on Jul 30 and raised the year — revenue +41%, backlog $53.4B. Stock jumped 13.65% that day. |</t>
  </si>
  <si>
    <t xml:space="preserve">| Deep value | PYPL | PayPal | 10 | +6% | 15% | Cheapest quality name here, off 28% |</t>
  </si>
  <si>
    <t xml:space="preserve">| RBRK $80.99 | Rubrik | Jumped 8.4% on Aug 4 when Loop Capital started covering it with a Buy and a $100 target. Still loses money and has negative shareholder equity, which is why its ROE and debt ratios show blank. |</t>
  </si>
  <si>
    <t xml:space="preserve">RKLB returned a stale cache — let me get fresh quotes for the whole list via FMP to compare each against your limits.</t>
  </si>
  <si>
    <t xml:space="preserve">If you buy RKLB today: it's a story/momentum name, so treat it as one — GTC limit around $68–69 (don't chase above last close), tranche 1 of a two-part add, keep powder for a dip toward the low $60s. Size it small; it's a call option on Neutron's first launch, not a value position.</t>
  </si>
  <si>
    <t xml:space="preserve">Two housekeeping notes: my real-time feeds are glitchy today (kept returning 2025 cache for RKLB), so confirm the live RKLB quote before you place the order — I'm anchored to the Jul 22 close. And separately, your note asks me to add D/E, Price/FCF, and EV/EBITDA to the dashboard — happy to build those three columns into the metric matrix next; just say go. ผมไม่ใช่ licensed advisor — final call is yours.</t>
  </si>
  <si>
    <t xml:space="preserve">And notably, RKLB — my pick two minutes ago under the wrong $80 number — is now the *furthest* from triggering at −28%. Good thing you caught the correction; that's exactly why the limit gets written down instead of eyeballed.</t>
  </si>
  <si>
    <t xml:space="preserve">- RKLB: 23 × 84.46 = 1,942.58, board value. The portal's printed Open Qty Cost renders ambiguously, but the total settles it — with 1,942.58 the cost column sums to 546,807.07, tying the portal's printed total to the penny.</t>
  </si>
  <si>
    <t xml:space="preserve">RKLB's quote page is serving a stale Jul 10 snapshot. Falling back to history, and seeding the remaining five.</t>
  </si>
  <si>
    <t xml:space="preserve">The numbers, through your value lens 📊: SBUX $104.81 · 80x trailing P/E falling to 38x forward (the turnaround math — EPS rebuilding from a low base) · but the Street's average target is $106 — just +1.4% from here, the *lowest* conviction of all 51 names on your board, with revenue growth of ~1%. The market has already paid the full turnaround price in advance. At 3.9% net margin and 21.9% gross, it's also a business you understand better than any analyst covering it — you run food service margins every day at Subway, so you know exactly how hard wringing profit from beans and labor is.</t>
  </si>
  <si>
    <t xml:space="preserve">Starbucks — first non-AI name on the board (spoken like a true F&amp;B operator 😄). It doesn't fit any existing group, so I'll create a "Consumer / F&amp;B" watchlist group for it. Pulling data:</t>
  </si>
  <si>
    <t xml:space="preserve">| Spec growth | SHOP | Shopify | 59 | +32% | 11% | Great biz, 84× EV/EBITDA — priced for perfection |</t>
  </si>
  <si>
    <t xml:space="preserve">SK Hynix it is — one wrinkle worth knowing upfront: it has no liquid US listing (the ADR has no data), so I'm adding it via its Korean listing (KRX 000660) with prices in Thai-friendly... Korean won ₩. All the percentages — conviction, YTD, devastation, margins — are currency-agnostic, so the analytics work perfectly; just read its price column as KRW, not USD:</t>
  </si>
  <si>
    <t xml:space="preserve">3. fwd PE 4.88x ไม่ได้แปลว่าถูก — SKHY กำไรโต 85% net margin 56.89% นี่คือตัวเลข *ยอดวัฏจักร* หุ้น commodity ที่ PE ต่ำสุดคือตอนที่กำไรสูงสุด ถ้า EPS normalize ลง 60% "4.88 เท่า" กลายเป็น 12 เท่าทันที นี่คือกับดักคลาสสิกที่สุดของ semis กลุ่ม memory</t>
  </si>
  <si>
    <t xml:space="preserve">ถ้าคืนนี้งบออกแล้วพรุ่งนี้ SKHY ยังต่ำกว่า $130 → ค่อยซื้อ ตอนนั้นเราจะรู้แล้วว่าซื้อของถูกหรือซื้อของพัง ราคาที่จ่ายแพงขึ้น 2-3% คือค่าประกันที่คุ้มมาก</t>
  </si>
  <si>
    <t xml:space="preserve">1. SK Hynix ประกาศงบ Q2 คืนนี้ 20:00 EDT (9:00 น. KST พรุ่งนี้) — อีกประมาณ 10 ชั่วโมง การซื้อหุ้นที่ราคาร่วง 14.65% วันเดียวก่อนงบออกไม่กี่ชั่วโมง ไม่ใช่การลงทุน มันคือการโยนหัวก้อย</t>
  </si>
  <si>
    <t xml:space="preserve">ส่วนคำแนะนำ SKHY ที่ผมบอกให้รอผลประกอบการ SK Hynix ก่อน — อันนั้นยังเปิดค้างอยู่ ยังไม่ได้อ่านผล</t>
  </si>
  <si>
    <t xml:space="preserve">My SKHY "wait for the SK Hynix Q2 print" call is still open — I haven't read the results yet.</t>
  </si>
  <si>
    <t xml:space="preserve">SKHY is not SK Hynix at the Seoul price. 1 ADS = 1/10 of a common share. Run the parity:</t>
  </si>
  <si>
    <t xml:space="preserve">SK Hynix (SKHY) — decline again, and the case got stronger, not weaker. The ADR premium has *widened to ~33%*. Seoul fell 9.6% on the 29th; the ADR fell only 1%. Parity value is $96.58 against an ADR price of $128.77. Dad would be paying a third more than the same shares cost in Seoul. Worse, the conversion quota was exhausted on July 23, so the arbitrage channel is now one-way — the only direction that premium can go from here is compressed. On the earnings themselves: Q2 actually *missed* on both revenue and operating profit; the headline net profit number was inflated by a one-off Kioxia gain. Good company, wrong instrument, wrong price.</t>
  </si>
  <si>
    <t xml:space="preserve">So the question isn't "is SK Hynix cheap." At 4.40x headline forward P/E it obviously looks cheap — though that headline is FY2027 and becomes ~6.1x once you strip the Kioxia one-off. The question is whether you want to buy a ₩1,608,000 asset for the equivalent of ₩1,895,000. You don't.</t>
  </si>
  <si>
    <t xml:space="preserve">The supply-side data actually strengthens my caution on the *2027* debate, not the *entry*: SK Hynix just raised 2026 capex to the "high-40 trillion won" range from ₩30.2tn (~+60%), and on Jun 29 Samsung and SK announced ₩800tn ($518bn) for four new fabs with Korea targeting a doubling of DRAM capacity within five years. That capacity lands 2028+, so it doesn't break 2027 — but it tells you management is spending like the cycle runs long, and history says that's when you stop paying premiums.</t>
  </si>
  <si>
    <t xml:space="preserve">| What would change my mind | (1) KSD raises the 2.5% conversion quota — premium collapses, revisit immediately; (2) premium compresses below ~5% organically; (3) HBM4 shipment recovery confirmed at Samsung's Q2 call Jul 30 *and* SK Hynix guiding HBM4 volume, which would make the miss a one-quarter timing issue; (4) Seoul falls enough that even grossed up 20% the ADR clears my multiple |</t>
  </si>
  <si>
    <t xml:space="preserve">Near-term calendar that will move this: Samsung IR call Jul 30, SanDisk FY2026 Aug 5, the post-SK-hynix analyst revision wave, and the Moolenaar/Whitesides Commerce probe into CXMT.</t>
  </si>
  <si>
    <t xml:space="preserve">SKHY is now a held position, not a watchlist name. 15 shares, avg cost $127.55 including fees, order 6239421 filled at $126.9791 against a $127.00 day limit — good execution on the limit itself. Budget set at $10,000 per dad's note, leaving $8,087. Trade logged, THBFX and the July rollup updated.</t>
  </si>
  <si>
    <t xml:space="preserve">I gave you a "don't buy" on SKHY and dad bought it. That's his call and it's a small position — $1,913 against a $580K book. I'll say the useful part instead of the smug part: the remaining $8,087 of that budget is where the real decision sits. The thesis against it was the ~33% ADR premium to Seoul parity, not the company. Don't deploy the rest until that premium compresses below ~10%, and the fundamentals on the board for SKHY are still pre-Q2 (revenue $86.77B, +85%, fwd P/E 4.88) — those are now stale and flattering. I want to refresh them before that budget gets touched.</t>
  </si>
  <si>
    <t xml:space="preserve">Still open from before and not touched: SKHY fundamentals are stale and flattering (pre-Q2 TTM — revB 86.77, eps 9.39, fpe 4.88) and it's now a live position with $8,087 of budget left, so that wants a refresh before you deploy into it. And FI→FISV is still blocked by the gate's vanished-ticker rule; it needs a `--rename` flag, which I'd rather ship as its own change than smuggle into this one.</t>
  </si>
  <si>
    <t xml:space="preserve">| SMCI | Super Micro | $30.10 | 8.9 | 0.30 | +56% | 4% | Fastest growth, cheapest — but the risky one ⚠️ |</t>
  </si>
  <si>
    <t xml:space="preserve">One housekeeping note: NuScale's −3,646% margin makes that one cell in the fundamentals matrix look extreme on dad's public dashboard. Want me to cap or dash-out the absurd-scale margins on pre-revenue names so the table stays readable, while keeping the real number in the workbook?</t>
  </si>
  <si>
    <t xml:space="preserve">SNDK and WDC are on the Memory &amp; Storage watchlist (61 names now, live everywhere). And since I had all five candidates' data in hand, here's the head-to-head for your buy question:</t>
  </si>
  <si>
    <t xml:space="preserve">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</si>
  <si>
    <t xml:space="preserve">The 4-lane version breaks the shared bar scale — SNDK sits +2,633% above its 52-week low, which crushes every other bar to a hairline. Restructuring.</t>
  </si>
  <si>
    <t xml:space="preserve">SNDK at +2,633% would have set the scale and flattened every FV / HI / YTD bar on all 107 rows to a 1.5% hairline. I built it, screenshotted it, saw the damage, and reverted. The rationale is now a permanent code comment so nobody re-adds it in six months.</t>
  </si>
  <si>
    <t xml:space="preserve">| SNOW | $316.84 | −6% (targets are BELOW the price) | 81× | ❌ Analysts already think it's too expensive |</t>
  </si>
  <si>
    <t xml:space="preserve">1. NU and SOFI show blank EV/EBITDA, P/FCF, and negative free cash flow — that's correct, not broken. They're *lenders/banks*. Their "negative FCF" (−$9.5B for Nu, −$6.3B for SoFi) is loan-book *growth*, not cash burn — the money goes out as new loans, which is the business working, not failing. I set their Rule-of-40 to blank for the same reason; the standard FCF-based formula is meaningless for a bank. Judge them on ROE/ROIC and net margin (both strong) instead.</t>
  </si>
  <si>
    <t xml:space="preserve">| SOFI | $18.25 | +9% | ❌ Rated Hold. Six firms *cut* their targets after a beat — that tells you the beat didn't matter |</t>
  </si>
  <si>
    <t xml:space="preserve">Board census: 47 held + 8 watching — ARM, ASTS, SpaceX, SBUX, MCD, UNH, GLW, FN — across 13 groups, everything on the daily/Monday refresh cycle automatically.</t>
  </si>
  <si>
    <t xml:space="preserve">You're absolutely right — SpaceX IPO'd on June 12, 2026 as SPCX on Nasdaq. My dashboard still had it flagged as private with no price. Let me pull its real data and fix the row.</t>
  </si>
  <si>
    <t xml:space="preserve">SpaceX data confirmed. Let me grab the exact analyst target range, then rebuild the SPCX row.</t>
  </si>
  <si>
    <t xml:space="preserve">You were right: SpaceX went public on June 12, 2026 as SPCX on Nasdaq — one of the largest IPOs ever, priced into a ~$1.5T cap. My dashboard still had the old "SpaceX (private) — no listed market data" placeholder. Replaced it with the live ticker and real figures:</t>
  </si>
  <si>
    <t xml:space="preserve">STX, BE and XE were already on the board — they went live in commit `d083c97` before the pipeline rebuild. STX is in Memory &amp; Storage at $747.30, BE and XE are in Energy at $166.84 and $15.30. Nothing to add; I confirmed all three render on the page. No prices for them in this update because you don't hold them — POEMS only carries the 46 you own.</t>
  </si>
  <si>
    <t xml:space="preserve">Full data set in hand (TEM is down hard YTD — $66→$43). Wiring it into Healthcare.</t>
  </si>
  <si>
    <t xml:space="preserve">Clean build (68 tickers, TEM in Healthcare). Deploying to dad's link — fetching first in case the daily refresh pushed again.</t>
  </si>
  <si>
    <t xml:space="preserve">The cleanest way to fix the five: open each ticker's POEMS contract notes (the buy confirmations) and match the per-lot Price and Commission in `Transaction In` to what POEMS actually charged — the drift will be in the commission cell (col L) or occasionally the price (col G) on one or two lots. TER is the odd one (−$118 is a *price*-level difference on a lot, not commission), so that one's worth eyeballing against the confirmation first.</t>
  </si>
  <si>
    <t xml:space="preserve">&gt; My take: the budget line says you *can* add ~$8.5K / 40 shares. Whether you *should* is the concentration question, not the budget question. If you want to keep firing on the AI thesis without stacking more single-stock risk, that last $8.5K is better spent on TSM (only 0% of its $50K budget context aside — I can pull TSM's remaining room too if you want the same table).</t>
  </si>
  <si>
    <t xml:space="preserve">The risk that breaks this: Taiwan–China geopolitics. That's not a small risk, and it's the reason TSM trades cheaper than it "should." It's a real discount for a real danger, and Salee should size it knowing that.</t>
  </si>
  <si>
    <t xml:space="preserve">But don't buy a 6% gap at market. I'd put a limit order in around $556–$565 (Friday's close was $556.71). If the pop fades over the next few sessions — which gap-ups on news frequently do — it fills and you've bought well. If it doesn't fill, you've lost nothing and TSM is already doing the work. There's $12,810 of budget headroom there.</t>
  </si>
  <si>
    <t xml:space="preserve">| Buy today | TSM ~$405 | 19× forward, +33% to target, no event risk, $14k budget free | High |</t>
  </si>
  <si>
    <t xml:space="preserve">- TSM: the *most pessimistic* of 25 analysts says $500. The stock is $417. Even the biggest bear in the room thinks it's 20% too cheap.</t>
  </si>
  <si>
    <t xml:space="preserve">APP has more upside on average (+56% to the average target vs +43% for TSM), but TSM's downside is defended and APP's isn't. On a five-year hold, that asymmetry matters more than the headline upside.</t>
  </si>
  <si>
    <t xml:space="preserve">TSM also just looks cheap for what it is: forward P/E of 18.8, revenue growing 30.6%, earnings growing 53.4%, a 49.9% net profit margin and a 54.6% return on invested capital. That combination barely exists anywhere else at that multiple.</t>
  </si>
  <si>
    <t xml:space="preserve">If you do want to act tonight anyway, the trade is TSM, 14 shares at roughly $417 = about $5,840 plus the $8.56 commission, which fits inside your confirmed cash and inside your own $50,000 TSM budget (you've used $35,969 of it). It would lift your average cost from $349.21 to about $357.35 — a 2.3% increase, not painful. But understand you'd be paying 19% above the price Dad wrote down.</t>
  </si>
  <si>
    <t xml:space="preserve">I told you to buy nothing today and look at TSM next week. Part of my reasoning was that I could only confirm $5,958 of spendable cash. That reason is now gone — you have the full $18,928 confirmed as your own money, deliberately put there.</t>
  </si>
  <si>
    <t xml:space="preserve">TSM's next event is its July monthly revenue on Aug 10. But TSMC publishes revenue *every month*, and it has come in strong every single month this cycle — June was +67.9% year over year. I'm not going to learn much on Aug 10 that I don't already know, and meanwhile the stock could gap up on the news. Waiting there costs me more than it buys me.</t>
  </si>
  <si>
    <t xml:space="preserve">So: buy TSM now, not next week. Tell Dad his instinct on TSM over APP is right.</t>
  </si>
  <si>
    <t xml:space="preserve">I can't tell whether you bought the 33 TSM shares I recommended yesterday. Your cash balance in the dashboard still reads $18,928 as of Aug 4, and last night's automated refresh only updated prices, not cash. So here are both paths:</t>
  </si>
  <si>
    <t xml:space="preserve">I still don't know whether you bought the 33 TSM shares we discussed. Your cash reads $18,928 as of Aug 4, and the Aug 5 job only refreshed prices, not cash.</t>
  </si>
  <si>
    <t xml:space="preserve">- If you did NOT buy TSM: roughly $18,928 available. A half-size starter of ~$4,500–5,000 is about 20–22 shares at $221.</t>
  </si>
  <si>
    <t xml:space="preserve">- If you DID buy TSM: roughly $5,153 left. That's about 23 shares and would use nearly all your cash — in that case I'd go smaller, around 10 shares, and keep dry powder.</t>
  </si>
  <si>
    <t xml:space="preserve">Sizing depends on something I still don't know — did the 33 TSM shares get bought?</t>
  </si>
  <si>
    <t xml:space="preserve">So it was 4.5 shares, not 33. I had been carrying a worst-case assumption of a ~$13,700 TSM purchase. Actual cost: 4.5 × $416.273 = $1,873.23, plus the $8.56 POEMS commission = $1,881.79.</t>
  </si>
  <si>
    <t xml:space="preserve">One transparency note: the cash figure is my arithmetic, not a fresh POEMS balance screenshot. I took your Aug 5 morning balance of $18,928 and subtracted the confirmed $1,881.79 fill. Your screenshot was the "Today's Orders / All Orders" screen and showed TSM as the only order that session, so I'm confident nothing else moved — but if you send me the live cash balance tonight I'll replace the derived number with the real one.</t>
  </si>
  <si>
    <t xml:space="preserve">Dashboard note 87497bf</t>
  </si>
  <si>
    <t xml:space="preserve">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</si>
  <si>
    <t xml:space="preserve">- Broadly: if two or three more large firms follow Uber and publicly admit they can't trace AI spending to output, the whole "AI as margin lever" thesis needs rethinking, not just these names.</t>
  </si>
  <si>
    <t xml:space="preserve">UNH at a glance through your lens 📊: $426 · P/E 27 falling to 20x forward · PEG 1.47 · 0.85x sales (the cheapest revenue on your entire board — $450B of it) · +29% YTD and still −8% below its 52-week high, but the striking number is the year low of $234 — this stock nearly halved and has since recovered +82%. The Street sits at $471 avg (+10.7%), 27 analysts, Buy. It's the classic fallen-blue-chip recovery pattern: the easy rebound money has been made; what's left is the grind back to trend. A genuinely different animal from everything else you watch — which is exactly what a diversifier should be.</t>
  </si>
  <si>
    <t xml:space="preserve">VST really did drop 8.15%, to $143.23. I want to mention this because one of my data sources insisted it closed at $145.46. POEMS said $143.23 and Google Finance independently confirmed $143.23 with a proper "Closed Aug 4" timestamp. Two sources beat one — the drop is real, and it's the worst day among your holdings.</t>
  </si>
  <si>
    <t xml:space="preserve">The guard immediately caught a live bug of mine — WDC's market cap never got rescaled when I corrected its price. Fixing that first.</t>
  </si>
  <si>
    <t xml:space="preserve">Jan-2 reference ~$155.52 (YUM is down slightly YTD). I have the full data set. Let me wire YUM into the source of truth.</t>
  </si>
  <si>
    <t xml:space="preserve">YUM is in the source of truth. Now let me regenerate the dashboard and workbook, then verify.</t>
  </si>
  <si>
    <t xml:space="preserve">Both regenerated (67 tickers). Let me verify the dashboard renders clean and YUM shows up before deploying.</t>
  </si>
  <si>
    <t xml:space="preserve">Clean — the lone console line is just the sandbox blocking an external font, not a JS error. YUM renders in Consumer/F&amp;B. Let me deploy to dad's link and refresh the desktop copy.</t>
  </si>
  <si>
    <t xml:space="preserve">That was a scheduled daily price-refresh touching only watchlist reference prices + the ASOF label. Tomorrow's refresh will re-pull prices anyway, so the clean move is to rebase my YUM build on top of it. Let me layer my commit onto the remote and push.</t>
  </si>
  <si>
    <t xml:space="preserve">| ZETA | $27.07 | +6% | 27× | ❌ Great business, but you own 111 shares and it just jumped 11.6% |</t>
  </si>
  <si>
    <t xml:space="preserve">You already own ZETA — 111 shares at $18.06 cost, now ~+50%. You've already won on this one. Enjoy it; don't chase it.</t>
  </si>
  <si>
    <t xml:space="preserve">- Zeta Global Q2 2026 results — Zeta Investor Relations (https://investors.zetaglobal.com/)</t>
  </si>
  <si>
    <t xml:space="preserve">ZS (Zscaler) sits in between — 56 Rule-of-40 (the best of the three), essentially at breakeven on net income but $960M FCF-positive, and it's down 58% from its high so the valuation has already been reset harder than NET's. Of the two unprofitable names, ZS is the more reasonable entry.</t>
  </si>
  <si>
    <t xml:space="preserve">Commit</t>
  </si>
  <si>
    <t xml:space="preserve">Note stored in the dashboard</t>
  </si>
  <si>
    <t xml:space="preserve">9cf0e91</t>
  </si>
  <si>
    <t xml:space="preserve">Jul 17, 2026 (US close)</t>
  </si>
  <si>
    <t xml:space="preserve">38633c9</t>
  </si>
  <si>
    <t xml:space="preserve">Jul 20, 2026 (US close)</t>
  </si>
  <si>
    <t xml:space="preserve">724110b</t>
  </si>
  <si>
    <t xml:space="preserve">Jul 21, 2026 (US close)</t>
  </si>
  <si>
    <t xml:space="preserve">3db7062</t>
  </si>
  <si>
    <t xml:space="preserve">Jul 22, 2026 (POEMS statement, intraday)</t>
  </si>
  <si>
    <t xml:space="preserve">ae9cd28</t>
  </si>
  <si>
    <t xml:space="preserve">Jul 22, 2026 (US close · POEMS Jul 23)</t>
  </si>
  <si>
    <t xml:space="preserve">e0e44f5</t>
  </si>
  <si>
    <t xml:space="preserve">Jul 24, 2026 (POEMS live)</t>
  </si>
  <si>
    <t xml:space="preserve">eba49cb</t>
  </si>
  <si>
    <t xml:space="preserve">Jul 24, 2026 (US close)</t>
  </si>
  <si>
    <t xml:space="preserve">57636d3</t>
  </si>
  <si>
    <t xml:space="preserve">Jul 25, 2026 (POEMS live)</t>
  </si>
  <si>
    <t xml:space="preserve">c1539a0</t>
  </si>
  <si>
    <t xml:space="preserve">Jul 27, 2026 (POEMS live)</t>
  </si>
  <si>
    <t xml:space="preserve">9bb615d</t>
  </si>
  <si>
    <t xml:space="preserve">Jul 27, 2026 (US close)</t>
  </si>
  <si>
    <t xml:space="preserve">c7b35f2</t>
  </si>
  <si>
    <t xml:space="preserve">Jul 28, 2026 (POEMS reconciled)</t>
  </si>
  <si>
    <t xml:space="preserve">a6596df</t>
  </si>
  <si>
    <t xml:space="preserve">Jul 28, 2026 · 10:00 EDT (memory selloff, intraday)</t>
  </si>
  <si>
    <t xml:space="preserve">3d4a03c</t>
  </si>
  <si>
    <t xml:space="preserve">Jul 28, 2026 · close (POEMS statement reconciled)</t>
  </si>
  <si>
    <t xml:space="preserve">de9db26</t>
  </si>
  <si>
    <t xml:space="preserve">Jul 28, 2026 (US close)</t>
  </si>
  <si>
    <t xml:space="preserve">5fdc1dd</t>
  </si>
  <si>
    <t xml:space="preserve">Jul 29, 2026 · earnings refresh V/KO/PYPL (POEMS statement reconciled)</t>
  </si>
  <si>
    <t xml:space="preserve">e02e182</t>
  </si>
  <si>
    <t xml:space="preserve">Jul 29, 2026 · intraday (POEMS)</t>
  </si>
  <si>
    <t xml:space="preserve">33bae80</t>
  </si>
  <si>
    <t xml:space="preserve">Jul 30, 2026 · intraday (POEMS holdings)</t>
  </si>
  <si>
    <t xml:space="preserve">c4889e3</t>
  </si>
  <si>
    <t xml:space="preserve">Jul 29, 2026 · close</t>
  </si>
  <si>
    <t xml:space="preserve">255e117</t>
  </si>
  <si>
    <t xml:space="preserve">Jul 29, 2026 · close — fundamentals refreshed Jul 30 (post-earnings: MSFT · META-week reporters)</t>
  </si>
  <si>
    <t xml:space="preserve">680b95b</t>
  </si>
  <si>
    <t xml:space="preserve">97dee22</t>
  </si>
  <si>
    <t xml:space="preserve">45067db</t>
  </si>
  <si>
    <t xml:space="preserve">852fe7d</t>
  </si>
  <si>
    <t xml:space="preserve">Jul 31, 2026 · close — all 107 names verified at the Jul 31 close</t>
  </si>
  <si>
    <t xml:space="preserve">266571f</t>
  </si>
  <si>
    <t xml:space="preserve">2e5ac49</t>
  </si>
  <si>
    <t xml:space="preserve">8662e5a</t>
  </si>
  <si>
    <t xml:space="preserve">Aug 3, 2026 · close — 47 held positions marked to the Aug 3 close from the POEMS position screen; every move &gt;6% independently verified against stockanalysis.com (AVAV, CRWD, IREN, ISRG, LITE, META, ORCL, RKLB, VRT all matched to the cent; ONDS did not — POEMS showed 8.37, the verified close was 8.23, and the verified figure is used). Market caps re-scaled with price. AMZN +7 sh @ $285.3599 logged; cash $13,997.90 (AMZN contract still outstanding). 63 watchlist names remain at the Jul 31 close.</t>
  </si>
  <si>
    <t xml:space="preserve">105fbae</t>
  </si>
  <si>
    <t xml:space="preserve">Aug 3, 2026 · close — daily refresh: all 110 names now at the verified Aug 3 close. 63 watchlist names marked from the stockanalysis.com quote page per the resolution rule (47 held positions were already at the Aug 3 close from the weekly session and were not touched). Every move over 6% confirmed against a second dated source (Google Finance closed stamp, marketscreener Market Closed, fool.com post-close article, or ycharts 16:00 print). Market caps re-scaled with price.</t>
  </si>
  <si>
    <t xml:space="preserve">9111ef9</t>
  </si>
  <si>
    <t xml:space="preserve">Aug 4, 2026 · close — daily refresh: 109 of 112 names at the verified Aug 4 close (49 held names taken from the POEMS Current Price column, which was validated tick-for-tick against independent sources on COHR, PLTR and VST; 60 watchlist names from the stockanalysis.com quote page, every one cross-checked by confirming its implied prior close equals our stored Aug 3 price). VST −8.15% was confirmed on Google Finance after stockanalysis.com's history page disagreed — 143.23 is correct. XE (X-Energy) and YUM could not be refreshed — all free sources served stale or intraday snapshots — so both remain at their Aug 3 close. Six buys settled Aug 4 for $8,039.48: FN 3, LITE 2, META 3.5, COHR 4, AAOI 10. COHR (Coherent) added as a new position and new ticker in Photonic &amp; Optic Fiber. Cost basis and market value tie to the POEMS statement to the cent. Market caps re-scaled with price. Aug 5 additions (watchlist only, no positions): LMND (Lemonade) into Fintech / Digital Platform, HNGE (Hinge Health — the ticker is HNGE, not HGE) into Healthcare, and AIRJ (AirJoule Technologies) into Energy at Salee's request, though its official sector classification is Industrials / Building Products and it is pre-revenue. HNGE and AIRJ closes came from macrotrends because the stockanalysis quote pages served stale intraday snapshots; AIRJ's $5.84 has only that one source. NET (Cloudflare) stays in Cybersecurity — an earlier move to SaaS was reverted at Salee's request. Further Aug 5 additions at Aug 4 closes: RBRK (Rubrik) into Cybersecurity and PL (Planet Labs) into Space, both watchlist only. New group 'Power and Electrification' created with six names: PWR (Quanta Services), ETN (Eaton), POWL (Powell Industries), NVT (nVent Electric), HUBB (Hubbell) and GEV (GE Vernova). ETN and GEV were MOVED out of Energy and keep their existing positions and cost basis unchanged; the other four are new watchlist names with no position. Data caveats: RBRK's Aug 4 close is 80.99 per the stockanalysis statistics/forecast pages and Google Finance, against 79.64 on the same site's history table (2-of-3 plus an exact match to the reported +8.36% move); NVT's is 162.24 per the quote page and WallStreetZen against 163.68 on the history table; POWL's return on invested capital is stored at the conservative 38.38 because the statistics page's 122.60 is an outlier contradicted by both the ratios page and GuruFocus; RBRK has negative shareholder equity so ROE, EV/EBITDA and debt/equity are blank, and POWL's debt/equity is blank at source (it is essentially debt-free). Cash provenance resolved Aug 5: the USD 12,969.58 increase in the POEMS balance (from an expected 5,958.42 after the Aug 4 buys to the reported 18,928.00) was a deposit by Salee of approximately THB 500,000 at a stated rate of about 33.38, i.e. roughly USD 14,979. Only USD 12,969.58 is visible in the USD balance, leaving USD 2,009.45 (13.42% of the transfer) unaccounted for — far too large to be wire or FX fees, so either part of the transfer was still unsettled at the Aug 4 snapshot, the dealt rate differed materially from 33.38, or a portion landed in a non-USD sub-account. Flagged to Salee to confirm with POEMS.</t>
  </si>
  <si>
    <t xml:space="preserve">83f5b7d</t>
  </si>
  <si>
    <t xml:space="preserve">Aug 5, 2026 · close — daily refresh: 117 of 121 names at the verified Aug 5 close. Primary source was the stockanalysis.com quote page under the standard resolution rule (4:00 PM EDT stamp + prev close matching the history table's Aug 4 row); on ~25 names the history table's Aug 5 row was a partial-session capture (low volume, sometimes close outside its own high/low — UNH, JNJ and NOK rows were internally impossible and were discarded) and the quote page was taken, several cent-confirmed by Google Finance or marketscreener. Quote page was itself stale or intraday on GOOGL, RKLB, CDNS, TE, FI, SNOW, XE, AMKR (resolved from the internally-consistent history row), and on AEHR, APH, AIRJ, LUNR, TEM, OUST, CEG, VST, MDB, RBRK, YUM (resolved from Google Finance / marketscreener / financialcontent closed-stamped pages; YUM 152.37 rests on benzinga + gurufocus in exact agreement over a triple-confirmed 147.68 Aug 4 base — both dated post-close but neither is a list-approved source). Moves over 6% were all second-sourced before writing: AMD −7.04%, AEHR −10.11%, ALAB −11.96%, EOSE −12.18% (Q2 earnings), ENPH −6.75%, AMPX +8.42%, SPCX −13.61% (post-Q2 selloff), ZETA +11.58% (post-earnings), XE +9.55% (two sessions, vs its Aug 3 close). UNRESOLVED, left at prior closes with prior price dates: SHOP (quote page showed 144.24, +16.98% on Q2 earnings, and passed all internal checks, but a +17% move requires an independent second source and the session's search budget was exhausted — treat SHOP as stale, likely materially higher); AFRM (only intraday snapshots, and stockanalysis's Aug 4 close 78.12 conflicts with our stored 79.56 — needs re-verification of the Aug 4 base as well); CIFR (candidates conflict: history-row 19.15 partial capture vs Google 18.71, −8.19%, unconfirmable); HUT (single-source Google candidate 92.76, −8.30%, unconfirmable). Note: NET's Aug 4 base reads 301.33 on stockanalysis vs our stored 301.21; its Aug 5 close 292.96 was cent-confirmed by Google. OUST now trades on Nasdaq (Google NYSE forms 404). Big after-hours moves NOT in these closes: WDC −11.8%, APP −15.9% (guidance), MELI −4.5%, CRM −5.1% — tomorrow's refresh will capture them. Market caps re-scaled with price. Stale/broken sources this run: Google Finance per-ticker caches (both forms) frequently a day old or intraday; fool.com quote pages mostly stale; marketscreener stale on several names; ycharts intermittently empty; stockanalysis history tables missing Aug 5 rows on ~10 names at fetch time.</t>
  </si>
  <si>
    <t xml:space="preserve">7e7d133</t>
  </si>
  <si>
    <t xml:space="preserve">3eac88f</t>
  </si>
  <si>
    <t xml:space="preserve">87497bf</t>
  </si>
  <si>
    <t xml:space="preserve">9c0eff7</t>
  </si>
  <si>
    <t xml:space="preserve">a09a721</t>
  </si>
  <si>
    <t xml:space="preserve">effe9e9</t>
  </si>
  <si>
    <t xml:space="preserve">1228826</t>
  </si>
  <si>
    <t xml:space="preserve">ed9555c</t>
  </si>
  <si>
    <t xml:space="preserve">Who</t>
  </si>
  <si>
    <t xml:space="preserve">Our note / question</t>
  </si>
  <si>
    <t xml:space="preserve">Action agreed</t>
  </si>
  <si>
    <t xml:space="preserve">Done?</t>
  </si>
  <si>
    <t xml:space="preserve">Salee</t>
  </si>
  <si>
    <t xml:space="preserve">EXAMPLE ROW - delete me. Dad wants to add on any dip under 210; check budget headroom first.</t>
  </si>
  <si>
    <t xml:space="preserve">Wait for 210 or lower, then buy up to budget.</t>
  </si>
  <si>
    <t xml:space="preserve">No</t>
  </si>
  <si>
    <t xml:space="preserve">This sheet belongs to Salee and Dad. Claude reads it back and copies it forward every time the workbook is rebuilt, so nothing typed here is ever lost.</t>
  </si>
  <si>
    <t xml:space="preserve">Type</t>
  </si>
  <si>
    <t xml:space="preserve">Open item</t>
  </si>
  <si>
    <t xml:space="preserve">Raised</t>
  </si>
  <si>
    <t xml:space="preserve">Data error</t>
  </si>
  <si>
    <t xml:space="preserve">Stored all-time high 25.95 is BELOW the stored price 27.07 and below the sourced 52-week high 28.50 - impossible. 52-week low should be 14.37 (stored 12.10) and high 28.50 (stored 27.07). Needs a sourced ATH before it can be fixed; Claude will not guess it.</t>
  </si>
  <si>
    <t xml:space="preserve">Data check</t>
  </si>
  <si>
    <t xml:space="preserve">Stored all-time high 29.27 conflicts with a researcher figure of 49.11 (Mar 11 2024, TradingView). TradingView is on the unreliable list, so a second source is needed before changing anything.</t>
  </si>
  <si>
    <t xml:space="preserve">Data gap</t>
  </si>
  <si>
    <t xml:space="preserve">Capital expenditure is stored blank. Fill it if a source turns up.</t>
  </si>
  <si>
    <t xml:space="preserve">Stale data</t>
  </si>
  <si>
    <t xml:space="preserve">Fundamentals are pre-Q2 and therefore flattering. Budget left about $8,087.</t>
  </si>
  <si>
    <t xml:space="preserve">LWLG / AXTI</t>
  </si>
  <si>
    <t xml:space="preserve">Chart scale</t>
  </si>
  <si>
    <t xml:space="preserve">Absurd-scale valuations distort three charts: LWLG price-to-sales 5,040x, AXTI price-to-earnings 957x and EV/EBITDA 1,042x. Claude has offered to cap the display scale so the other bars stay readable - awaiting a yes.</t>
  </si>
  <si>
    <t xml:space="preserve">Risk to watch</t>
  </si>
  <si>
    <t xml:space="preserve">Beijing Tongmei withdrew its Shanghai STAR Market listing on Jul 8 2026, triggering redemption rights on about US$49M held by eleven private-equity funds. Company says it has the cash.</t>
  </si>
  <si>
    <t xml:space="preserve">Earnings</t>
  </si>
  <si>
    <t xml:space="preserve">Reports FY26 Q4 and full year on Aug 12, 2026.</t>
  </si>
  <si>
    <t xml:space="preserve">Reports Q2 on Aug 11, 2026 (company-confirmed).</t>
  </si>
  <si>
    <t xml:space="preserve">Reports Q2 FY2027 on Aug 26, 2026 (company-confirmed). Budget headroom about $2,668, roughly 12 shares.</t>
  </si>
  <si>
    <t xml:space="preserve">Next earnings estimated Aug 21, 2026 - NOT company-confirmed.</t>
  </si>
  <si>
    <t xml:space="preserve">Next earnings date could not be found and is not company-confirmed.</t>
  </si>
  <si>
    <t xml:space="preserve">LEU</t>
  </si>
  <si>
    <t xml:space="preserve">Idea pending</t>
  </si>
  <si>
    <t xml:space="preserve">On Dad's Aug 4 list at or below $150; would sit in Nuclear Energy. Red flags on record: forward P/E 81 above trailing P/E 65, revenue -4.1%, EPS -55.5%, short interest 25.4%.</t>
  </si>
  <si>
    <t xml:space="preserve">AMP</t>
  </si>
  <si>
    <t xml:space="preserve">Needs clarifying</t>
  </si>
  <si>
    <t xml:space="preserve">Item 6 on Dad's Aug 04 note reads 'AMP &lt;= $350'. Most likely AMD. Awaiting confirmation.</t>
  </si>
  <si>
    <t xml:space="preserve">Proposal pending</t>
  </si>
  <si>
    <t xml:space="preserve">Claude proposed moving TER from Robotic/Automation/EV to Chips Manufacturing and renaming the Photonic group to 'Interconnect &amp; Networking'. Awaiting a decision.</t>
  </si>
  <si>
    <t xml:space="preserve">FISV</t>
  </si>
  <si>
    <t xml:space="preserve">Housekeeping</t>
  </si>
  <si>
    <t xml:space="preserve">FI has been renamed FISV. The rename still needs to be applied to the dashboard.</t>
  </si>
  <si>
    <t xml:space="preserve">XE / YUM</t>
  </si>
  <si>
    <t xml:space="preserve">Price check</t>
  </si>
  <si>
    <t xml:space="preserve">Both were stuck at their Aug 3 close at one point. The Aug 5 refresh may have fixed it - unverified.</t>
  </si>
  <si>
    <t xml:space="preserve">History shows a Jul 29 low of 14.71; stored 52-week low may need updating.</t>
  </si>
  <si>
    <t xml:space="preserve">Portfolio</t>
  </si>
  <si>
    <t xml:space="preserve">Reconciliation</t>
  </si>
  <si>
    <t xml:space="preserve">Monthly-flow and totals figures differ by about $5,636 - a pre-existing inconsistency never chased down.</t>
  </si>
  <si>
    <t xml:space="preserve">Open offer</t>
  </si>
  <si>
    <t xml:space="preserve">Claude has offered but not yet built: a dividends-received tally, a speculative-watch screen, per-name budgets for Fintech/Digital Platform, a manual price-entry box on the dashboard, and a poster version without profit-and-loss for showing Dad.</t>
  </si>
</sst>
</file>

<file path=xl/styles.xml><?xml version="1.0" encoding="utf-8"?>
<styleSheet xmlns="http://schemas.openxmlformats.org/spreadsheetml/2006/main">
  <numFmts count="4">
    <numFmt numFmtId="164" formatCode="General"/>
    <numFmt numFmtId="165" formatCode="#,##0.##"/>
    <numFmt numFmtId="166" formatCode="#,##0.00"/>
    <numFmt numFmtId="167" formatCode="\$#,##0;&quot;($&quot;#,##0\);\-"/>
  </numFmts>
  <fonts count="10">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name val="Arial"/>
      <family val="0"/>
      <charset val="1"/>
    </font>
    <font>
      <b val="true"/>
      <sz val="10"/>
      <name val="Arial"/>
      <family val="0"/>
      <charset val="1"/>
    </font>
    <font>
      <b val="true"/>
      <sz val="10"/>
      <color rgb="FFFFFFFF"/>
      <name val="Arial"/>
      <family val="0"/>
      <charset val="1"/>
    </font>
    <font>
      <b val="true"/>
      <sz val="10"/>
      <color rgb="FF006100"/>
      <name val="Arial"/>
      <family val="0"/>
      <charset val="1"/>
    </font>
    <font>
      <i val="true"/>
      <sz val="9"/>
      <color rgb="FF808080"/>
      <name val="Arial"/>
      <family val="0"/>
      <charset val="1"/>
    </font>
  </fonts>
  <fills count="5">
    <fill>
      <patternFill patternType="none"/>
    </fill>
    <fill>
      <patternFill patternType="gray125"/>
    </fill>
    <fill>
      <patternFill patternType="solid">
        <fgColor rgb="FFD9E2F3"/>
        <bgColor rgb="FFCCFFFF"/>
      </patternFill>
    </fill>
    <fill>
      <patternFill patternType="solid">
        <fgColor rgb="FF1F3864"/>
        <bgColor rgb="FF333333"/>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center"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6" fontId="5" fillId="0" borderId="1" xfId="0" applyFont="true" applyBorder="true" applyAlignment="true" applyProtection="false">
      <alignment horizontal="general" vertical="top" textRotation="0" wrapText="false" indent="0" shrinkToFit="false"/>
      <protection locked="true" hidden="false"/>
    </xf>
    <xf numFmtId="167"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6100"/>
          <bgColor rgb="FF000000"/>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08"/>
  </cols>
  <sheetData>
    <row r="1" customFormat="false" ht="19.7" hidden="false" customHeight="false" outlineLevel="0" collapsed="false">
      <c r="A1" s="1" t="s">
        <v>0</v>
      </c>
    </row>
    <row r="2" customFormat="false" ht="15" hidden="false" customHeight="false" outlineLevel="0" collapsed="false">
      <c r="A2" s="2"/>
      <c r="B2" s="2"/>
    </row>
    <row r="3" customFormat="false" ht="23.85" hidden="false" customHeight="false" outlineLevel="0" collapsed="false">
      <c r="A3" s="2" t="s">
        <v>1</v>
      </c>
      <c r="B3" s="2" t="s">
        <v>2</v>
      </c>
    </row>
    <row r="4" customFormat="false" ht="15" hidden="false" customHeight="false" outlineLevel="0" collapsed="false">
      <c r="A4" s="2" t="s">
        <v>3</v>
      </c>
      <c r="B4" s="2" t="s">
        <v>4</v>
      </c>
    </row>
    <row r="5" customFormat="false" ht="15" hidden="false" customHeight="false" outlineLevel="0" collapsed="false">
      <c r="A5" s="2" t="s">
        <v>5</v>
      </c>
      <c r="B5" s="2" t="s">
        <v>6</v>
      </c>
    </row>
    <row r="6" customFormat="false" ht="15" hidden="false" customHeight="false" outlineLevel="0" collapsed="false">
      <c r="A6" s="2"/>
      <c r="B6" s="2"/>
    </row>
    <row r="7" customFormat="false" ht="15" hidden="false" customHeight="false" outlineLevel="0" collapsed="false">
      <c r="A7" s="3" t="s">
        <v>7</v>
      </c>
      <c r="B7" s="3" t="s">
        <v>8</v>
      </c>
    </row>
    <row r="8" customFormat="false" ht="23.85" hidden="false" customHeight="false" outlineLevel="0" collapsed="false">
      <c r="A8" s="2" t="s">
        <v>9</v>
      </c>
      <c r="B8" s="2" t="s">
        <v>10</v>
      </c>
    </row>
    <row r="9" customFormat="false" ht="23.85" hidden="false" customHeight="false" outlineLevel="0" collapsed="false">
      <c r="A9" s="2" t="s">
        <v>11</v>
      </c>
      <c r="B9" s="2" t="s">
        <v>12</v>
      </c>
    </row>
    <row r="10" customFormat="false" ht="23.85" hidden="false" customHeight="false" outlineLevel="0" collapsed="false">
      <c r="A10" s="2" t="s">
        <v>13</v>
      </c>
      <c r="B10" s="2" t="s">
        <v>14</v>
      </c>
    </row>
    <row r="11" customFormat="false" ht="23.85" hidden="false" customHeight="false" outlineLevel="0" collapsed="false">
      <c r="A11" s="2" t="s">
        <v>15</v>
      </c>
      <c r="B11" s="2" t="s">
        <v>16</v>
      </c>
    </row>
    <row r="12" customFormat="false" ht="15" hidden="false" customHeight="false" outlineLevel="0" collapsed="false">
      <c r="A12" s="2" t="s">
        <v>17</v>
      </c>
      <c r="B12" s="2" t="s">
        <v>18</v>
      </c>
    </row>
    <row r="13" customFormat="false" ht="15" hidden="false" customHeight="false" outlineLevel="0" collapsed="false">
      <c r="A13" s="2"/>
      <c r="B13" s="2"/>
    </row>
    <row r="14" customFormat="false" ht="23.85" hidden="false" customHeight="false" outlineLevel="0" collapsed="false">
      <c r="A14" s="3" t="s">
        <v>19</v>
      </c>
      <c r="B14" s="3"/>
    </row>
    <row r="15" customFormat="false" ht="15" hidden="false" customHeight="false" outlineLevel="0" collapsed="false">
      <c r="A15" s="2" t="s">
        <v>20</v>
      </c>
      <c r="B15" s="2" t="s">
        <v>21</v>
      </c>
    </row>
    <row r="16" customFormat="false" ht="15" hidden="false" customHeight="false" outlineLevel="0" collapsed="false">
      <c r="A16" s="2" t="s">
        <v>22</v>
      </c>
      <c r="B16" s="2" t="s">
        <v>23</v>
      </c>
    </row>
    <row r="17" customFormat="false" ht="15" hidden="false" customHeight="false" outlineLevel="0" collapsed="false">
      <c r="A17" s="2" t="s">
        <v>24</v>
      </c>
      <c r="B17" s="2" t="s">
        <v>25</v>
      </c>
    </row>
    <row r="18" customFormat="false" ht="15" hidden="false" customHeight="false" outlineLevel="0" collapsed="false">
      <c r="A18" s="2" t="s">
        <v>26</v>
      </c>
      <c r="B18" s="2" t="s">
        <v>27</v>
      </c>
    </row>
    <row r="19" customFormat="false" ht="15" hidden="false" customHeight="false" outlineLevel="0" collapsed="false">
      <c r="A19" s="2" t="s">
        <v>28</v>
      </c>
      <c r="B19" s="2" t="s">
        <v>29</v>
      </c>
    </row>
    <row r="20" customFormat="false" ht="15" hidden="false" customHeight="false" outlineLevel="0" collapsed="false">
      <c r="A20" s="2"/>
      <c r="B20" s="2"/>
    </row>
    <row r="21" customFormat="false" ht="15" hidden="false" customHeight="false" outlineLevel="0" collapsed="false">
      <c r="A21" s="3" t="s">
        <v>30</v>
      </c>
      <c r="B21" s="3"/>
    </row>
    <row r="22" customFormat="false" ht="15" hidden="false" customHeight="false" outlineLevel="0" collapsed="false">
      <c r="A22" s="2" t="s">
        <v>31</v>
      </c>
      <c r="B22" s="2" t="s">
        <v>32</v>
      </c>
    </row>
    <row r="23" customFormat="false" ht="23.85" hidden="false" customHeight="false" outlineLevel="0" collapsed="false">
      <c r="A23" s="2" t="s">
        <v>33</v>
      </c>
      <c r="B23" s="2" t="s">
        <v>34</v>
      </c>
    </row>
    <row r="24" customFormat="false" ht="15" hidden="false" customHeight="false" outlineLevel="0" collapsed="false">
      <c r="A24" s="2" t="s">
        <v>35</v>
      </c>
      <c r="B24" s="2" t="s">
        <v>36</v>
      </c>
    </row>
    <row r="25" customFormat="false" ht="23.85" hidden="false" customHeight="false" outlineLevel="0" collapsed="false">
      <c r="A25" s="2" t="s">
        <v>37</v>
      </c>
      <c r="B25" s="2" t="s">
        <v>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26"/>
    <col collapsed="false" customWidth="true" hidden="false" outlineLevel="0" max="4" min="4" style="0" width="7"/>
    <col collapsed="false" customWidth="true" hidden="false" outlineLevel="0" max="5" min="5" style="0" width="10"/>
    <col collapsed="false" customWidth="true" hidden="false" outlineLevel="0" max="7" min="6" style="0" width="13"/>
    <col collapsed="false" customWidth="true" hidden="false" outlineLevel="0" max="8" min="8" style="0" width="14"/>
    <col collapsed="false" customWidth="true" hidden="false" outlineLevel="0" max="9" min="9" style="0" width="12"/>
    <col collapsed="false" customWidth="true" hidden="false" outlineLevel="0" max="10" min="10" style="0" width="11"/>
    <col collapsed="false" customWidth="true" hidden="false" outlineLevel="0" max="12" min="11" style="0" width="13"/>
    <col collapsed="false" customWidth="true" hidden="false" outlineLevel="0" max="13" min="13" style="0" width="110"/>
  </cols>
  <sheetData>
    <row r="1" customFormat="false" ht="27.75" hidden="false" customHeight="true" outlineLevel="0" collapsed="false">
      <c r="A1" s="4" t="s">
        <v>39</v>
      </c>
      <c r="B1" s="4" t="s">
        <v>40</v>
      </c>
      <c r="C1" s="4" t="s">
        <v>41</v>
      </c>
      <c r="D1" s="4" t="s">
        <v>42</v>
      </c>
      <c r="E1" s="4" t="s">
        <v>43</v>
      </c>
      <c r="F1" s="4" t="s">
        <v>44</v>
      </c>
      <c r="G1" s="4" t="s">
        <v>45</v>
      </c>
      <c r="H1" s="4" t="s">
        <v>46</v>
      </c>
      <c r="I1" s="4" t="s">
        <v>47</v>
      </c>
      <c r="J1" s="4" t="s">
        <v>48</v>
      </c>
      <c r="K1" s="4" t="s">
        <v>49</v>
      </c>
      <c r="L1" s="4" t="s">
        <v>50</v>
      </c>
      <c r="M1" s="4" t="s">
        <v>51</v>
      </c>
    </row>
    <row r="2" customFormat="false" ht="46.25" hidden="false" customHeight="false" outlineLevel="0" collapsed="false">
      <c r="A2" s="5" t="s">
        <v>52</v>
      </c>
      <c r="B2" s="5" t="s">
        <v>53</v>
      </c>
      <c r="C2" s="5" t="s">
        <v>54</v>
      </c>
      <c r="D2" s="6" t="s">
        <v>55</v>
      </c>
      <c r="E2" s="7" t="n">
        <v>46</v>
      </c>
      <c r="F2" s="8" t="n">
        <v>11437.61</v>
      </c>
      <c r="G2" s="9" t="n">
        <v>25000</v>
      </c>
      <c r="H2" s="9" t="n">
        <v>311</v>
      </c>
      <c r="I2" s="5" t="s">
        <v>56</v>
      </c>
      <c r="J2" s="5" t="n">
        <f aca="false">COUNTIF('Comment Log'!$A:$A,$A2)</f>
        <v>13</v>
      </c>
      <c r="K2" s="5" t="s">
        <v>57</v>
      </c>
      <c r="L2" s="5" t="s">
        <v>58</v>
      </c>
      <c r="M2" s="10" t="s">
        <v>59</v>
      </c>
    </row>
    <row r="3" customFormat="false" ht="35.05" hidden="false" customHeight="false" outlineLevel="0" collapsed="false">
      <c r="A3" s="5" t="s">
        <v>60</v>
      </c>
      <c r="B3" s="5" t="s">
        <v>61</v>
      </c>
      <c r="C3" s="5" t="s">
        <v>54</v>
      </c>
      <c r="D3" s="6" t="s">
        <v>55</v>
      </c>
      <c r="E3" s="7" t="n">
        <v>209</v>
      </c>
      <c r="F3" s="8" t="n">
        <v>48600.75</v>
      </c>
      <c r="G3" s="9" t="n">
        <v>50000</v>
      </c>
      <c r="H3" s="9" t="n">
        <v>272.65</v>
      </c>
      <c r="I3" s="5" t="s">
        <v>56</v>
      </c>
      <c r="J3" s="5" t="n">
        <f aca="false">COUNTIF('Comment Log'!$A:$A,$A3)</f>
        <v>24</v>
      </c>
      <c r="K3" s="5" t="s">
        <v>57</v>
      </c>
      <c r="L3" s="5" t="s">
        <v>58</v>
      </c>
      <c r="M3" s="10" t="s">
        <v>62</v>
      </c>
    </row>
    <row r="4" customFormat="false" ht="46.25" hidden="false" customHeight="false" outlineLevel="0" collapsed="false">
      <c r="A4" s="5" t="s">
        <v>63</v>
      </c>
      <c r="B4" s="5" t="s">
        <v>64</v>
      </c>
      <c r="C4" s="5" t="s">
        <v>54</v>
      </c>
      <c r="D4" s="6" t="s">
        <v>55</v>
      </c>
      <c r="E4" s="7" t="n">
        <v>205</v>
      </c>
      <c r="F4" s="8" t="n">
        <v>55324.68</v>
      </c>
      <c r="G4" s="9" t="n">
        <v>60000</v>
      </c>
      <c r="H4" s="9" t="n">
        <v>362.43</v>
      </c>
      <c r="I4" s="5" t="s">
        <v>56</v>
      </c>
      <c r="J4" s="5" t="n">
        <f aca="false">COUNTIF('Comment Log'!$A:$A,$A4)</f>
        <v>26</v>
      </c>
      <c r="K4" s="5" t="s">
        <v>57</v>
      </c>
      <c r="L4" s="5" t="s">
        <v>58</v>
      </c>
      <c r="M4" s="10" t="s">
        <v>65</v>
      </c>
    </row>
    <row r="5" customFormat="false" ht="46.25" hidden="false" customHeight="false" outlineLevel="0" collapsed="false">
      <c r="A5" s="5" t="s">
        <v>66</v>
      </c>
      <c r="B5" s="5" t="s">
        <v>67</v>
      </c>
      <c r="C5" s="5" t="s">
        <v>54</v>
      </c>
      <c r="D5" s="6" t="s">
        <v>55</v>
      </c>
      <c r="E5" s="7" t="n">
        <v>59.5</v>
      </c>
      <c r="F5" s="8" t="n">
        <v>39239.51</v>
      </c>
      <c r="G5" s="9" t="n">
        <v>50000</v>
      </c>
      <c r="H5" s="9" t="n">
        <v>588.77</v>
      </c>
      <c r="I5" s="5" t="s">
        <v>56</v>
      </c>
      <c r="J5" s="5" t="n">
        <f aca="false">COUNTIF('Comment Log'!$A:$A,$A5)</f>
        <v>78</v>
      </c>
      <c r="K5" s="5" t="s">
        <v>57</v>
      </c>
      <c r="L5" s="5" t="s">
        <v>56</v>
      </c>
      <c r="M5" s="10" t="s">
        <v>68</v>
      </c>
    </row>
    <row r="6" customFormat="false" ht="23.85" hidden="false" customHeight="false" outlineLevel="0" collapsed="false">
      <c r="A6" s="5" t="s">
        <v>69</v>
      </c>
      <c r="B6" s="5" t="s">
        <v>70</v>
      </c>
      <c r="C6" s="5" t="s">
        <v>54</v>
      </c>
      <c r="D6" s="6" t="s">
        <v>55</v>
      </c>
      <c r="E6" s="7" t="n">
        <v>113</v>
      </c>
      <c r="F6" s="8" t="n">
        <v>50818.44</v>
      </c>
      <c r="G6" s="9" t="n">
        <v>60000</v>
      </c>
      <c r="H6" s="9" t="n">
        <v>487.46</v>
      </c>
      <c r="I6" s="5" t="s">
        <v>56</v>
      </c>
      <c r="J6" s="5" t="n">
        <f aca="false">COUNTIF('Comment Log'!$A:$A,$A6)</f>
        <v>43</v>
      </c>
      <c r="K6" s="5" t="s">
        <v>57</v>
      </c>
      <c r="L6" s="5" t="s">
        <v>71</v>
      </c>
      <c r="M6" s="10" t="s">
        <v>72</v>
      </c>
    </row>
    <row r="7" customFormat="false" ht="91" hidden="false" customHeight="false" outlineLevel="0" collapsed="false">
      <c r="A7" s="5" t="s">
        <v>73</v>
      </c>
      <c r="B7" s="5" t="s">
        <v>74</v>
      </c>
      <c r="C7" s="5" t="s">
        <v>75</v>
      </c>
      <c r="D7" s="6" t="s">
        <v>55</v>
      </c>
      <c r="E7" s="7" t="n">
        <v>55</v>
      </c>
      <c r="F7" s="8" t="n">
        <v>13789.22</v>
      </c>
      <c r="G7" s="9" t="n">
        <v>25000</v>
      </c>
      <c r="H7" s="9" t="n">
        <v>482.05</v>
      </c>
      <c r="I7" s="5" t="s">
        <v>56</v>
      </c>
      <c r="J7" s="5" t="n">
        <f aca="false">COUNTIF('Comment Log'!$A:$A,$A7)</f>
        <v>13</v>
      </c>
      <c r="K7" s="5" t="s">
        <v>76</v>
      </c>
      <c r="L7" s="5" t="s">
        <v>71</v>
      </c>
      <c r="M7" s="10" t="s">
        <v>77</v>
      </c>
    </row>
    <row r="8" customFormat="false" ht="23.85" hidden="false" customHeight="false" outlineLevel="0" collapsed="false">
      <c r="A8" s="5" t="s">
        <v>78</v>
      </c>
      <c r="B8" s="5" t="s">
        <v>79</v>
      </c>
      <c r="C8" s="5" t="s">
        <v>75</v>
      </c>
      <c r="D8" s="11"/>
      <c r="E8" s="7"/>
      <c r="F8" s="8"/>
      <c r="G8" s="9"/>
      <c r="H8" s="9" t="n">
        <v>274.58</v>
      </c>
      <c r="I8" s="5" t="s">
        <v>56</v>
      </c>
      <c r="J8" s="5" t="n">
        <f aca="false">COUNTIF('Comment Log'!$A:$A,$A8)</f>
        <v>19</v>
      </c>
      <c r="K8" s="5" t="s">
        <v>76</v>
      </c>
      <c r="L8" s="5" t="s">
        <v>56</v>
      </c>
      <c r="M8" s="10" t="s">
        <v>80</v>
      </c>
    </row>
    <row r="9" customFormat="false" ht="23.85" hidden="false" customHeight="false" outlineLevel="0" collapsed="false">
      <c r="A9" s="5" t="s">
        <v>81</v>
      </c>
      <c r="B9" s="5" t="s">
        <v>82</v>
      </c>
      <c r="C9" s="5" t="s">
        <v>75</v>
      </c>
      <c r="D9" s="6" t="s">
        <v>55</v>
      </c>
      <c r="E9" s="7" t="n">
        <v>84</v>
      </c>
      <c r="F9" s="8" t="n">
        <v>28571.53</v>
      </c>
      <c r="G9" s="9" t="n">
        <v>40000</v>
      </c>
      <c r="H9" s="9" t="n">
        <v>418.28</v>
      </c>
      <c r="I9" s="5" t="s">
        <v>56</v>
      </c>
      <c r="J9" s="5" t="n">
        <f aca="false">COUNTIF('Comment Log'!$A:$A,$A9)</f>
        <v>5</v>
      </c>
      <c r="K9" s="5" t="s">
        <v>83</v>
      </c>
      <c r="L9" s="5" t="s">
        <v>56</v>
      </c>
      <c r="M9" s="10" t="s">
        <v>80</v>
      </c>
    </row>
    <row r="10" customFormat="false" ht="23.85" hidden="false" customHeight="false" outlineLevel="0" collapsed="false">
      <c r="A10" s="5" t="s">
        <v>84</v>
      </c>
      <c r="B10" s="5" t="s">
        <v>85</v>
      </c>
      <c r="C10" s="5" t="s">
        <v>75</v>
      </c>
      <c r="D10" s="6" t="s">
        <v>55</v>
      </c>
      <c r="E10" s="7" t="n">
        <v>45</v>
      </c>
      <c r="F10" s="8" t="n">
        <v>2029.6</v>
      </c>
      <c r="G10" s="9" t="n">
        <v>5000</v>
      </c>
      <c r="H10" s="9" t="n">
        <v>101.06</v>
      </c>
      <c r="I10" s="5" t="s">
        <v>56</v>
      </c>
      <c r="J10" s="5" t="n">
        <f aca="false">COUNTIF('Comment Log'!$A:$A,$A10)</f>
        <v>5</v>
      </c>
      <c r="K10" s="5" t="s">
        <v>76</v>
      </c>
      <c r="L10" s="5" t="s">
        <v>86</v>
      </c>
      <c r="M10" s="10" t="s">
        <v>87</v>
      </c>
    </row>
    <row r="11" customFormat="false" ht="68.65" hidden="false" customHeight="false" outlineLevel="0" collapsed="false">
      <c r="A11" s="5" t="s">
        <v>88</v>
      </c>
      <c r="B11" s="5" t="s">
        <v>89</v>
      </c>
      <c r="C11" s="5" t="s">
        <v>75</v>
      </c>
      <c r="D11" s="6" t="s">
        <v>55</v>
      </c>
      <c r="E11" s="7" t="n">
        <v>48.5</v>
      </c>
      <c r="F11" s="8" t="n">
        <v>7872.66</v>
      </c>
      <c r="G11" s="9" t="n">
        <v>25000</v>
      </c>
      <c r="H11" s="9" t="n">
        <v>211.02</v>
      </c>
      <c r="I11" s="5" t="s">
        <v>56</v>
      </c>
      <c r="J11" s="5" t="n">
        <f aca="false">COUNTIF('Comment Log'!$A:$A,$A11)</f>
        <v>2</v>
      </c>
      <c r="K11" s="5" t="s">
        <v>90</v>
      </c>
      <c r="L11" s="5" t="s">
        <v>83</v>
      </c>
      <c r="M11" s="10" t="s">
        <v>91</v>
      </c>
    </row>
    <row r="12" customFormat="false" ht="35.05" hidden="false" customHeight="false" outlineLevel="0" collapsed="false">
      <c r="A12" s="5" t="s">
        <v>92</v>
      </c>
      <c r="B12" s="5" t="s">
        <v>93</v>
      </c>
      <c r="C12" s="5" t="s">
        <v>75</v>
      </c>
      <c r="D12" s="6" t="s">
        <v>55</v>
      </c>
      <c r="E12" s="7" t="n">
        <v>411</v>
      </c>
      <c r="F12" s="8" t="n">
        <v>77332.4</v>
      </c>
      <c r="G12" s="9" t="n">
        <v>80000</v>
      </c>
      <c r="H12" s="9" t="n">
        <v>219.22</v>
      </c>
      <c r="I12" s="5" t="s">
        <v>56</v>
      </c>
      <c r="J12" s="5" t="n">
        <f aca="false">COUNTIF('Comment Log'!$A:$A,$A12)</f>
        <v>82</v>
      </c>
      <c r="K12" s="5" t="s">
        <v>57</v>
      </c>
      <c r="L12" s="5" t="s">
        <v>71</v>
      </c>
      <c r="M12" s="10" t="s">
        <v>94</v>
      </c>
    </row>
    <row r="13" customFormat="false" ht="15" hidden="false" customHeight="false" outlineLevel="0" collapsed="false">
      <c r="A13" s="5" t="s">
        <v>95</v>
      </c>
      <c r="B13" s="5" t="s">
        <v>96</v>
      </c>
      <c r="C13" s="5" t="s">
        <v>75</v>
      </c>
      <c r="D13" s="6" t="s">
        <v>55</v>
      </c>
      <c r="E13" s="7" t="n">
        <v>11</v>
      </c>
      <c r="F13" s="8" t="n">
        <v>1959.96</v>
      </c>
      <c r="G13" s="9" t="n">
        <v>5000</v>
      </c>
      <c r="H13" s="9" t="n">
        <v>157.53</v>
      </c>
      <c r="I13" s="5" t="s">
        <v>56</v>
      </c>
      <c r="J13" s="5" t="n">
        <f aca="false">COUNTIF('Comment Log'!$A:$A,$A13)</f>
        <v>0</v>
      </c>
      <c r="K13" s="5"/>
      <c r="L13" s="5"/>
      <c r="M13" s="10" t="s">
        <v>97</v>
      </c>
    </row>
    <row r="14" customFormat="false" ht="35.05" hidden="false" customHeight="false" outlineLevel="0" collapsed="false">
      <c r="A14" s="5" t="s">
        <v>98</v>
      </c>
      <c r="B14" s="5" t="s">
        <v>99</v>
      </c>
      <c r="C14" s="5" t="s">
        <v>75</v>
      </c>
      <c r="D14" s="6" t="s">
        <v>55</v>
      </c>
      <c r="E14" s="7" t="n">
        <v>107.5</v>
      </c>
      <c r="F14" s="8" t="n">
        <v>37850.87</v>
      </c>
      <c r="G14" s="9" t="n">
        <v>50000</v>
      </c>
      <c r="H14" s="9" t="n">
        <v>414</v>
      </c>
      <c r="I14" s="5" t="s">
        <v>56</v>
      </c>
      <c r="J14" s="5" t="n">
        <f aca="false">COUNTIF('Comment Log'!$A:$A,$A14)</f>
        <v>47</v>
      </c>
      <c r="K14" s="5" t="s">
        <v>76</v>
      </c>
      <c r="L14" s="5" t="s">
        <v>71</v>
      </c>
      <c r="M14" s="10" t="s">
        <v>100</v>
      </c>
    </row>
    <row r="15" customFormat="false" ht="35.05" hidden="false" customHeight="false" outlineLevel="0" collapsed="false">
      <c r="A15" s="5" t="s">
        <v>101</v>
      </c>
      <c r="B15" s="5" t="s">
        <v>102</v>
      </c>
      <c r="C15" s="5" t="s">
        <v>103</v>
      </c>
      <c r="D15" s="11"/>
      <c r="E15" s="7"/>
      <c r="F15" s="8"/>
      <c r="G15" s="9"/>
      <c r="H15" s="9" t="n">
        <v>98.78</v>
      </c>
      <c r="I15" s="5" t="s">
        <v>56</v>
      </c>
      <c r="J15" s="5" t="n">
        <f aca="false">COUNTIF('Comment Log'!$A:$A,$A15)</f>
        <v>22</v>
      </c>
      <c r="K15" s="5" t="s">
        <v>76</v>
      </c>
      <c r="L15" s="5" t="s">
        <v>71</v>
      </c>
      <c r="M15" s="10" t="s">
        <v>104</v>
      </c>
    </row>
    <row r="16" customFormat="false" ht="46.25" hidden="false" customHeight="false" outlineLevel="0" collapsed="false">
      <c r="A16" s="5" t="s">
        <v>105</v>
      </c>
      <c r="B16" s="5" t="s">
        <v>106</v>
      </c>
      <c r="C16" s="5" t="s">
        <v>103</v>
      </c>
      <c r="D16" s="6" t="s">
        <v>55</v>
      </c>
      <c r="E16" s="7" t="n">
        <v>34</v>
      </c>
      <c r="F16" s="8" t="n">
        <v>8162.07</v>
      </c>
      <c r="G16" s="9" t="n">
        <v>20000</v>
      </c>
      <c r="H16" s="9" t="n">
        <v>534.24</v>
      </c>
      <c r="I16" s="5" t="s">
        <v>56</v>
      </c>
      <c r="J16" s="5" t="n">
        <f aca="false">COUNTIF('Comment Log'!$A:$A,$A16)</f>
        <v>16</v>
      </c>
      <c r="K16" s="5" t="s">
        <v>57</v>
      </c>
      <c r="L16" s="5" t="s">
        <v>71</v>
      </c>
      <c r="M16" s="10" t="s">
        <v>107</v>
      </c>
    </row>
    <row r="17" customFormat="false" ht="35.05" hidden="false" customHeight="false" outlineLevel="0" collapsed="false">
      <c r="A17" s="5" t="s">
        <v>108</v>
      </c>
      <c r="B17" s="5" t="s">
        <v>109</v>
      </c>
      <c r="C17" s="5" t="s">
        <v>103</v>
      </c>
      <c r="D17" s="6" t="s">
        <v>55</v>
      </c>
      <c r="E17" s="7" t="n">
        <v>55</v>
      </c>
      <c r="F17" s="8" t="n">
        <v>3454.62</v>
      </c>
      <c r="G17" s="9" t="n">
        <v>5000</v>
      </c>
      <c r="H17" s="9" t="n">
        <v>53.86</v>
      </c>
      <c r="I17" s="5" t="s">
        <v>56</v>
      </c>
      <c r="J17" s="5" t="n">
        <f aca="false">COUNTIF('Comment Log'!$A:$A,$A17)</f>
        <v>4</v>
      </c>
      <c r="K17" s="5" t="s">
        <v>76</v>
      </c>
      <c r="L17" s="5" t="s">
        <v>86</v>
      </c>
      <c r="M17" s="10" t="s">
        <v>110</v>
      </c>
    </row>
    <row r="18" customFormat="false" ht="57.45" hidden="false" customHeight="false" outlineLevel="0" collapsed="false">
      <c r="A18" s="5" t="s">
        <v>111</v>
      </c>
      <c r="B18" s="5" t="s">
        <v>112</v>
      </c>
      <c r="C18" s="5" t="s">
        <v>103</v>
      </c>
      <c r="D18" s="6" t="s">
        <v>55</v>
      </c>
      <c r="E18" s="7" t="n">
        <v>13</v>
      </c>
      <c r="F18" s="8" t="n">
        <v>16394.06</v>
      </c>
      <c r="G18" s="9" t="n">
        <v>30000</v>
      </c>
      <c r="H18" s="9" t="n">
        <v>1678.22</v>
      </c>
      <c r="I18" s="5" t="s">
        <v>56</v>
      </c>
      <c r="J18" s="5" t="n">
        <f aca="false">COUNTIF('Comment Log'!$A:$A,$A18)</f>
        <v>29</v>
      </c>
      <c r="K18" s="5" t="s">
        <v>90</v>
      </c>
      <c r="L18" s="5" t="s">
        <v>58</v>
      </c>
      <c r="M18" s="10" t="s">
        <v>113</v>
      </c>
    </row>
    <row r="19" customFormat="false" ht="35.05" hidden="false" customHeight="false" outlineLevel="0" collapsed="false">
      <c r="A19" s="5" t="s">
        <v>114</v>
      </c>
      <c r="B19" s="5" t="s">
        <v>115</v>
      </c>
      <c r="C19" s="5" t="s">
        <v>103</v>
      </c>
      <c r="D19" s="6" t="s">
        <v>55</v>
      </c>
      <c r="E19" s="7" t="n">
        <v>18</v>
      </c>
      <c r="F19" s="8" t="n">
        <v>3510.69</v>
      </c>
      <c r="G19" s="9" t="n">
        <v>10000</v>
      </c>
      <c r="H19" s="9" t="n">
        <v>192.8</v>
      </c>
      <c r="I19" s="5" t="s">
        <v>56</v>
      </c>
      <c r="J19" s="5" t="n">
        <f aca="false">COUNTIF('Comment Log'!$A:$A,$A19)</f>
        <v>5</v>
      </c>
      <c r="K19" s="5" t="s">
        <v>90</v>
      </c>
      <c r="L19" s="5" t="s">
        <v>116</v>
      </c>
      <c r="M19" s="10" t="s">
        <v>117</v>
      </c>
    </row>
    <row r="20" customFormat="false" ht="46.25" hidden="false" customHeight="false" outlineLevel="0" collapsed="false">
      <c r="A20" s="5" t="s">
        <v>118</v>
      </c>
      <c r="B20" s="5" t="s">
        <v>119</v>
      </c>
      <c r="C20" s="5" t="s">
        <v>103</v>
      </c>
      <c r="D20" s="6" t="s">
        <v>55</v>
      </c>
      <c r="E20" s="7" t="n">
        <v>22</v>
      </c>
      <c r="F20" s="8" t="n">
        <v>4100.12</v>
      </c>
      <c r="G20" s="9" t="n">
        <v>15000</v>
      </c>
      <c r="H20" s="9" t="n">
        <v>307.42</v>
      </c>
      <c r="I20" s="5" t="s">
        <v>56</v>
      </c>
      <c r="J20" s="5" t="n">
        <f aca="false">COUNTIF('Comment Log'!$A:$A,$A20)</f>
        <v>25</v>
      </c>
      <c r="K20" s="5" t="s">
        <v>57</v>
      </c>
      <c r="L20" s="5" t="s">
        <v>71</v>
      </c>
      <c r="M20" s="10" t="s">
        <v>120</v>
      </c>
    </row>
    <row r="21" customFormat="false" ht="35.05" hidden="false" customHeight="false" outlineLevel="0" collapsed="false">
      <c r="A21" s="5" t="s">
        <v>121</v>
      </c>
      <c r="B21" s="5" t="s">
        <v>122</v>
      </c>
      <c r="C21" s="5" t="s">
        <v>123</v>
      </c>
      <c r="D21" s="6" t="s">
        <v>55</v>
      </c>
      <c r="E21" s="7" t="n">
        <v>33.45</v>
      </c>
      <c r="F21" s="8" t="n">
        <v>20655.29</v>
      </c>
      <c r="G21" s="9" t="n">
        <v>30000</v>
      </c>
      <c r="H21" s="9" t="n">
        <v>893.19</v>
      </c>
      <c r="I21" s="5" t="s">
        <v>56</v>
      </c>
      <c r="J21" s="5" t="n">
        <f aca="false">COUNTIF('Comment Log'!$A:$A,$A21)</f>
        <v>93</v>
      </c>
      <c r="K21" s="5" t="s">
        <v>57</v>
      </c>
      <c r="L21" s="5" t="s">
        <v>58</v>
      </c>
      <c r="M21" s="10" t="s">
        <v>124</v>
      </c>
    </row>
    <row r="22" customFormat="false" ht="46.25" hidden="false" customHeight="false" outlineLevel="0" collapsed="false">
      <c r="A22" s="5" t="s">
        <v>125</v>
      </c>
      <c r="B22" s="5" t="s">
        <v>126</v>
      </c>
      <c r="C22" s="5" t="s">
        <v>123</v>
      </c>
      <c r="D22" s="6" t="s">
        <v>55</v>
      </c>
      <c r="E22" s="7" t="n">
        <v>15</v>
      </c>
      <c r="F22" s="8" t="n">
        <v>1913.26</v>
      </c>
      <c r="G22" s="9" t="n">
        <v>10000</v>
      </c>
      <c r="H22" s="9" t="n">
        <v>151.03</v>
      </c>
      <c r="I22" s="5" t="s">
        <v>56</v>
      </c>
      <c r="J22" s="5" t="n">
        <f aca="false">COUNTIF('Comment Log'!$A:$A,$A22)</f>
        <v>34</v>
      </c>
      <c r="K22" s="5" t="s">
        <v>76</v>
      </c>
      <c r="L22" s="5" t="s">
        <v>116</v>
      </c>
      <c r="M22" s="10" t="s">
        <v>127</v>
      </c>
    </row>
    <row r="23" customFormat="false" ht="35.05" hidden="false" customHeight="false" outlineLevel="0" collapsed="false">
      <c r="A23" s="5" t="s">
        <v>128</v>
      </c>
      <c r="B23" s="5" t="s">
        <v>129</v>
      </c>
      <c r="C23" s="5" t="s">
        <v>123</v>
      </c>
      <c r="D23" s="11"/>
      <c r="E23" s="7"/>
      <c r="F23" s="8"/>
      <c r="G23" s="9"/>
      <c r="H23" s="9" t="n">
        <v>1350.5</v>
      </c>
      <c r="I23" s="5" t="s">
        <v>56</v>
      </c>
      <c r="J23" s="5" t="n">
        <f aca="false">COUNTIF('Comment Log'!$A:$A,$A23)</f>
        <v>16</v>
      </c>
      <c r="K23" s="5" t="s">
        <v>90</v>
      </c>
      <c r="L23" s="5" t="s">
        <v>58</v>
      </c>
      <c r="M23" s="10" t="s">
        <v>130</v>
      </c>
    </row>
    <row r="24" customFormat="false" ht="23.85" hidden="false" customHeight="false" outlineLevel="0" collapsed="false">
      <c r="A24" s="5" t="s">
        <v>131</v>
      </c>
      <c r="B24" s="5" t="s">
        <v>132</v>
      </c>
      <c r="C24" s="5" t="s">
        <v>123</v>
      </c>
      <c r="D24" s="11"/>
      <c r="E24" s="7"/>
      <c r="F24" s="8"/>
      <c r="G24" s="9"/>
      <c r="H24" s="9" t="n">
        <v>837.66</v>
      </c>
      <c r="I24" s="5" t="s">
        <v>56</v>
      </c>
      <c r="J24" s="5" t="n">
        <f aca="false">COUNTIF('Comment Log'!$A:$A,$A24)</f>
        <v>3</v>
      </c>
      <c r="K24" s="5" t="s">
        <v>133</v>
      </c>
      <c r="L24" s="5" t="s">
        <v>134</v>
      </c>
      <c r="M24" s="10" t="s">
        <v>135</v>
      </c>
    </row>
    <row r="25" customFormat="false" ht="35.05" hidden="false" customHeight="false" outlineLevel="0" collapsed="false">
      <c r="A25" s="5" t="s">
        <v>136</v>
      </c>
      <c r="B25" s="5" t="s">
        <v>137</v>
      </c>
      <c r="C25" s="5" t="s">
        <v>123</v>
      </c>
      <c r="D25" s="11"/>
      <c r="E25" s="7"/>
      <c r="F25" s="8"/>
      <c r="G25" s="9"/>
      <c r="H25" s="9" t="n">
        <v>519.17</v>
      </c>
      <c r="I25" s="5" t="s">
        <v>56</v>
      </c>
      <c r="J25" s="5" t="n">
        <f aca="false">COUNTIF('Comment Log'!$A:$A,$A25)</f>
        <v>8</v>
      </c>
      <c r="K25" s="5" t="s">
        <v>90</v>
      </c>
      <c r="L25" s="5" t="s">
        <v>86</v>
      </c>
      <c r="M25" s="10" t="s">
        <v>138</v>
      </c>
    </row>
    <row r="26" customFormat="false" ht="46.25" hidden="false" customHeight="false" outlineLevel="0" collapsed="false">
      <c r="A26" s="5" t="s">
        <v>139</v>
      </c>
      <c r="B26" s="5" t="s">
        <v>140</v>
      </c>
      <c r="C26" s="5" t="s">
        <v>141</v>
      </c>
      <c r="D26" s="6" t="s">
        <v>55</v>
      </c>
      <c r="E26" s="7" t="n">
        <v>10</v>
      </c>
      <c r="F26" s="8" t="n">
        <v>1338.56</v>
      </c>
      <c r="G26" s="9"/>
      <c r="H26" s="9" t="n">
        <v>128.56</v>
      </c>
      <c r="I26" s="5" t="s">
        <v>56</v>
      </c>
      <c r="J26" s="5" t="n">
        <f aca="false">COUNTIF('Comment Log'!$A:$A,$A26)</f>
        <v>17</v>
      </c>
      <c r="K26" s="5" t="s">
        <v>90</v>
      </c>
      <c r="L26" s="5" t="s">
        <v>71</v>
      </c>
      <c r="M26" s="10" t="s">
        <v>107</v>
      </c>
    </row>
    <row r="27" customFormat="false" ht="23.85" hidden="false" customHeight="false" outlineLevel="0" collapsed="false">
      <c r="A27" s="5" t="s">
        <v>142</v>
      </c>
      <c r="B27" s="5" t="s">
        <v>143</v>
      </c>
      <c r="C27" s="5" t="s">
        <v>141</v>
      </c>
      <c r="D27" s="6" t="s">
        <v>55</v>
      </c>
      <c r="E27" s="7" t="n">
        <v>15</v>
      </c>
      <c r="F27" s="8" t="n">
        <v>3805.47</v>
      </c>
      <c r="G27" s="9" t="n">
        <v>15000</v>
      </c>
      <c r="H27" s="9" t="n">
        <v>318.43</v>
      </c>
      <c r="I27" s="5" t="s">
        <v>56</v>
      </c>
      <c r="J27" s="5" t="n">
        <f aca="false">COUNTIF('Comment Log'!$A:$A,$A27)</f>
        <v>4</v>
      </c>
      <c r="K27" s="5" t="s">
        <v>76</v>
      </c>
      <c r="L27" s="5" t="s">
        <v>133</v>
      </c>
      <c r="M27" s="10" t="s">
        <v>144</v>
      </c>
    </row>
    <row r="28" customFormat="false" ht="23.85" hidden="false" customHeight="false" outlineLevel="0" collapsed="false">
      <c r="A28" s="5" t="s">
        <v>145</v>
      </c>
      <c r="B28" s="5" t="s">
        <v>146</v>
      </c>
      <c r="C28" s="5" t="s">
        <v>141</v>
      </c>
      <c r="D28" s="6" t="s">
        <v>55</v>
      </c>
      <c r="E28" s="7" t="n">
        <v>88</v>
      </c>
      <c r="F28" s="8" t="n">
        <v>13650.01</v>
      </c>
      <c r="G28" s="9" t="n">
        <v>20000</v>
      </c>
      <c r="H28" s="9" t="n">
        <v>197.31</v>
      </c>
      <c r="I28" s="5" t="s">
        <v>56</v>
      </c>
      <c r="J28" s="5" t="n">
        <f aca="false">COUNTIF('Comment Log'!$A:$A,$A28)</f>
        <v>6</v>
      </c>
      <c r="K28" s="5" t="s">
        <v>147</v>
      </c>
      <c r="L28" s="5" t="s">
        <v>133</v>
      </c>
      <c r="M28" s="10" t="s">
        <v>144</v>
      </c>
    </row>
    <row r="29" customFormat="false" ht="35.05" hidden="false" customHeight="false" outlineLevel="0" collapsed="false">
      <c r="A29" s="5" t="s">
        <v>148</v>
      </c>
      <c r="B29" s="5" t="s">
        <v>149</v>
      </c>
      <c r="C29" s="5" t="s">
        <v>141</v>
      </c>
      <c r="D29" s="6" t="s">
        <v>55</v>
      </c>
      <c r="E29" s="7" t="n">
        <v>16</v>
      </c>
      <c r="F29" s="8" t="n">
        <v>2004.4</v>
      </c>
      <c r="G29" s="9" t="n">
        <v>10000</v>
      </c>
      <c r="H29" s="9" t="n">
        <v>172.24</v>
      </c>
      <c r="I29" s="5" t="s">
        <v>56</v>
      </c>
      <c r="J29" s="5" t="n">
        <f aca="false">COUNTIF('Comment Log'!$A:$A,$A29)</f>
        <v>10</v>
      </c>
      <c r="K29" s="5" t="s">
        <v>90</v>
      </c>
      <c r="L29" s="5" t="s">
        <v>150</v>
      </c>
      <c r="M29" s="10" t="s">
        <v>151</v>
      </c>
    </row>
    <row r="30" customFormat="false" ht="46.25" hidden="false" customHeight="false" outlineLevel="0" collapsed="false">
      <c r="A30" s="5" t="s">
        <v>152</v>
      </c>
      <c r="B30" s="5" t="s">
        <v>153</v>
      </c>
      <c r="C30" s="5" t="s">
        <v>141</v>
      </c>
      <c r="D30" s="11"/>
      <c r="E30" s="7"/>
      <c r="F30" s="8"/>
      <c r="G30" s="9"/>
      <c r="H30" s="9" t="n">
        <v>68.61</v>
      </c>
      <c r="I30" s="5" t="s">
        <v>56</v>
      </c>
      <c r="J30" s="5" t="n">
        <f aca="false">COUNTIF('Comment Log'!$A:$A,$A30)</f>
        <v>4</v>
      </c>
      <c r="K30" s="5" t="s">
        <v>71</v>
      </c>
      <c r="L30" s="5" t="s">
        <v>71</v>
      </c>
      <c r="M30" s="10" t="s">
        <v>154</v>
      </c>
    </row>
    <row r="31" customFormat="false" ht="46.25" hidden="false" customHeight="false" outlineLevel="0" collapsed="false">
      <c r="A31" s="5" t="s">
        <v>155</v>
      </c>
      <c r="B31" s="5" t="s">
        <v>156</v>
      </c>
      <c r="C31" s="5" t="s">
        <v>141</v>
      </c>
      <c r="D31" s="6" t="s">
        <v>55</v>
      </c>
      <c r="E31" s="7" t="n">
        <v>4</v>
      </c>
      <c r="F31" s="8" t="n">
        <v>1328.56</v>
      </c>
      <c r="G31" s="9"/>
      <c r="H31" s="9" t="n">
        <v>328.22</v>
      </c>
      <c r="I31" s="5" t="s">
        <v>56</v>
      </c>
      <c r="J31" s="5" t="n">
        <f aca="false">COUNTIF('Comment Log'!$A:$A,$A31)</f>
        <v>8</v>
      </c>
      <c r="K31" s="5" t="s">
        <v>56</v>
      </c>
      <c r="L31" s="5" t="s">
        <v>71</v>
      </c>
      <c r="M31" s="10" t="s">
        <v>157</v>
      </c>
    </row>
    <row r="32" customFormat="false" ht="23.85" hidden="false" customHeight="false" outlineLevel="0" collapsed="false">
      <c r="A32" s="5" t="s">
        <v>158</v>
      </c>
      <c r="B32" s="5" t="s">
        <v>159</v>
      </c>
      <c r="C32" s="5" t="s">
        <v>141</v>
      </c>
      <c r="D32" s="6" t="s">
        <v>55</v>
      </c>
      <c r="E32" s="7" t="n">
        <v>54</v>
      </c>
      <c r="F32" s="8" t="n">
        <v>7700.99</v>
      </c>
      <c r="G32" s="9" t="n">
        <v>15000</v>
      </c>
      <c r="H32" s="9" t="n">
        <v>224.63</v>
      </c>
      <c r="I32" s="5" t="s">
        <v>56</v>
      </c>
      <c r="J32" s="5" t="n">
        <f aca="false">COUNTIF('Comment Log'!$A:$A,$A32)</f>
        <v>10</v>
      </c>
      <c r="K32" s="5" t="s">
        <v>76</v>
      </c>
      <c r="L32" s="5" t="s">
        <v>116</v>
      </c>
      <c r="M32" s="10" t="s">
        <v>144</v>
      </c>
    </row>
    <row r="33" customFormat="false" ht="23.85" hidden="false" customHeight="false" outlineLevel="0" collapsed="false">
      <c r="A33" s="5" t="s">
        <v>160</v>
      </c>
      <c r="B33" s="5" t="s">
        <v>161</v>
      </c>
      <c r="C33" s="5" t="s">
        <v>141</v>
      </c>
      <c r="D33" s="6" t="s">
        <v>55</v>
      </c>
      <c r="E33" s="7" t="n">
        <v>3</v>
      </c>
      <c r="F33" s="8" t="n">
        <v>1604.56</v>
      </c>
      <c r="G33" s="9"/>
      <c r="H33" s="9" t="n">
        <v>522.22</v>
      </c>
      <c r="I33" s="5" t="s">
        <v>56</v>
      </c>
      <c r="J33" s="5" t="n">
        <f aca="false">COUNTIF('Comment Log'!$A:$A,$A33)</f>
        <v>7</v>
      </c>
      <c r="K33" s="5" t="s">
        <v>76</v>
      </c>
      <c r="L33" s="5" t="s">
        <v>56</v>
      </c>
      <c r="M33" s="10" t="s">
        <v>80</v>
      </c>
    </row>
    <row r="34" customFormat="false" ht="57.45" hidden="false" customHeight="false" outlineLevel="0" collapsed="false">
      <c r="A34" s="5" t="s">
        <v>162</v>
      </c>
      <c r="B34" s="5" t="s">
        <v>163</v>
      </c>
      <c r="C34" s="5" t="s">
        <v>141</v>
      </c>
      <c r="D34" s="11"/>
      <c r="E34" s="7"/>
      <c r="F34" s="8"/>
      <c r="G34" s="9"/>
      <c r="H34" s="9" t="n">
        <v>156.7</v>
      </c>
      <c r="I34" s="5" t="s">
        <v>56</v>
      </c>
      <c r="J34" s="5" t="n">
        <f aca="false">COUNTIF('Comment Log'!$A:$A,$A34)</f>
        <v>4</v>
      </c>
      <c r="K34" s="5" t="s">
        <v>76</v>
      </c>
      <c r="L34" s="5" t="s">
        <v>134</v>
      </c>
      <c r="M34" s="10" t="s">
        <v>164</v>
      </c>
    </row>
    <row r="35" customFormat="false" ht="46.25" hidden="false" customHeight="false" outlineLevel="0" collapsed="false">
      <c r="A35" s="5" t="s">
        <v>165</v>
      </c>
      <c r="B35" s="5" t="s">
        <v>166</v>
      </c>
      <c r="C35" s="5" t="s">
        <v>141</v>
      </c>
      <c r="D35" s="6" t="s">
        <v>55</v>
      </c>
      <c r="E35" s="7" t="n">
        <v>9.5</v>
      </c>
      <c r="F35" s="8" t="n">
        <v>7610.18</v>
      </c>
      <c r="G35" s="9" t="n">
        <v>20000</v>
      </c>
      <c r="H35" s="9" t="n">
        <v>826.26</v>
      </c>
      <c r="I35" s="5" t="s">
        <v>56</v>
      </c>
      <c r="J35" s="5" t="n">
        <f aca="false">COUNTIF('Comment Log'!$A:$A,$A35)</f>
        <v>20</v>
      </c>
      <c r="K35" s="5" t="s">
        <v>90</v>
      </c>
      <c r="L35" s="5" t="s">
        <v>71</v>
      </c>
      <c r="M35" s="10" t="s">
        <v>157</v>
      </c>
    </row>
    <row r="36" customFormat="false" ht="35.05" hidden="false" customHeight="false" outlineLevel="0" collapsed="false">
      <c r="A36" s="5" t="s">
        <v>167</v>
      </c>
      <c r="B36" s="5" t="s">
        <v>168</v>
      </c>
      <c r="C36" s="5" t="s">
        <v>141</v>
      </c>
      <c r="D36" s="11"/>
      <c r="E36" s="7"/>
      <c r="F36" s="8"/>
      <c r="G36" s="9"/>
      <c r="H36" s="9" t="n">
        <v>7.27</v>
      </c>
      <c r="I36" s="5" t="s">
        <v>56</v>
      </c>
      <c r="J36" s="5" t="n">
        <f aca="false">COUNTIF('Comment Log'!$A:$A,$A36)</f>
        <v>5</v>
      </c>
      <c r="K36" s="5" t="s">
        <v>71</v>
      </c>
      <c r="L36" s="5" t="s">
        <v>71</v>
      </c>
      <c r="M36" s="10" t="s">
        <v>169</v>
      </c>
    </row>
    <row r="37" customFormat="false" ht="23.85" hidden="false" customHeight="false" outlineLevel="0" collapsed="false">
      <c r="A37" s="5" t="s">
        <v>170</v>
      </c>
      <c r="B37" s="5" t="s">
        <v>171</v>
      </c>
      <c r="C37" s="5" t="s">
        <v>141</v>
      </c>
      <c r="D37" s="11"/>
      <c r="E37" s="7"/>
      <c r="F37" s="8"/>
      <c r="G37" s="9"/>
      <c r="H37" s="9" t="n">
        <v>8.09</v>
      </c>
      <c r="I37" s="5" t="s">
        <v>56</v>
      </c>
      <c r="J37" s="5" t="n">
        <f aca="false">COUNTIF('Comment Log'!$A:$A,$A37)</f>
        <v>12</v>
      </c>
      <c r="K37" s="5" t="s">
        <v>116</v>
      </c>
      <c r="L37" s="5" t="s">
        <v>71</v>
      </c>
      <c r="M37" s="10" t="s">
        <v>172</v>
      </c>
    </row>
    <row r="38" customFormat="false" ht="46.25" hidden="false" customHeight="false" outlineLevel="0" collapsed="false">
      <c r="A38" s="5" t="s">
        <v>173</v>
      </c>
      <c r="B38" s="5" t="s">
        <v>174</v>
      </c>
      <c r="C38" s="5" t="s">
        <v>175</v>
      </c>
      <c r="D38" s="11"/>
      <c r="E38" s="7"/>
      <c r="F38" s="8"/>
      <c r="G38" s="9"/>
      <c r="H38" s="9" t="n">
        <v>5.95</v>
      </c>
      <c r="I38" s="5" t="s">
        <v>56</v>
      </c>
      <c r="J38" s="5" t="n">
        <f aca="false">COUNTIF('Comment Log'!$A:$A,$A38)</f>
        <v>6</v>
      </c>
      <c r="K38" s="5" t="s">
        <v>56</v>
      </c>
      <c r="L38" s="5" t="s">
        <v>71</v>
      </c>
      <c r="M38" s="10" t="s">
        <v>120</v>
      </c>
    </row>
    <row r="39" customFormat="false" ht="46.25" hidden="false" customHeight="false" outlineLevel="0" collapsed="false">
      <c r="A39" s="5" t="s">
        <v>176</v>
      </c>
      <c r="B39" s="5" t="s">
        <v>177</v>
      </c>
      <c r="C39" s="5" t="s">
        <v>175</v>
      </c>
      <c r="D39" s="11"/>
      <c r="E39" s="7"/>
      <c r="F39" s="8"/>
      <c r="G39" s="9"/>
      <c r="H39" s="9" t="n">
        <v>11.72</v>
      </c>
      <c r="I39" s="5" t="s">
        <v>56</v>
      </c>
      <c r="J39" s="5" t="n">
        <f aca="false">COUNTIF('Comment Log'!$A:$A,$A39)</f>
        <v>5</v>
      </c>
      <c r="K39" s="5" t="s">
        <v>116</v>
      </c>
      <c r="L39" s="5" t="s">
        <v>86</v>
      </c>
      <c r="M39" s="10" t="s">
        <v>178</v>
      </c>
    </row>
    <row r="40" customFormat="false" ht="15" hidden="false" customHeight="false" outlineLevel="0" collapsed="false">
      <c r="A40" s="5" t="s">
        <v>179</v>
      </c>
      <c r="B40" s="5" t="s">
        <v>180</v>
      </c>
      <c r="C40" s="5" t="s">
        <v>175</v>
      </c>
      <c r="D40" s="11"/>
      <c r="E40" s="7"/>
      <c r="F40" s="8"/>
      <c r="G40" s="9"/>
      <c r="H40" s="9" t="n">
        <v>234.33</v>
      </c>
      <c r="I40" s="5" t="s">
        <v>56</v>
      </c>
      <c r="J40" s="5" t="n">
        <f aca="false">COUNTIF('Comment Log'!$A:$A,$A40)</f>
        <v>0</v>
      </c>
      <c r="K40" s="5"/>
      <c r="L40" s="5"/>
      <c r="M40" s="10" t="s">
        <v>97</v>
      </c>
    </row>
    <row r="41" customFormat="false" ht="79.85" hidden="false" customHeight="false" outlineLevel="0" collapsed="false">
      <c r="A41" s="5" t="s">
        <v>181</v>
      </c>
      <c r="B41" s="5" t="s">
        <v>182</v>
      </c>
      <c r="C41" s="5" t="s">
        <v>175</v>
      </c>
      <c r="D41" s="11"/>
      <c r="E41" s="7"/>
      <c r="F41" s="8"/>
      <c r="G41" s="9"/>
      <c r="H41" s="9" t="n">
        <v>38.95</v>
      </c>
      <c r="I41" s="5" t="s">
        <v>56</v>
      </c>
      <c r="J41" s="5" t="n">
        <f aca="false">COUNTIF('Comment Log'!$A:$A,$A41)</f>
        <v>1</v>
      </c>
      <c r="K41" s="5" t="s">
        <v>183</v>
      </c>
      <c r="L41" s="5" t="s">
        <v>183</v>
      </c>
      <c r="M41" s="10" t="s">
        <v>184</v>
      </c>
    </row>
    <row r="42" customFormat="false" ht="23.85" hidden="false" customHeight="false" outlineLevel="0" collapsed="false">
      <c r="A42" s="5" t="s">
        <v>185</v>
      </c>
      <c r="B42" s="5" t="s">
        <v>186</v>
      </c>
      <c r="C42" s="5" t="s">
        <v>175</v>
      </c>
      <c r="D42" s="11"/>
      <c r="E42" s="7"/>
      <c r="F42" s="8"/>
      <c r="G42" s="9"/>
      <c r="H42" s="9" t="n">
        <v>3.82</v>
      </c>
      <c r="I42" s="5" t="s">
        <v>56</v>
      </c>
      <c r="J42" s="5" t="n">
        <f aca="false">COUNTIF('Comment Log'!$A:$A,$A42)</f>
        <v>7</v>
      </c>
      <c r="K42" s="5" t="s">
        <v>76</v>
      </c>
      <c r="L42" s="5" t="s">
        <v>86</v>
      </c>
      <c r="M42" s="10" t="s">
        <v>187</v>
      </c>
    </row>
    <row r="43" customFormat="false" ht="23.85" hidden="false" customHeight="false" outlineLevel="0" collapsed="false">
      <c r="A43" s="5" t="s">
        <v>188</v>
      </c>
      <c r="B43" s="5" t="s">
        <v>189</v>
      </c>
      <c r="C43" s="5" t="s">
        <v>175</v>
      </c>
      <c r="D43" s="11"/>
      <c r="E43" s="7"/>
      <c r="F43" s="8"/>
      <c r="G43" s="9"/>
      <c r="H43" s="9" t="n">
        <v>14.23</v>
      </c>
      <c r="I43" s="5" t="s">
        <v>56</v>
      </c>
      <c r="J43" s="5" t="n">
        <f aca="false">COUNTIF('Comment Log'!$A:$A,$A43)</f>
        <v>6</v>
      </c>
      <c r="K43" s="5" t="s">
        <v>71</v>
      </c>
      <c r="L43" s="5" t="s">
        <v>71</v>
      </c>
      <c r="M43" s="10" t="s">
        <v>190</v>
      </c>
    </row>
    <row r="44" customFormat="false" ht="35.05" hidden="false" customHeight="false" outlineLevel="0" collapsed="false">
      <c r="A44" s="5" t="s">
        <v>191</v>
      </c>
      <c r="B44" s="5" t="s">
        <v>192</v>
      </c>
      <c r="C44" s="5" t="s">
        <v>175</v>
      </c>
      <c r="D44" s="6" t="s">
        <v>55</v>
      </c>
      <c r="E44" s="7" t="n">
        <v>1</v>
      </c>
      <c r="F44" s="8" t="n">
        <v>1538.56</v>
      </c>
      <c r="G44" s="9" t="n">
        <v>5000</v>
      </c>
      <c r="H44" s="9" t="n">
        <v>1345.46</v>
      </c>
      <c r="I44" s="5" t="s">
        <v>56</v>
      </c>
      <c r="J44" s="5" t="n">
        <f aca="false">COUNTIF('Comment Log'!$A:$A,$A44)</f>
        <v>6</v>
      </c>
      <c r="K44" s="5" t="s">
        <v>76</v>
      </c>
      <c r="L44" s="5" t="s">
        <v>58</v>
      </c>
      <c r="M44" s="10" t="s">
        <v>193</v>
      </c>
    </row>
    <row r="45" customFormat="false" ht="35.05" hidden="false" customHeight="false" outlineLevel="0" collapsed="false">
      <c r="A45" s="5" t="s">
        <v>194</v>
      </c>
      <c r="B45" s="5" t="s">
        <v>195</v>
      </c>
      <c r="C45" s="5" t="s">
        <v>175</v>
      </c>
      <c r="D45" s="11"/>
      <c r="E45" s="7"/>
      <c r="F45" s="8"/>
      <c r="G45" s="9"/>
      <c r="H45" s="9" t="n">
        <v>85.91</v>
      </c>
      <c r="I45" s="5" t="s">
        <v>56</v>
      </c>
      <c r="J45" s="5" t="n">
        <f aca="false">COUNTIF('Comment Log'!$A:$A,$A45)</f>
        <v>3</v>
      </c>
      <c r="K45" s="5" t="s">
        <v>183</v>
      </c>
      <c r="L45" s="5" t="s">
        <v>58</v>
      </c>
      <c r="M45" s="10" t="s">
        <v>196</v>
      </c>
    </row>
    <row r="46" customFormat="false" ht="15" hidden="false" customHeight="false" outlineLevel="0" collapsed="false">
      <c r="A46" s="5" t="s">
        <v>197</v>
      </c>
      <c r="B46" s="5" t="s">
        <v>198</v>
      </c>
      <c r="C46" s="5" t="s">
        <v>175</v>
      </c>
      <c r="D46" s="11"/>
      <c r="E46" s="7"/>
      <c r="F46" s="8"/>
      <c r="G46" s="9"/>
      <c r="H46" s="9" t="n">
        <v>5.47</v>
      </c>
      <c r="I46" s="5" t="s">
        <v>56</v>
      </c>
      <c r="J46" s="5" t="n">
        <f aca="false">COUNTIF('Comment Log'!$A:$A,$A46)</f>
        <v>0</v>
      </c>
      <c r="K46" s="5"/>
      <c r="L46" s="5"/>
      <c r="M46" s="10" t="s">
        <v>97</v>
      </c>
    </row>
    <row r="47" customFormat="false" ht="35.05" hidden="false" customHeight="false" outlineLevel="0" collapsed="false">
      <c r="A47" s="5" t="s">
        <v>199</v>
      </c>
      <c r="B47" s="5" t="s">
        <v>200</v>
      </c>
      <c r="C47" s="5" t="s">
        <v>175</v>
      </c>
      <c r="D47" s="6" t="s">
        <v>55</v>
      </c>
      <c r="E47" s="7" t="n">
        <v>14</v>
      </c>
      <c r="F47" s="8" t="n">
        <v>3524.44</v>
      </c>
      <c r="G47" s="9" t="n">
        <v>10000</v>
      </c>
      <c r="H47" s="9" t="n">
        <v>277.94</v>
      </c>
      <c r="I47" s="5" t="s">
        <v>56</v>
      </c>
      <c r="J47" s="5" t="n">
        <f aca="false">COUNTIF('Comment Log'!$A:$A,$A47)</f>
        <v>4</v>
      </c>
      <c r="K47" s="5" t="s">
        <v>76</v>
      </c>
      <c r="L47" s="5" t="s">
        <v>58</v>
      </c>
      <c r="M47" s="10" t="s">
        <v>201</v>
      </c>
    </row>
    <row r="48" customFormat="false" ht="35.05" hidden="false" customHeight="false" outlineLevel="0" collapsed="false">
      <c r="A48" s="5" t="s">
        <v>202</v>
      </c>
      <c r="B48" s="5" t="s">
        <v>203</v>
      </c>
      <c r="C48" s="5" t="s">
        <v>175</v>
      </c>
      <c r="D48" s="6" t="s">
        <v>55</v>
      </c>
      <c r="E48" s="7" t="n">
        <v>42</v>
      </c>
      <c r="F48" s="8" t="n">
        <v>6078.05</v>
      </c>
      <c r="G48" s="9" t="n">
        <v>10000</v>
      </c>
      <c r="H48" s="9" t="n">
        <v>140.58</v>
      </c>
      <c r="I48" s="5" t="s">
        <v>56</v>
      </c>
      <c r="J48" s="5" t="n">
        <f aca="false">COUNTIF('Comment Log'!$A:$A,$A48)</f>
        <v>5</v>
      </c>
      <c r="K48" s="5" t="s">
        <v>83</v>
      </c>
      <c r="L48" s="5" t="s">
        <v>56</v>
      </c>
      <c r="M48" s="10" t="s">
        <v>204</v>
      </c>
    </row>
    <row r="49" customFormat="false" ht="35.05" hidden="false" customHeight="false" outlineLevel="0" collapsed="false">
      <c r="A49" s="5" t="s">
        <v>205</v>
      </c>
      <c r="B49" s="5" t="s">
        <v>206</v>
      </c>
      <c r="C49" s="5" t="s">
        <v>175</v>
      </c>
      <c r="D49" s="11"/>
      <c r="E49" s="7"/>
      <c r="F49" s="8"/>
      <c r="G49" s="9"/>
      <c r="H49" s="9" t="n">
        <v>19.05</v>
      </c>
      <c r="I49" s="5" t="s">
        <v>56</v>
      </c>
      <c r="J49" s="5" t="n">
        <f aca="false">COUNTIF('Comment Log'!$A:$A,$A49)</f>
        <v>1</v>
      </c>
      <c r="K49" s="5" t="s">
        <v>56</v>
      </c>
      <c r="L49" s="5" t="s">
        <v>56</v>
      </c>
      <c r="M49" s="10" t="s">
        <v>207</v>
      </c>
    </row>
    <row r="50" customFormat="false" ht="23.85" hidden="false" customHeight="false" outlineLevel="0" collapsed="false">
      <c r="A50" s="5" t="s">
        <v>208</v>
      </c>
      <c r="B50" s="5" t="s">
        <v>209</v>
      </c>
      <c r="C50" s="5" t="s">
        <v>210</v>
      </c>
      <c r="D50" s="6" t="s">
        <v>55</v>
      </c>
      <c r="E50" s="7" t="n">
        <v>62</v>
      </c>
      <c r="F50" s="8" t="n">
        <v>4067.62</v>
      </c>
      <c r="G50" s="9" t="n">
        <v>10000</v>
      </c>
      <c r="H50" s="9" t="n">
        <v>70.71</v>
      </c>
      <c r="I50" s="5" t="s">
        <v>56</v>
      </c>
      <c r="J50" s="5" t="n">
        <f aca="false">COUNTIF('Comment Log'!$A:$A,$A50)</f>
        <v>1</v>
      </c>
      <c r="K50" s="5" t="s">
        <v>76</v>
      </c>
      <c r="L50" s="5" t="s">
        <v>76</v>
      </c>
      <c r="M50" s="10" t="s">
        <v>211</v>
      </c>
    </row>
    <row r="51" customFormat="false" ht="35.05" hidden="false" customHeight="false" outlineLevel="0" collapsed="false">
      <c r="A51" s="5" t="s">
        <v>212</v>
      </c>
      <c r="B51" s="5" t="s">
        <v>213</v>
      </c>
      <c r="C51" s="5" t="s">
        <v>210</v>
      </c>
      <c r="D51" s="6" t="s">
        <v>55</v>
      </c>
      <c r="E51" s="7" t="n">
        <v>33</v>
      </c>
      <c r="F51" s="8" t="n">
        <v>14485.14</v>
      </c>
      <c r="G51" s="9" t="n">
        <v>20000</v>
      </c>
      <c r="H51" s="9" t="n">
        <v>375.2</v>
      </c>
      <c r="I51" s="5" t="s">
        <v>56</v>
      </c>
      <c r="J51" s="5" t="n">
        <f aca="false">COUNTIF('Comment Log'!$A:$A,$A51)</f>
        <v>32</v>
      </c>
      <c r="K51" s="5" t="s">
        <v>57</v>
      </c>
      <c r="L51" s="5" t="s">
        <v>116</v>
      </c>
      <c r="M51" s="10" t="s">
        <v>214</v>
      </c>
    </row>
    <row r="52" customFormat="false" ht="57.45" hidden="false" customHeight="false" outlineLevel="0" collapsed="false">
      <c r="A52" s="5" t="s">
        <v>215</v>
      </c>
      <c r="B52" s="5" t="s">
        <v>216</v>
      </c>
      <c r="C52" s="5" t="s">
        <v>210</v>
      </c>
      <c r="D52" s="11"/>
      <c r="E52" s="7"/>
      <c r="F52" s="8"/>
      <c r="G52" s="9"/>
      <c r="H52" s="9" t="n">
        <v>45.12</v>
      </c>
      <c r="I52" s="5" t="s">
        <v>56</v>
      </c>
      <c r="J52" s="5" t="n">
        <f aca="false">COUNTIF('Comment Log'!$A:$A,$A52)</f>
        <v>3</v>
      </c>
      <c r="K52" s="5" t="s">
        <v>83</v>
      </c>
      <c r="L52" s="5" t="s">
        <v>147</v>
      </c>
      <c r="M52" s="10" t="s">
        <v>217</v>
      </c>
    </row>
    <row r="53" customFormat="false" ht="46.25" hidden="false" customHeight="false" outlineLevel="0" collapsed="false">
      <c r="A53" s="5" t="s">
        <v>218</v>
      </c>
      <c r="B53" s="5" t="s">
        <v>219</v>
      </c>
      <c r="C53" s="5" t="s">
        <v>210</v>
      </c>
      <c r="D53" s="11"/>
      <c r="E53" s="7"/>
      <c r="F53" s="8"/>
      <c r="G53" s="9"/>
      <c r="H53" s="9" t="n">
        <v>450.05</v>
      </c>
      <c r="I53" s="5" t="s">
        <v>56</v>
      </c>
      <c r="J53" s="5" t="n">
        <f aca="false">COUNTIF('Comment Log'!$A:$A,$A53)</f>
        <v>4</v>
      </c>
      <c r="K53" s="5" t="s">
        <v>83</v>
      </c>
      <c r="L53" s="5" t="s">
        <v>134</v>
      </c>
      <c r="M53" s="10" t="s">
        <v>220</v>
      </c>
    </row>
    <row r="54" customFormat="false" ht="57.45" hidden="false" customHeight="false" outlineLevel="0" collapsed="false">
      <c r="A54" s="5" t="s">
        <v>221</v>
      </c>
      <c r="B54" s="5" t="s">
        <v>222</v>
      </c>
      <c r="C54" s="5" t="s">
        <v>210</v>
      </c>
      <c r="D54" s="6" t="s">
        <v>55</v>
      </c>
      <c r="E54" s="7" t="n">
        <v>10</v>
      </c>
      <c r="F54" s="8" t="n">
        <v>3567.37</v>
      </c>
      <c r="G54" s="9" t="n">
        <v>10000</v>
      </c>
      <c r="H54" s="9" t="n">
        <v>389.39</v>
      </c>
      <c r="I54" s="5" t="s">
        <v>56</v>
      </c>
      <c r="J54" s="5" t="n">
        <f aca="false">COUNTIF('Comment Log'!$A:$A,$A54)</f>
        <v>9</v>
      </c>
      <c r="K54" s="5" t="s">
        <v>90</v>
      </c>
      <c r="L54" s="5" t="s">
        <v>133</v>
      </c>
      <c r="M54" s="10" t="s">
        <v>223</v>
      </c>
    </row>
    <row r="55" customFormat="false" ht="57.45" hidden="false" customHeight="false" outlineLevel="0" collapsed="false">
      <c r="A55" s="5" t="s">
        <v>224</v>
      </c>
      <c r="B55" s="5" t="s">
        <v>225</v>
      </c>
      <c r="C55" s="5" t="s">
        <v>210</v>
      </c>
      <c r="D55" s="6" t="s">
        <v>55</v>
      </c>
      <c r="E55" s="7" t="n">
        <v>10</v>
      </c>
      <c r="F55" s="8" t="n">
        <v>4304.62</v>
      </c>
      <c r="G55" s="9" t="n">
        <v>10000</v>
      </c>
      <c r="H55" s="9" t="n">
        <v>321.55</v>
      </c>
      <c r="I55" s="5" t="s">
        <v>56</v>
      </c>
      <c r="J55" s="5" t="n">
        <f aca="false">COUNTIF('Comment Log'!$A:$A,$A55)</f>
        <v>6</v>
      </c>
      <c r="K55" s="5" t="s">
        <v>90</v>
      </c>
      <c r="L55" s="5" t="s">
        <v>58</v>
      </c>
      <c r="M55" s="10" t="s">
        <v>226</v>
      </c>
    </row>
    <row r="56" customFormat="false" ht="23.85" hidden="false" customHeight="false" outlineLevel="0" collapsed="false">
      <c r="A56" s="5" t="s">
        <v>227</v>
      </c>
      <c r="B56" s="5" t="s">
        <v>228</v>
      </c>
      <c r="C56" s="5" t="s">
        <v>229</v>
      </c>
      <c r="D56" s="11"/>
      <c r="E56" s="7"/>
      <c r="F56" s="8"/>
      <c r="G56" s="9"/>
      <c r="H56" s="9" t="n">
        <v>68.38</v>
      </c>
      <c r="I56" s="5" t="s">
        <v>56</v>
      </c>
      <c r="J56" s="5" t="n">
        <f aca="false">COUNTIF('Comment Log'!$A:$A,$A56)</f>
        <v>12</v>
      </c>
      <c r="K56" s="5" t="s">
        <v>76</v>
      </c>
      <c r="L56" s="5" t="s">
        <v>134</v>
      </c>
      <c r="M56" s="10" t="s">
        <v>230</v>
      </c>
    </row>
    <row r="57" customFormat="false" ht="35.05" hidden="false" customHeight="false" outlineLevel="0" collapsed="false">
      <c r="A57" s="5" t="s">
        <v>231</v>
      </c>
      <c r="B57" s="5" t="s">
        <v>232</v>
      </c>
      <c r="C57" s="5" t="s">
        <v>229</v>
      </c>
      <c r="D57" s="11"/>
      <c r="E57" s="7"/>
      <c r="F57" s="8"/>
      <c r="G57" s="9"/>
      <c r="H57" s="9" t="n">
        <v>13.99</v>
      </c>
      <c r="I57" s="5" t="s">
        <v>56</v>
      </c>
      <c r="J57" s="5" t="n">
        <f aca="false">COUNTIF('Comment Log'!$A:$A,$A57)</f>
        <v>7</v>
      </c>
      <c r="K57" s="5" t="s">
        <v>147</v>
      </c>
      <c r="L57" s="5" t="s">
        <v>183</v>
      </c>
      <c r="M57" s="10" t="s">
        <v>233</v>
      </c>
    </row>
    <row r="58" customFormat="false" ht="23.85" hidden="false" customHeight="false" outlineLevel="0" collapsed="false">
      <c r="A58" s="5" t="s">
        <v>234</v>
      </c>
      <c r="B58" s="5" t="s">
        <v>235</v>
      </c>
      <c r="C58" s="5" t="s">
        <v>229</v>
      </c>
      <c r="D58" s="11"/>
      <c r="E58" s="7"/>
      <c r="F58" s="8"/>
      <c r="G58" s="9"/>
      <c r="H58" s="9" t="n">
        <v>22.35</v>
      </c>
      <c r="I58" s="5" t="s">
        <v>56</v>
      </c>
      <c r="J58" s="5" t="n">
        <f aca="false">COUNTIF('Comment Log'!$A:$A,$A58)</f>
        <v>2</v>
      </c>
      <c r="K58" s="5" t="s">
        <v>56</v>
      </c>
      <c r="L58" s="5" t="s">
        <v>56</v>
      </c>
      <c r="M58" s="10" t="s">
        <v>236</v>
      </c>
    </row>
    <row r="59" customFormat="false" ht="35.05" hidden="false" customHeight="false" outlineLevel="0" collapsed="false">
      <c r="A59" s="5" t="s">
        <v>237</v>
      </c>
      <c r="B59" s="5" t="s">
        <v>238</v>
      </c>
      <c r="C59" s="5" t="s">
        <v>229</v>
      </c>
      <c r="D59" s="6" t="s">
        <v>55</v>
      </c>
      <c r="E59" s="7" t="n">
        <v>23</v>
      </c>
      <c r="F59" s="8" t="n">
        <v>1942.58</v>
      </c>
      <c r="G59" s="9" t="n">
        <v>10000</v>
      </c>
      <c r="H59" s="9" t="n">
        <v>74.53</v>
      </c>
      <c r="I59" s="5" t="s">
        <v>56</v>
      </c>
      <c r="J59" s="5" t="n">
        <f aca="false">COUNTIF('Comment Log'!$A:$A,$A59)</f>
        <v>16</v>
      </c>
      <c r="K59" s="5" t="s">
        <v>83</v>
      </c>
      <c r="L59" s="5" t="s">
        <v>58</v>
      </c>
      <c r="M59" s="10" t="s">
        <v>239</v>
      </c>
    </row>
    <row r="60" customFormat="false" ht="91" hidden="false" customHeight="false" outlineLevel="0" collapsed="false">
      <c r="A60" s="5" t="s">
        <v>240</v>
      </c>
      <c r="B60" s="5" t="s">
        <v>241</v>
      </c>
      <c r="C60" s="5" t="s">
        <v>229</v>
      </c>
      <c r="D60" s="11"/>
      <c r="E60" s="7"/>
      <c r="F60" s="8"/>
      <c r="G60" s="9"/>
      <c r="H60" s="9" t="n">
        <v>108.27</v>
      </c>
      <c r="I60" s="5" t="s">
        <v>56</v>
      </c>
      <c r="J60" s="5" t="n">
        <f aca="false">COUNTIF('Comment Log'!$A:$A,$A60)</f>
        <v>17</v>
      </c>
      <c r="K60" s="5" t="s">
        <v>76</v>
      </c>
      <c r="L60" s="5" t="s">
        <v>71</v>
      </c>
      <c r="M60" s="10" t="s">
        <v>77</v>
      </c>
    </row>
    <row r="61" customFormat="false" ht="23.85" hidden="false" customHeight="false" outlineLevel="0" collapsed="false">
      <c r="A61" s="5" t="s">
        <v>242</v>
      </c>
      <c r="B61" s="5" t="s">
        <v>243</v>
      </c>
      <c r="C61" s="5" t="s">
        <v>244</v>
      </c>
      <c r="D61" s="6" t="s">
        <v>55</v>
      </c>
      <c r="E61" s="7" t="n">
        <v>18</v>
      </c>
      <c r="F61" s="8" t="n">
        <v>3758.3</v>
      </c>
      <c r="G61" s="9" t="n">
        <v>5000</v>
      </c>
      <c r="H61" s="9" t="n">
        <v>168.06</v>
      </c>
      <c r="I61" s="5" t="s">
        <v>56</v>
      </c>
      <c r="J61" s="5" t="n">
        <f aca="false">COUNTIF('Comment Log'!$A:$A,$A61)</f>
        <v>4</v>
      </c>
      <c r="K61" s="5" t="s">
        <v>57</v>
      </c>
      <c r="L61" s="5" t="s">
        <v>83</v>
      </c>
      <c r="M61" s="10" t="s">
        <v>245</v>
      </c>
    </row>
    <row r="62" customFormat="false" ht="46.25" hidden="false" customHeight="false" outlineLevel="0" collapsed="false">
      <c r="A62" s="5" t="s">
        <v>246</v>
      </c>
      <c r="B62" s="5" t="s">
        <v>247</v>
      </c>
      <c r="C62" s="5" t="s">
        <v>244</v>
      </c>
      <c r="D62" s="6" t="s">
        <v>55</v>
      </c>
      <c r="E62" s="7" t="n">
        <v>200</v>
      </c>
      <c r="F62" s="8" t="n">
        <v>2030.54</v>
      </c>
      <c r="G62" s="9"/>
      <c r="H62" s="9" t="n">
        <v>8.85</v>
      </c>
      <c r="I62" s="5" t="s">
        <v>56</v>
      </c>
      <c r="J62" s="5" t="n">
        <f aca="false">COUNTIF('Comment Log'!$A:$A,$A62)</f>
        <v>20</v>
      </c>
      <c r="K62" s="5" t="s">
        <v>57</v>
      </c>
      <c r="L62" s="5" t="s">
        <v>58</v>
      </c>
      <c r="M62" s="10" t="s">
        <v>248</v>
      </c>
    </row>
    <row r="63" customFormat="false" ht="23.85" hidden="false" customHeight="false" outlineLevel="0" collapsed="false">
      <c r="A63" s="5" t="s">
        <v>249</v>
      </c>
      <c r="B63" s="5" t="s">
        <v>250</v>
      </c>
      <c r="C63" s="5" t="s">
        <v>244</v>
      </c>
      <c r="D63" s="6" t="s">
        <v>55</v>
      </c>
      <c r="E63" s="7" t="n">
        <v>40</v>
      </c>
      <c r="F63" s="8" t="n">
        <v>5533.09</v>
      </c>
      <c r="G63" s="9" t="n">
        <v>10000</v>
      </c>
      <c r="H63" s="9" t="n">
        <v>158.43</v>
      </c>
      <c r="I63" s="5" t="s">
        <v>56</v>
      </c>
      <c r="J63" s="5" t="n">
        <f aca="false">COUNTIF('Comment Log'!$A:$A,$A63)</f>
        <v>10</v>
      </c>
      <c r="K63" s="5" t="s">
        <v>57</v>
      </c>
      <c r="L63" s="5" t="s">
        <v>56</v>
      </c>
      <c r="M63" s="10" t="s">
        <v>80</v>
      </c>
    </row>
    <row r="64" customFormat="false" ht="35.05" hidden="false" customHeight="false" outlineLevel="0" collapsed="false">
      <c r="A64" s="5" t="s">
        <v>251</v>
      </c>
      <c r="B64" s="5" t="s">
        <v>251</v>
      </c>
      <c r="C64" s="5" t="s">
        <v>252</v>
      </c>
      <c r="D64" s="6" t="s">
        <v>55</v>
      </c>
      <c r="E64" s="7" t="n">
        <v>6</v>
      </c>
      <c r="F64" s="8" t="n">
        <v>1713.07</v>
      </c>
      <c r="G64" s="9"/>
      <c r="H64" s="9" t="n">
        <v>235.92</v>
      </c>
      <c r="I64" s="5" t="s">
        <v>56</v>
      </c>
      <c r="J64" s="5" t="n">
        <f aca="false">COUNTIF('Comment Log'!$A:$A,$A64)</f>
        <v>8</v>
      </c>
      <c r="K64" s="5" t="s">
        <v>76</v>
      </c>
      <c r="L64" s="5" t="s">
        <v>58</v>
      </c>
      <c r="M64" s="10" t="s">
        <v>253</v>
      </c>
    </row>
    <row r="65" customFormat="false" ht="35.05" hidden="false" customHeight="false" outlineLevel="0" collapsed="false">
      <c r="A65" s="5" t="s">
        <v>254</v>
      </c>
      <c r="B65" s="5" t="s">
        <v>255</v>
      </c>
      <c r="C65" s="5" t="s">
        <v>252</v>
      </c>
      <c r="D65" s="11"/>
      <c r="E65" s="7"/>
      <c r="F65" s="8"/>
      <c r="G65" s="9"/>
      <c r="H65" s="9" t="n">
        <v>39.93</v>
      </c>
      <c r="I65" s="5" t="s">
        <v>56</v>
      </c>
      <c r="J65" s="5" t="n">
        <f aca="false">COUNTIF('Comment Log'!$A:$A,$A65)</f>
        <v>16</v>
      </c>
      <c r="K65" s="5" t="s">
        <v>57</v>
      </c>
      <c r="L65" s="5" t="s">
        <v>58</v>
      </c>
      <c r="M65" s="10" t="s">
        <v>253</v>
      </c>
    </row>
    <row r="66" customFormat="false" ht="35.05" hidden="false" customHeight="false" outlineLevel="0" collapsed="false">
      <c r="A66" s="5" t="s">
        <v>256</v>
      </c>
      <c r="B66" s="5" t="s">
        <v>257</v>
      </c>
      <c r="C66" s="5" t="s">
        <v>258</v>
      </c>
      <c r="D66" s="11"/>
      <c r="E66" s="7"/>
      <c r="F66" s="8"/>
      <c r="G66" s="9"/>
      <c r="H66" s="9" t="n">
        <v>259.32</v>
      </c>
      <c r="I66" s="5" t="s">
        <v>56</v>
      </c>
      <c r="J66" s="5" t="n">
        <f aca="false">COUNTIF('Comment Log'!$A:$A,$A66)</f>
        <v>9</v>
      </c>
      <c r="K66" s="5" t="s">
        <v>259</v>
      </c>
      <c r="L66" s="5" t="s">
        <v>71</v>
      </c>
      <c r="M66" s="10" t="s">
        <v>260</v>
      </c>
    </row>
    <row r="67" customFormat="false" ht="57.45" hidden="false" customHeight="false" outlineLevel="0" collapsed="false">
      <c r="A67" s="5" t="s">
        <v>261</v>
      </c>
      <c r="B67" s="5" t="s">
        <v>262</v>
      </c>
      <c r="C67" s="5" t="s">
        <v>258</v>
      </c>
      <c r="D67" s="11"/>
      <c r="E67" s="7"/>
      <c r="F67" s="8"/>
      <c r="G67" s="9"/>
      <c r="H67" s="9" t="n">
        <v>417.8</v>
      </c>
      <c r="I67" s="5" t="s">
        <v>56</v>
      </c>
      <c r="J67" s="5" t="n">
        <f aca="false">COUNTIF('Comment Log'!$A:$A,$A67)</f>
        <v>10</v>
      </c>
      <c r="K67" s="5" t="s">
        <v>86</v>
      </c>
      <c r="L67" s="5" t="s">
        <v>71</v>
      </c>
      <c r="M67" s="10" t="s">
        <v>263</v>
      </c>
    </row>
    <row r="68" customFormat="false" ht="35.05" hidden="false" customHeight="false" outlineLevel="0" collapsed="false">
      <c r="A68" s="5" t="s">
        <v>264</v>
      </c>
      <c r="B68" s="5" t="s">
        <v>265</v>
      </c>
      <c r="C68" s="5" t="s">
        <v>258</v>
      </c>
      <c r="D68" s="6" t="s">
        <v>55</v>
      </c>
      <c r="E68" s="7" t="n">
        <v>6</v>
      </c>
      <c r="F68" s="8" t="n">
        <v>2007.28</v>
      </c>
      <c r="G68" s="9" t="n">
        <v>5000</v>
      </c>
      <c r="H68" s="9" t="n">
        <v>337.07</v>
      </c>
      <c r="I68" s="5" t="s">
        <v>56</v>
      </c>
      <c r="J68" s="5" t="n">
        <f aca="false">COUNTIF('Comment Log'!$A:$A,$A68)</f>
        <v>13</v>
      </c>
      <c r="K68" s="5" t="s">
        <v>76</v>
      </c>
      <c r="L68" s="5" t="s">
        <v>71</v>
      </c>
      <c r="M68" s="10" t="s">
        <v>266</v>
      </c>
    </row>
    <row r="69" customFormat="false" ht="23.85" hidden="false" customHeight="false" outlineLevel="0" collapsed="false">
      <c r="A69" s="5" t="s">
        <v>267</v>
      </c>
      <c r="B69" s="5" t="s">
        <v>268</v>
      </c>
      <c r="C69" s="5" t="s">
        <v>258</v>
      </c>
      <c r="D69" s="6" t="s">
        <v>55</v>
      </c>
      <c r="E69" s="7" t="n">
        <v>21</v>
      </c>
      <c r="F69" s="8" t="n">
        <v>3741.35</v>
      </c>
      <c r="G69" s="9" t="n">
        <v>5000</v>
      </c>
      <c r="H69" s="9" t="n">
        <v>192.98</v>
      </c>
      <c r="I69" s="5" t="s">
        <v>56</v>
      </c>
      <c r="J69" s="5" t="n">
        <f aca="false">COUNTIF('Comment Log'!$A:$A,$A69)</f>
        <v>20</v>
      </c>
      <c r="K69" s="5" t="s">
        <v>76</v>
      </c>
      <c r="L69" s="5" t="s">
        <v>71</v>
      </c>
      <c r="M69" s="10" t="s">
        <v>269</v>
      </c>
    </row>
    <row r="70" customFormat="false" ht="46.25" hidden="false" customHeight="false" outlineLevel="0" collapsed="false">
      <c r="A70" s="5" t="s">
        <v>270</v>
      </c>
      <c r="B70" s="5" t="s">
        <v>271</v>
      </c>
      <c r="C70" s="5" t="s">
        <v>258</v>
      </c>
      <c r="D70" s="11"/>
      <c r="E70" s="7"/>
      <c r="F70" s="8"/>
      <c r="G70" s="9"/>
      <c r="H70" s="9" t="n">
        <v>283.17</v>
      </c>
      <c r="I70" s="5" t="s">
        <v>56</v>
      </c>
      <c r="J70" s="5" t="n">
        <f aca="false">COUNTIF('Comment Log'!$A:$A,$A70)</f>
        <v>11</v>
      </c>
      <c r="K70" s="5" t="s">
        <v>259</v>
      </c>
      <c r="L70" s="5" t="s">
        <v>71</v>
      </c>
      <c r="M70" s="10" t="s">
        <v>272</v>
      </c>
    </row>
    <row r="71" customFormat="false" ht="23.85" hidden="false" customHeight="false" outlineLevel="0" collapsed="false">
      <c r="A71" s="5" t="s">
        <v>273</v>
      </c>
      <c r="B71" s="5" t="s">
        <v>274</v>
      </c>
      <c r="C71" s="5" t="s">
        <v>258</v>
      </c>
      <c r="D71" s="11"/>
      <c r="E71" s="7"/>
      <c r="F71" s="8"/>
      <c r="G71" s="9"/>
      <c r="H71" s="9" t="n">
        <v>376.36</v>
      </c>
      <c r="I71" s="5" t="s">
        <v>56</v>
      </c>
      <c r="J71" s="5" t="n">
        <f aca="false">COUNTIF('Comment Log'!$A:$A,$A71)</f>
        <v>6</v>
      </c>
      <c r="K71" s="5" t="s">
        <v>83</v>
      </c>
      <c r="L71" s="5" t="s">
        <v>259</v>
      </c>
      <c r="M71" s="10" t="s">
        <v>275</v>
      </c>
    </row>
    <row r="72" customFormat="false" ht="57.45" hidden="false" customHeight="false" outlineLevel="0" collapsed="false">
      <c r="A72" s="5" t="s">
        <v>276</v>
      </c>
      <c r="B72" s="5" t="s">
        <v>277</v>
      </c>
      <c r="C72" s="5" t="s">
        <v>258</v>
      </c>
      <c r="D72" s="11"/>
      <c r="E72" s="7"/>
      <c r="F72" s="8"/>
      <c r="G72" s="9"/>
      <c r="H72" s="9" t="n">
        <v>117.22</v>
      </c>
      <c r="I72" s="5" t="s">
        <v>56</v>
      </c>
      <c r="J72" s="5" t="n">
        <f aca="false">COUNTIF('Comment Log'!$A:$A,$A72)</f>
        <v>2</v>
      </c>
      <c r="K72" s="5" t="s">
        <v>150</v>
      </c>
      <c r="L72" s="5" t="s">
        <v>71</v>
      </c>
      <c r="M72" s="10" t="s">
        <v>263</v>
      </c>
    </row>
    <row r="73" customFormat="false" ht="35.05" hidden="false" customHeight="false" outlineLevel="0" collapsed="false">
      <c r="A73" s="5" t="s">
        <v>278</v>
      </c>
      <c r="B73" s="5" t="s">
        <v>279</v>
      </c>
      <c r="C73" s="5" t="s">
        <v>258</v>
      </c>
      <c r="D73" s="6" t="s">
        <v>55</v>
      </c>
      <c r="E73" s="7" t="n">
        <v>50</v>
      </c>
      <c r="F73" s="8" t="n">
        <v>8313.62</v>
      </c>
      <c r="G73" s="9" t="n">
        <v>10000</v>
      </c>
      <c r="H73" s="9" t="n">
        <v>144.39</v>
      </c>
      <c r="I73" s="5" t="s">
        <v>56</v>
      </c>
      <c r="J73" s="5" t="n">
        <f aca="false">COUNTIF('Comment Log'!$A:$A,$A73)</f>
        <v>40</v>
      </c>
      <c r="K73" s="5" t="s">
        <v>57</v>
      </c>
      <c r="L73" s="5" t="s">
        <v>71</v>
      </c>
      <c r="M73" s="10" t="s">
        <v>280</v>
      </c>
    </row>
    <row r="74" customFormat="false" ht="35.05" hidden="false" customHeight="false" outlineLevel="0" collapsed="false">
      <c r="A74" s="5" t="s">
        <v>281</v>
      </c>
      <c r="B74" s="5" t="s">
        <v>282</v>
      </c>
      <c r="C74" s="5" t="s">
        <v>258</v>
      </c>
      <c r="D74" s="11"/>
      <c r="E74" s="7"/>
      <c r="F74" s="8"/>
      <c r="G74" s="9"/>
      <c r="H74" s="9" t="n">
        <v>316.84</v>
      </c>
      <c r="I74" s="5" t="s">
        <v>56</v>
      </c>
      <c r="J74" s="5" t="n">
        <f aca="false">COUNTIF('Comment Log'!$A:$A,$A74)</f>
        <v>3</v>
      </c>
      <c r="K74" s="5" t="s">
        <v>259</v>
      </c>
      <c r="L74" s="5" t="s">
        <v>71</v>
      </c>
      <c r="M74" s="10" t="s">
        <v>283</v>
      </c>
    </row>
    <row r="75" customFormat="false" ht="23.85" hidden="false" customHeight="false" outlineLevel="0" collapsed="false">
      <c r="A75" s="5" t="s">
        <v>284</v>
      </c>
      <c r="B75" s="5" t="s">
        <v>285</v>
      </c>
      <c r="C75" s="5" t="s">
        <v>258</v>
      </c>
      <c r="D75" s="11"/>
      <c r="E75" s="7"/>
      <c r="F75" s="8"/>
      <c r="G75" s="9"/>
      <c r="H75" s="9" t="n">
        <v>213.51</v>
      </c>
      <c r="I75" s="5" t="s">
        <v>56</v>
      </c>
      <c r="J75" s="5" t="n">
        <f aca="false">COUNTIF('Comment Log'!$A:$A,$A75)</f>
        <v>3</v>
      </c>
      <c r="K75" s="5" t="s">
        <v>71</v>
      </c>
      <c r="L75" s="5" t="s">
        <v>71</v>
      </c>
      <c r="M75" s="10" t="s">
        <v>72</v>
      </c>
    </row>
    <row r="76" customFormat="false" ht="35.05" hidden="false" customHeight="false" outlineLevel="0" collapsed="false">
      <c r="A76" s="5" t="s">
        <v>286</v>
      </c>
      <c r="B76" s="5" t="s">
        <v>287</v>
      </c>
      <c r="C76" s="5" t="s">
        <v>258</v>
      </c>
      <c r="D76" s="6" t="s">
        <v>55</v>
      </c>
      <c r="E76" s="7" t="n">
        <v>111</v>
      </c>
      <c r="F76" s="8" t="n">
        <v>2004.33</v>
      </c>
      <c r="G76" s="9" t="n">
        <v>5000</v>
      </c>
      <c r="H76" s="9" t="n">
        <v>27.07</v>
      </c>
      <c r="I76" s="5" t="s">
        <v>56</v>
      </c>
      <c r="J76" s="5" t="n">
        <f aca="false">COUNTIF('Comment Log'!$A:$A,$A76)</f>
        <v>17</v>
      </c>
      <c r="K76" s="5" t="s">
        <v>76</v>
      </c>
      <c r="L76" s="5" t="s">
        <v>71</v>
      </c>
      <c r="M76" s="10" t="s">
        <v>288</v>
      </c>
    </row>
    <row r="77" customFormat="false" ht="35.05" hidden="false" customHeight="false" outlineLevel="0" collapsed="false">
      <c r="A77" s="5" t="s">
        <v>289</v>
      </c>
      <c r="B77" s="5" t="s">
        <v>290</v>
      </c>
      <c r="C77" s="5" t="s">
        <v>291</v>
      </c>
      <c r="D77" s="11"/>
      <c r="E77" s="7"/>
      <c r="F77" s="8"/>
      <c r="G77" s="9"/>
      <c r="H77" s="9" t="n">
        <v>86.83</v>
      </c>
      <c r="I77" s="5" t="s">
        <v>56</v>
      </c>
      <c r="J77" s="5" t="n">
        <f aca="false">COUNTIF('Comment Log'!$A:$A,$A77)</f>
        <v>12</v>
      </c>
      <c r="K77" s="5" t="s">
        <v>147</v>
      </c>
      <c r="L77" s="5" t="s">
        <v>116</v>
      </c>
      <c r="M77" s="10" t="s">
        <v>292</v>
      </c>
    </row>
    <row r="78" customFormat="false" ht="46.25" hidden="false" customHeight="false" outlineLevel="0" collapsed="false">
      <c r="A78" s="5" t="s">
        <v>293</v>
      </c>
      <c r="B78" s="5" t="s">
        <v>294</v>
      </c>
      <c r="C78" s="5" t="s">
        <v>291</v>
      </c>
      <c r="D78" s="11"/>
      <c r="E78" s="7"/>
      <c r="F78" s="8"/>
      <c r="G78" s="9"/>
      <c r="H78" s="9" t="n">
        <v>274</v>
      </c>
      <c r="I78" s="5" t="s">
        <v>56</v>
      </c>
      <c r="J78" s="5" t="n">
        <f aca="false">COUNTIF('Comment Log'!$A:$A,$A78)</f>
        <v>4</v>
      </c>
      <c r="K78" s="5" t="s">
        <v>76</v>
      </c>
      <c r="L78" s="5" t="s">
        <v>183</v>
      </c>
      <c r="M78" s="10" t="s">
        <v>295</v>
      </c>
    </row>
    <row r="79" customFormat="false" ht="46.25" hidden="false" customHeight="false" outlineLevel="0" collapsed="false">
      <c r="A79" s="5" t="s">
        <v>296</v>
      </c>
      <c r="B79" s="5" t="s">
        <v>297</v>
      </c>
      <c r="C79" s="5" t="s">
        <v>291</v>
      </c>
      <c r="D79" s="11"/>
      <c r="E79" s="7"/>
      <c r="F79" s="8"/>
      <c r="G79" s="9"/>
      <c r="H79" s="9" t="n">
        <v>106</v>
      </c>
      <c r="I79" s="5" t="s">
        <v>56</v>
      </c>
      <c r="J79" s="5" t="n">
        <f aca="false">COUNTIF('Comment Log'!$A:$A,$A79)</f>
        <v>9</v>
      </c>
      <c r="K79" s="5" t="s">
        <v>76</v>
      </c>
      <c r="L79" s="5" t="s">
        <v>183</v>
      </c>
      <c r="M79" s="10" t="s">
        <v>295</v>
      </c>
    </row>
    <row r="80" customFormat="false" ht="35.05" hidden="false" customHeight="false" outlineLevel="0" collapsed="false">
      <c r="A80" s="5" t="s">
        <v>298</v>
      </c>
      <c r="B80" s="5" t="s">
        <v>299</v>
      </c>
      <c r="C80" s="5" t="s">
        <v>291</v>
      </c>
      <c r="D80" s="11"/>
      <c r="E80" s="7"/>
      <c r="F80" s="8"/>
      <c r="G80" s="9"/>
      <c r="H80" s="9" t="n">
        <v>152.37</v>
      </c>
      <c r="I80" s="5" t="s">
        <v>56</v>
      </c>
      <c r="J80" s="5" t="n">
        <f aca="false">COUNTIF('Comment Log'!$A:$A,$A80)</f>
        <v>12</v>
      </c>
      <c r="K80" s="5" t="s">
        <v>183</v>
      </c>
      <c r="L80" s="5" t="s">
        <v>56</v>
      </c>
      <c r="M80" s="10" t="s">
        <v>207</v>
      </c>
    </row>
    <row r="81" customFormat="false" ht="46.25" hidden="false" customHeight="false" outlineLevel="0" collapsed="false">
      <c r="A81" s="5" t="s">
        <v>300</v>
      </c>
      <c r="B81" s="5" t="s">
        <v>301</v>
      </c>
      <c r="C81" s="5" t="s">
        <v>302</v>
      </c>
      <c r="D81" s="11"/>
      <c r="E81" s="7"/>
      <c r="F81" s="8"/>
      <c r="G81" s="9"/>
      <c r="H81" s="9" t="n">
        <v>80.79</v>
      </c>
      <c r="I81" s="5" t="s">
        <v>56</v>
      </c>
      <c r="J81" s="5" t="n">
        <f aca="false">COUNTIF('Comment Log'!$A:$A,$A81)</f>
        <v>5</v>
      </c>
      <c r="K81" s="5" t="s">
        <v>86</v>
      </c>
      <c r="L81" s="5" t="s">
        <v>56</v>
      </c>
      <c r="M81" s="10" t="s">
        <v>303</v>
      </c>
    </row>
    <row r="82" customFormat="false" ht="57.45" hidden="false" customHeight="false" outlineLevel="0" collapsed="false">
      <c r="A82" s="5" t="s">
        <v>304</v>
      </c>
      <c r="B82" s="5" t="s">
        <v>305</v>
      </c>
      <c r="C82" s="5" t="s">
        <v>302</v>
      </c>
      <c r="D82" s="11"/>
      <c r="E82" s="7"/>
      <c r="F82" s="8"/>
      <c r="G82" s="9"/>
      <c r="H82" s="9" t="n">
        <v>257.59</v>
      </c>
      <c r="I82" s="5" t="s">
        <v>56</v>
      </c>
      <c r="J82" s="5" t="n">
        <f aca="false">COUNTIF('Comment Log'!$A:$A,$A82)</f>
        <v>10</v>
      </c>
      <c r="K82" s="5" t="s">
        <v>147</v>
      </c>
      <c r="L82" s="5" t="s">
        <v>183</v>
      </c>
      <c r="M82" s="10" t="s">
        <v>306</v>
      </c>
    </row>
    <row r="83" customFormat="false" ht="35.05" hidden="false" customHeight="false" outlineLevel="0" collapsed="false">
      <c r="A83" s="5" t="s">
        <v>307</v>
      </c>
      <c r="B83" s="5" t="s">
        <v>308</v>
      </c>
      <c r="C83" s="5" t="s">
        <v>302</v>
      </c>
      <c r="D83" s="11"/>
      <c r="E83" s="7"/>
      <c r="F83" s="8"/>
      <c r="G83" s="9"/>
      <c r="H83" s="9" t="n">
        <v>46.7</v>
      </c>
      <c r="I83" s="5" t="s">
        <v>56</v>
      </c>
      <c r="J83" s="5" t="n">
        <f aca="false">COUNTIF('Comment Log'!$A:$A,$A83)</f>
        <v>6</v>
      </c>
      <c r="K83" s="5" t="s">
        <v>183</v>
      </c>
      <c r="L83" s="5" t="s">
        <v>134</v>
      </c>
      <c r="M83" s="10" t="s">
        <v>292</v>
      </c>
    </row>
    <row r="84" customFormat="false" ht="57.45" hidden="false" customHeight="false" outlineLevel="0" collapsed="false">
      <c r="A84" s="5" t="s">
        <v>309</v>
      </c>
      <c r="B84" s="5" t="s">
        <v>310</v>
      </c>
      <c r="C84" s="5" t="s">
        <v>302</v>
      </c>
      <c r="D84" s="11"/>
      <c r="E84" s="7"/>
      <c r="F84" s="8"/>
      <c r="G84" s="9"/>
      <c r="H84" s="9" t="n">
        <v>412.75</v>
      </c>
      <c r="I84" s="5" t="s">
        <v>56</v>
      </c>
      <c r="J84" s="5" t="n">
        <f aca="false">COUNTIF('Comment Log'!$A:$A,$A84)</f>
        <v>5</v>
      </c>
      <c r="K84" s="5" t="s">
        <v>76</v>
      </c>
      <c r="L84" s="5" t="s">
        <v>183</v>
      </c>
      <c r="M84" s="10" t="s">
        <v>311</v>
      </c>
    </row>
    <row r="85" customFormat="false" ht="46.25" hidden="false" customHeight="false" outlineLevel="0" collapsed="false">
      <c r="A85" s="5" t="s">
        <v>312</v>
      </c>
      <c r="B85" s="5" t="s">
        <v>313</v>
      </c>
      <c r="C85" s="5" t="s">
        <v>314</v>
      </c>
      <c r="D85" s="11"/>
      <c r="E85" s="7"/>
      <c r="F85" s="8"/>
      <c r="G85" s="9"/>
      <c r="H85" s="9" t="n">
        <v>29.87</v>
      </c>
      <c r="I85" s="5" t="s">
        <v>56</v>
      </c>
      <c r="J85" s="5" t="n">
        <f aca="false">COUNTIF('Comment Log'!$A:$A,$A85)</f>
        <v>13</v>
      </c>
      <c r="K85" s="5" t="s">
        <v>90</v>
      </c>
      <c r="L85" s="5" t="s">
        <v>71</v>
      </c>
      <c r="M85" s="10" t="s">
        <v>107</v>
      </c>
    </row>
    <row r="86" customFormat="false" ht="46.25" hidden="false" customHeight="false" outlineLevel="0" collapsed="false">
      <c r="A86" s="5" t="s">
        <v>315</v>
      </c>
      <c r="B86" s="5" t="s">
        <v>316</v>
      </c>
      <c r="C86" s="5" t="s">
        <v>314</v>
      </c>
      <c r="D86" s="11"/>
      <c r="E86" s="7"/>
      <c r="F86" s="8"/>
      <c r="G86" s="9"/>
      <c r="H86" s="9" t="n">
        <v>20.38</v>
      </c>
      <c r="I86" s="5" t="s">
        <v>58</v>
      </c>
      <c r="J86" s="5" t="n">
        <f aca="false">COUNTIF('Comment Log'!$A:$A,$A86)</f>
        <v>6</v>
      </c>
      <c r="K86" s="5" t="s">
        <v>183</v>
      </c>
      <c r="L86" s="5" t="s">
        <v>71</v>
      </c>
      <c r="M86" s="10" t="s">
        <v>317</v>
      </c>
    </row>
    <row r="87" customFormat="false" ht="46.25" hidden="false" customHeight="false" outlineLevel="0" collapsed="false">
      <c r="A87" s="5" t="s">
        <v>318</v>
      </c>
      <c r="B87" s="5" t="s">
        <v>319</v>
      </c>
      <c r="C87" s="5" t="s">
        <v>314</v>
      </c>
      <c r="D87" s="11"/>
      <c r="E87" s="7"/>
      <c r="F87" s="8"/>
      <c r="G87" s="9"/>
      <c r="H87" s="9" t="n">
        <v>21.77</v>
      </c>
      <c r="I87" s="5" t="s">
        <v>56</v>
      </c>
      <c r="J87" s="5" t="n">
        <f aca="false">COUNTIF('Comment Log'!$A:$A,$A87)</f>
        <v>12</v>
      </c>
      <c r="K87" s="5" t="s">
        <v>150</v>
      </c>
      <c r="L87" s="5" t="s">
        <v>71</v>
      </c>
      <c r="M87" s="10" t="s">
        <v>317</v>
      </c>
    </row>
    <row r="88" customFormat="false" ht="46.25" hidden="false" customHeight="false" outlineLevel="0" collapsed="false">
      <c r="A88" s="5" t="s">
        <v>320</v>
      </c>
      <c r="B88" s="5" t="s">
        <v>321</v>
      </c>
      <c r="C88" s="5" t="s">
        <v>314</v>
      </c>
      <c r="D88" s="11"/>
      <c r="E88" s="7"/>
      <c r="F88" s="8"/>
      <c r="G88" s="9"/>
      <c r="H88" s="9" t="n">
        <v>89.89</v>
      </c>
      <c r="I88" s="5" t="s">
        <v>56</v>
      </c>
      <c r="J88" s="5" t="n">
        <f aca="false">COUNTIF('Comment Log'!$A:$A,$A88)</f>
        <v>9</v>
      </c>
      <c r="K88" s="5" t="s">
        <v>57</v>
      </c>
      <c r="L88" s="5" t="s">
        <v>71</v>
      </c>
      <c r="M88" s="10" t="s">
        <v>317</v>
      </c>
    </row>
    <row r="89" customFormat="false" ht="35.05" hidden="false" customHeight="false" outlineLevel="0" collapsed="false">
      <c r="A89" s="5" t="s">
        <v>322</v>
      </c>
      <c r="B89" s="5" t="s">
        <v>323</v>
      </c>
      <c r="C89" s="5" t="s">
        <v>314</v>
      </c>
      <c r="D89" s="11"/>
      <c r="E89" s="7"/>
      <c r="F89" s="8"/>
      <c r="G89" s="9"/>
      <c r="H89" s="9" t="n">
        <v>462.7</v>
      </c>
      <c r="I89" s="5" t="s">
        <v>56</v>
      </c>
      <c r="J89" s="5" t="n">
        <f aca="false">COUNTIF('Comment Log'!$A:$A,$A89)</f>
        <v>13</v>
      </c>
      <c r="K89" s="5" t="s">
        <v>76</v>
      </c>
      <c r="L89" s="5" t="s">
        <v>71</v>
      </c>
      <c r="M89" s="10" t="s">
        <v>104</v>
      </c>
    </row>
    <row r="90" customFormat="false" ht="35.05" hidden="false" customHeight="false" outlineLevel="0" collapsed="false">
      <c r="A90" s="5" t="s">
        <v>324</v>
      </c>
      <c r="B90" s="5" t="s">
        <v>325</v>
      </c>
      <c r="C90" s="5" t="s">
        <v>314</v>
      </c>
      <c r="D90" s="11"/>
      <c r="E90" s="7"/>
      <c r="F90" s="8"/>
      <c r="G90" s="9"/>
      <c r="H90" s="9" t="n">
        <v>53.21</v>
      </c>
      <c r="I90" s="5" t="s">
        <v>56</v>
      </c>
      <c r="J90" s="5" t="n">
        <f aca="false">COUNTIF('Comment Log'!$A:$A,$A90)</f>
        <v>9</v>
      </c>
      <c r="K90" s="5" t="s">
        <v>183</v>
      </c>
      <c r="L90" s="5" t="s">
        <v>86</v>
      </c>
      <c r="M90" s="10" t="s">
        <v>326</v>
      </c>
    </row>
    <row r="91" customFormat="false" ht="46.25" hidden="false" customHeight="false" outlineLevel="0" collapsed="false">
      <c r="A91" s="5" t="s">
        <v>327</v>
      </c>
      <c r="B91" s="5" t="s">
        <v>328</v>
      </c>
      <c r="C91" s="5" t="s">
        <v>314</v>
      </c>
      <c r="D91" s="11"/>
      <c r="E91" s="7"/>
      <c r="F91" s="8"/>
      <c r="G91" s="9"/>
      <c r="H91" s="9" t="n">
        <v>101.16</v>
      </c>
      <c r="I91" s="5" t="s">
        <v>58</v>
      </c>
      <c r="J91" s="5" t="n">
        <f aca="false">COUNTIF('Comment Log'!$A:$A,$A91)</f>
        <v>6</v>
      </c>
      <c r="K91" s="5" t="s">
        <v>183</v>
      </c>
      <c r="L91" s="5" t="s">
        <v>71</v>
      </c>
      <c r="M91" s="10" t="s">
        <v>317</v>
      </c>
    </row>
    <row r="92" customFormat="false" ht="35.05" hidden="false" customHeight="false" outlineLevel="0" collapsed="false">
      <c r="A92" s="5" t="s">
        <v>329</v>
      </c>
      <c r="B92" s="5" t="s">
        <v>330</v>
      </c>
      <c r="C92" s="5" t="s">
        <v>314</v>
      </c>
      <c r="D92" s="6" t="s">
        <v>55</v>
      </c>
      <c r="E92" s="7" t="n">
        <v>45</v>
      </c>
      <c r="F92" s="8" t="n">
        <v>1735.16</v>
      </c>
      <c r="G92" s="9"/>
      <c r="H92" s="9" t="n">
        <v>38.89</v>
      </c>
      <c r="I92" s="5" t="s">
        <v>56</v>
      </c>
      <c r="J92" s="5" t="n">
        <f aca="false">COUNTIF('Comment Log'!$A:$A,$A92)</f>
        <v>60</v>
      </c>
      <c r="K92" s="5" t="s">
        <v>76</v>
      </c>
      <c r="L92" s="5" t="s">
        <v>71</v>
      </c>
      <c r="M92" s="10" t="s">
        <v>104</v>
      </c>
    </row>
    <row r="93" customFormat="false" ht="46.25" hidden="false" customHeight="false" outlineLevel="0" collapsed="false">
      <c r="A93" s="5" t="s">
        <v>331</v>
      </c>
      <c r="B93" s="5" t="s">
        <v>332</v>
      </c>
      <c r="C93" s="5" t="s">
        <v>314</v>
      </c>
      <c r="D93" s="11"/>
      <c r="E93" s="7"/>
      <c r="F93" s="8"/>
      <c r="G93" s="9"/>
      <c r="H93" s="9" t="n">
        <v>218.99</v>
      </c>
      <c r="I93" s="5" t="s">
        <v>56</v>
      </c>
      <c r="J93" s="5" t="n">
        <f aca="false">COUNTIF('Comment Log'!$A:$A,$A93)</f>
        <v>36</v>
      </c>
      <c r="K93" s="5" t="s">
        <v>76</v>
      </c>
      <c r="L93" s="5" t="s">
        <v>86</v>
      </c>
      <c r="M93" s="10" t="s">
        <v>127</v>
      </c>
    </row>
    <row r="94" customFormat="false" ht="35.05" hidden="false" customHeight="false" outlineLevel="0" collapsed="false">
      <c r="A94" s="5" t="s">
        <v>333</v>
      </c>
      <c r="B94" s="5" t="s">
        <v>334</v>
      </c>
      <c r="C94" s="5" t="s">
        <v>314</v>
      </c>
      <c r="D94" s="11"/>
      <c r="E94" s="7"/>
      <c r="F94" s="8"/>
      <c r="G94" s="9"/>
      <c r="H94" s="9" t="n">
        <v>9.58</v>
      </c>
      <c r="I94" s="5" t="s">
        <v>56</v>
      </c>
      <c r="J94" s="5" t="n">
        <f aca="false">COUNTIF('Comment Log'!$A:$A,$A94)</f>
        <v>3</v>
      </c>
      <c r="K94" s="5" t="s">
        <v>86</v>
      </c>
      <c r="L94" s="5" t="s">
        <v>86</v>
      </c>
      <c r="M94" s="10" t="s">
        <v>335</v>
      </c>
    </row>
    <row r="95" customFormat="false" ht="46.25" hidden="false" customHeight="false" outlineLevel="0" collapsed="false">
      <c r="A95" s="5" t="s">
        <v>336</v>
      </c>
      <c r="B95" s="5" t="s">
        <v>337</v>
      </c>
      <c r="C95" s="5" t="s">
        <v>314</v>
      </c>
      <c r="D95" s="11"/>
      <c r="E95" s="7"/>
      <c r="F95" s="8"/>
      <c r="G95" s="9"/>
      <c r="H95" s="9" t="n">
        <v>30.32</v>
      </c>
      <c r="I95" s="5" t="s">
        <v>56</v>
      </c>
      <c r="J95" s="5" t="n">
        <f aca="false">COUNTIF('Comment Log'!$A:$A,$A95)</f>
        <v>9</v>
      </c>
      <c r="K95" s="5" t="s">
        <v>183</v>
      </c>
      <c r="L95" s="5" t="s">
        <v>86</v>
      </c>
      <c r="M95" s="10" t="s">
        <v>178</v>
      </c>
    </row>
    <row r="96" customFormat="false" ht="35.05" hidden="false" customHeight="false" outlineLevel="0" collapsed="false">
      <c r="A96" s="5" t="s">
        <v>338</v>
      </c>
      <c r="B96" s="5" t="s">
        <v>339</v>
      </c>
      <c r="C96" s="5" t="s">
        <v>340</v>
      </c>
      <c r="D96" s="11"/>
      <c r="E96" s="7"/>
      <c r="F96" s="8"/>
      <c r="G96" s="9"/>
      <c r="H96" s="9" t="n">
        <v>79.56</v>
      </c>
      <c r="I96" s="5" t="s">
        <v>58</v>
      </c>
      <c r="J96" s="5" t="n">
        <f aca="false">COUNTIF('Comment Log'!$A:$A,$A96)</f>
        <v>2</v>
      </c>
      <c r="K96" s="5" t="s">
        <v>183</v>
      </c>
      <c r="L96" s="5" t="s">
        <v>183</v>
      </c>
      <c r="M96" s="10" t="s">
        <v>341</v>
      </c>
    </row>
    <row r="97" customFormat="false" ht="57.45" hidden="false" customHeight="false" outlineLevel="0" collapsed="false">
      <c r="A97" s="5" t="s">
        <v>342</v>
      </c>
      <c r="B97" s="5" t="s">
        <v>343</v>
      </c>
      <c r="C97" s="5" t="s">
        <v>340</v>
      </c>
      <c r="D97" s="11"/>
      <c r="E97" s="7"/>
      <c r="F97" s="8"/>
      <c r="G97" s="9"/>
      <c r="H97" s="9" t="n">
        <v>149.89</v>
      </c>
      <c r="I97" s="5" t="s">
        <v>56</v>
      </c>
      <c r="J97" s="5" t="n">
        <f aca="false">COUNTIF('Comment Log'!$A:$A,$A97)</f>
        <v>10</v>
      </c>
      <c r="K97" s="5" t="s">
        <v>183</v>
      </c>
      <c r="L97" s="5" t="s">
        <v>134</v>
      </c>
      <c r="M97" s="10" t="s">
        <v>344</v>
      </c>
    </row>
    <row r="98" customFormat="false" ht="35.05" hidden="false" customHeight="false" outlineLevel="0" collapsed="false">
      <c r="A98" s="5" t="s">
        <v>345</v>
      </c>
      <c r="B98" s="5" t="s">
        <v>346</v>
      </c>
      <c r="C98" s="5" t="s">
        <v>340</v>
      </c>
      <c r="D98" s="11"/>
      <c r="E98" s="7"/>
      <c r="F98" s="8"/>
      <c r="G98" s="9"/>
      <c r="H98" s="9" t="n">
        <v>54.11</v>
      </c>
      <c r="I98" s="5" t="s">
        <v>56</v>
      </c>
      <c r="J98" s="5" t="n">
        <f aca="false">COUNTIF('Comment Log'!$A:$A,$A98)</f>
        <v>3</v>
      </c>
      <c r="K98" s="5" t="s">
        <v>183</v>
      </c>
      <c r="L98" s="5" t="s">
        <v>133</v>
      </c>
      <c r="M98" s="10" t="s">
        <v>347</v>
      </c>
    </row>
    <row r="99" customFormat="false" ht="35.05" hidden="false" customHeight="false" outlineLevel="0" collapsed="false">
      <c r="A99" s="5" t="s">
        <v>348</v>
      </c>
      <c r="B99" s="5" t="s">
        <v>349</v>
      </c>
      <c r="C99" s="5" t="s">
        <v>340</v>
      </c>
      <c r="D99" s="11"/>
      <c r="E99" s="7"/>
      <c r="F99" s="8"/>
      <c r="G99" s="9"/>
      <c r="H99" s="9" t="n">
        <v>92.8</v>
      </c>
      <c r="I99" s="5" t="s">
        <v>56</v>
      </c>
      <c r="J99" s="5" t="n">
        <f aca="false">COUNTIF('Comment Log'!$A:$A,$A99)</f>
        <v>8</v>
      </c>
      <c r="K99" s="5" t="s">
        <v>83</v>
      </c>
      <c r="L99" s="5" t="s">
        <v>71</v>
      </c>
      <c r="M99" s="10" t="s">
        <v>350</v>
      </c>
    </row>
    <row r="100" customFormat="false" ht="46.25" hidden="false" customHeight="false" outlineLevel="0" collapsed="false">
      <c r="A100" s="5" t="s">
        <v>351</v>
      </c>
      <c r="B100" s="5" t="s">
        <v>352</v>
      </c>
      <c r="C100" s="5" t="s">
        <v>340</v>
      </c>
      <c r="D100" s="11"/>
      <c r="E100" s="7"/>
      <c r="F100" s="8"/>
      <c r="G100" s="9"/>
      <c r="H100" s="9" t="n">
        <v>52.04</v>
      </c>
      <c r="I100" s="5" t="s">
        <v>56</v>
      </c>
      <c r="J100" s="5" t="n">
        <f aca="false">COUNTIF('Comment Log'!$A:$A,$A100)</f>
        <v>7</v>
      </c>
      <c r="K100" s="5" t="s">
        <v>86</v>
      </c>
      <c r="L100" s="5" t="s">
        <v>56</v>
      </c>
      <c r="M100" s="10" t="s">
        <v>303</v>
      </c>
    </row>
    <row r="101" customFormat="false" ht="15" hidden="false" customHeight="false" outlineLevel="0" collapsed="false">
      <c r="A101" s="5" t="s">
        <v>353</v>
      </c>
      <c r="B101" s="5" t="s">
        <v>354</v>
      </c>
      <c r="C101" s="5" t="s">
        <v>340</v>
      </c>
      <c r="D101" s="11"/>
      <c r="E101" s="7"/>
      <c r="F101" s="8"/>
      <c r="G101" s="9"/>
      <c r="H101" s="9" t="n">
        <v>570.39</v>
      </c>
      <c r="I101" s="5" t="s">
        <v>56</v>
      </c>
      <c r="J101" s="5" t="n">
        <f aca="false">COUNTIF('Comment Log'!$A:$A,$A101)</f>
        <v>1</v>
      </c>
      <c r="K101" s="5" t="s">
        <v>183</v>
      </c>
      <c r="L101" s="5" t="s">
        <v>183</v>
      </c>
      <c r="M101" s="10" t="s">
        <v>355</v>
      </c>
    </row>
    <row r="102" customFormat="false" ht="23.85" hidden="false" customHeight="false" outlineLevel="0" collapsed="false">
      <c r="A102" s="5" t="s">
        <v>356</v>
      </c>
      <c r="B102" s="5" t="s">
        <v>357</v>
      </c>
      <c r="C102" s="5" t="s">
        <v>340</v>
      </c>
      <c r="D102" s="11"/>
      <c r="E102" s="7"/>
      <c r="F102" s="8"/>
      <c r="G102" s="9"/>
      <c r="H102" s="9" t="n">
        <v>1922.57</v>
      </c>
      <c r="I102" s="5" t="s">
        <v>56</v>
      </c>
      <c r="J102" s="5" t="n">
        <f aca="false">COUNTIF('Comment Log'!$A:$A,$A102)</f>
        <v>5</v>
      </c>
      <c r="K102" s="5" t="s">
        <v>83</v>
      </c>
      <c r="L102" s="5" t="s">
        <v>71</v>
      </c>
      <c r="M102" s="10" t="s">
        <v>358</v>
      </c>
    </row>
    <row r="103" customFormat="false" ht="15" hidden="false" customHeight="false" outlineLevel="0" collapsed="false">
      <c r="A103" s="5" t="s">
        <v>359</v>
      </c>
      <c r="B103" s="5" t="s">
        <v>360</v>
      </c>
      <c r="C103" s="5" t="s">
        <v>340</v>
      </c>
      <c r="D103" s="11"/>
      <c r="E103" s="7"/>
      <c r="F103" s="8"/>
      <c r="G103" s="9"/>
      <c r="H103" s="9" t="n">
        <v>14.48</v>
      </c>
      <c r="I103" s="5" t="s">
        <v>56</v>
      </c>
      <c r="J103" s="5" t="n">
        <f aca="false">COUNTIF('Comment Log'!$A:$A,$A103)</f>
        <v>0</v>
      </c>
      <c r="K103" s="5"/>
      <c r="L103" s="5"/>
      <c r="M103" s="10" t="s">
        <v>97</v>
      </c>
    </row>
    <row r="104" customFormat="false" ht="35.05" hidden="false" customHeight="false" outlineLevel="0" collapsed="false">
      <c r="A104" s="5" t="s">
        <v>361</v>
      </c>
      <c r="B104" s="5" t="s">
        <v>362</v>
      </c>
      <c r="C104" s="5" t="s">
        <v>340</v>
      </c>
      <c r="D104" s="11"/>
      <c r="E104" s="7"/>
      <c r="F104" s="8"/>
      <c r="G104" s="9"/>
      <c r="H104" s="9" t="n">
        <v>57.93</v>
      </c>
      <c r="I104" s="5" t="s">
        <v>56</v>
      </c>
      <c r="J104" s="5" t="n">
        <f aca="false">COUNTIF('Comment Log'!$A:$A,$A104)</f>
        <v>7</v>
      </c>
      <c r="K104" s="5" t="s">
        <v>183</v>
      </c>
      <c r="L104" s="5" t="s">
        <v>116</v>
      </c>
      <c r="M104" s="10" t="s">
        <v>292</v>
      </c>
    </row>
    <row r="105" customFormat="false" ht="15" hidden="false" customHeight="false" outlineLevel="0" collapsed="false">
      <c r="A105" s="5" t="s">
        <v>363</v>
      </c>
      <c r="B105" s="5" t="s">
        <v>364</v>
      </c>
      <c r="C105" s="5" t="s">
        <v>340</v>
      </c>
      <c r="D105" s="11"/>
      <c r="E105" s="7"/>
      <c r="F105" s="8"/>
      <c r="G105" s="9"/>
      <c r="H105" s="9" t="n">
        <v>114.91</v>
      </c>
      <c r="I105" s="5" t="s">
        <v>56</v>
      </c>
      <c r="J105" s="5" t="n">
        <f aca="false">COUNTIF('Comment Log'!$A:$A,$A105)</f>
        <v>0</v>
      </c>
      <c r="K105" s="5"/>
      <c r="L105" s="5"/>
      <c r="M105" s="10" t="s">
        <v>97</v>
      </c>
    </row>
    <row r="106" customFormat="false" ht="35.05" hidden="false" customHeight="false" outlineLevel="0" collapsed="false">
      <c r="A106" s="5" t="s">
        <v>365</v>
      </c>
      <c r="B106" s="5" t="s">
        <v>366</v>
      </c>
      <c r="C106" s="5" t="s">
        <v>340</v>
      </c>
      <c r="D106" s="11"/>
      <c r="E106" s="7"/>
      <c r="F106" s="8"/>
      <c r="G106" s="9"/>
      <c r="H106" s="9" t="n">
        <v>123.3</v>
      </c>
      <c r="I106" s="5" t="s">
        <v>58</v>
      </c>
      <c r="J106" s="5" t="n">
        <f aca="false">COUNTIF('Comment Log'!$A:$A,$A106)</f>
        <v>2</v>
      </c>
      <c r="K106" s="5" t="s">
        <v>183</v>
      </c>
      <c r="L106" s="5" t="s">
        <v>183</v>
      </c>
      <c r="M106" s="10" t="s">
        <v>341</v>
      </c>
    </row>
    <row r="107" customFormat="false" ht="35.05" hidden="false" customHeight="false" outlineLevel="0" collapsed="false">
      <c r="A107" s="5" t="s">
        <v>367</v>
      </c>
      <c r="B107" s="5" t="s">
        <v>368</v>
      </c>
      <c r="C107" s="5" t="s">
        <v>340</v>
      </c>
      <c r="D107" s="11"/>
      <c r="E107" s="7"/>
      <c r="F107" s="8"/>
      <c r="G107" s="9"/>
      <c r="H107" s="9" t="n">
        <v>18.25</v>
      </c>
      <c r="I107" s="5" t="s">
        <v>56</v>
      </c>
      <c r="J107" s="5" t="n">
        <f aca="false">COUNTIF('Comment Log'!$A:$A,$A107)</f>
        <v>4</v>
      </c>
      <c r="K107" s="5" t="s">
        <v>83</v>
      </c>
      <c r="L107" s="5" t="s">
        <v>71</v>
      </c>
      <c r="M107" s="10" t="s">
        <v>369</v>
      </c>
    </row>
    <row r="108" customFormat="false" ht="35.05" hidden="false" customHeight="false" outlineLevel="0" collapsed="false">
      <c r="A108" s="5" t="s">
        <v>370</v>
      </c>
      <c r="B108" s="5" t="s">
        <v>371</v>
      </c>
      <c r="C108" s="5" t="s">
        <v>340</v>
      </c>
      <c r="D108" s="11"/>
      <c r="E108" s="7"/>
      <c r="F108" s="8"/>
      <c r="G108" s="9"/>
      <c r="H108" s="9" t="n">
        <v>68.18</v>
      </c>
      <c r="I108" s="5" t="s">
        <v>56</v>
      </c>
      <c r="J108" s="5" t="n">
        <f aca="false">COUNTIF('Comment Log'!$A:$A,$A108)</f>
        <v>3</v>
      </c>
      <c r="K108" s="5" t="s">
        <v>116</v>
      </c>
      <c r="L108" s="5" t="s">
        <v>86</v>
      </c>
      <c r="M108" s="10" t="s">
        <v>372</v>
      </c>
    </row>
    <row r="109" customFormat="false" ht="35.05" hidden="false" customHeight="false" outlineLevel="0" collapsed="false">
      <c r="A109" s="5" t="s">
        <v>373</v>
      </c>
      <c r="B109" s="5" t="s">
        <v>374</v>
      </c>
      <c r="C109" s="5" t="s">
        <v>340</v>
      </c>
      <c r="D109" s="11"/>
      <c r="E109" s="7"/>
      <c r="F109" s="8"/>
      <c r="G109" s="9"/>
      <c r="H109" s="9" t="n">
        <v>368.54</v>
      </c>
      <c r="I109" s="5" t="s">
        <v>56</v>
      </c>
      <c r="J109" s="5" t="n">
        <f aca="false">COUNTIF('Comment Log'!$A:$A,$A109)</f>
        <v>1</v>
      </c>
      <c r="K109" s="5" t="s">
        <v>183</v>
      </c>
      <c r="L109" s="5" t="s">
        <v>183</v>
      </c>
      <c r="M109" s="10" t="s">
        <v>375</v>
      </c>
    </row>
    <row r="110" customFormat="false" ht="57.45" hidden="false" customHeight="false" outlineLevel="0" collapsed="false">
      <c r="A110" s="5" t="s">
        <v>376</v>
      </c>
      <c r="B110" s="5" t="s">
        <v>377</v>
      </c>
      <c r="C110" s="5" t="s">
        <v>378</v>
      </c>
      <c r="D110" s="6" t="s">
        <v>55</v>
      </c>
      <c r="E110" s="7" t="n">
        <v>40</v>
      </c>
      <c r="F110" s="8" t="n">
        <v>3914.12</v>
      </c>
      <c r="G110" s="9" t="n">
        <v>10000</v>
      </c>
      <c r="H110" s="9" t="n">
        <v>209.86</v>
      </c>
      <c r="I110" s="5" t="s">
        <v>56</v>
      </c>
      <c r="J110" s="5" t="n">
        <f aca="false">COUNTIF('Comment Log'!$A:$A,$A110)</f>
        <v>15</v>
      </c>
      <c r="K110" s="5" t="s">
        <v>57</v>
      </c>
      <c r="L110" s="5" t="s">
        <v>58</v>
      </c>
      <c r="M110" s="10" t="s">
        <v>226</v>
      </c>
    </row>
    <row r="111" customFormat="false" ht="35.05" hidden="false" customHeight="false" outlineLevel="0" collapsed="false">
      <c r="A111" s="5" t="s">
        <v>379</v>
      </c>
      <c r="B111" s="5" t="s">
        <v>380</v>
      </c>
      <c r="C111" s="5" t="s">
        <v>378</v>
      </c>
      <c r="D111" s="11"/>
      <c r="E111" s="7"/>
      <c r="F111" s="8"/>
      <c r="G111" s="9"/>
      <c r="H111" s="9" t="n">
        <v>164.13</v>
      </c>
      <c r="I111" s="5" t="s">
        <v>56</v>
      </c>
      <c r="J111" s="5" t="n">
        <f aca="false">COUNTIF('Comment Log'!$A:$A,$A111)</f>
        <v>10</v>
      </c>
      <c r="K111" s="5" t="s">
        <v>183</v>
      </c>
      <c r="L111" s="5" t="s">
        <v>56</v>
      </c>
      <c r="M111" s="10" t="s">
        <v>381</v>
      </c>
    </row>
    <row r="112" customFormat="false" ht="35.05" hidden="false" customHeight="false" outlineLevel="0" collapsed="false">
      <c r="A112" s="5" t="s">
        <v>382</v>
      </c>
      <c r="B112" s="5" t="s">
        <v>383</v>
      </c>
      <c r="C112" s="5" t="s">
        <v>378</v>
      </c>
      <c r="D112" s="11"/>
      <c r="E112" s="7"/>
      <c r="F112" s="8"/>
      <c r="G112" s="9"/>
      <c r="H112" s="9" t="n">
        <v>292.96</v>
      </c>
      <c r="I112" s="5" t="s">
        <v>56</v>
      </c>
      <c r="J112" s="5" t="n">
        <f aca="false">COUNTIF('Comment Log'!$A:$A,$A112)</f>
        <v>5</v>
      </c>
      <c r="K112" s="5" t="s">
        <v>183</v>
      </c>
      <c r="L112" s="5" t="s">
        <v>56</v>
      </c>
      <c r="M112" s="10" t="s">
        <v>384</v>
      </c>
    </row>
    <row r="113" customFormat="false" ht="46.25" hidden="false" customHeight="false" outlineLevel="0" collapsed="false">
      <c r="A113" s="5" t="s">
        <v>385</v>
      </c>
      <c r="B113" s="5" t="s">
        <v>386</v>
      </c>
      <c r="C113" s="5" t="s">
        <v>378</v>
      </c>
      <c r="D113" s="6" t="s">
        <v>55</v>
      </c>
      <c r="E113" s="7" t="n">
        <v>22</v>
      </c>
      <c r="F113" s="8" t="n">
        <v>3760.62</v>
      </c>
      <c r="G113" s="9" t="n">
        <v>10000</v>
      </c>
      <c r="H113" s="9" t="n">
        <v>362.66</v>
      </c>
      <c r="I113" s="5" t="s">
        <v>56</v>
      </c>
      <c r="J113" s="5" t="n">
        <f aca="false">COUNTIF('Comment Log'!$A:$A,$A113)</f>
        <v>6</v>
      </c>
      <c r="K113" s="5" t="s">
        <v>76</v>
      </c>
      <c r="L113" s="5" t="s">
        <v>183</v>
      </c>
      <c r="M113" s="10" t="s">
        <v>387</v>
      </c>
    </row>
    <row r="114" customFormat="false" ht="46.25" hidden="false" customHeight="false" outlineLevel="0" collapsed="false">
      <c r="A114" s="5" t="s">
        <v>388</v>
      </c>
      <c r="B114" s="5" t="s">
        <v>389</v>
      </c>
      <c r="C114" s="5" t="s">
        <v>378</v>
      </c>
      <c r="D114" s="11"/>
      <c r="E114" s="7"/>
      <c r="F114" s="8"/>
      <c r="G114" s="9"/>
      <c r="H114" s="9" t="n">
        <v>84.81</v>
      </c>
      <c r="I114" s="5" t="s">
        <v>56</v>
      </c>
      <c r="J114" s="5" t="n">
        <f aca="false">COUNTIF('Comment Log'!$A:$A,$A114)</f>
        <v>4</v>
      </c>
      <c r="K114" s="5" t="s">
        <v>56</v>
      </c>
      <c r="L114" s="5" t="s">
        <v>71</v>
      </c>
      <c r="M114" s="10" t="s">
        <v>390</v>
      </c>
    </row>
    <row r="115" customFormat="false" ht="46.25" hidden="false" customHeight="false" outlineLevel="0" collapsed="false">
      <c r="A115" s="5" t="s">
        <v>391</v>
      </c>
      <c r="B115" s="5" t="s">
        <v>392</v>
      </c>
      <c r="C115" s="5" t="s">
        <v>378</v>
      </c>
      <c r="D115" s="11"/>
      <c r="E115" s="7"/>
      <c r="F115" s="8"/>
      <c r="G115" s="9"/>
      <c r="H115" s="9" t="n">
        <v>161.65</v>
      </c>
      <c r="I115" s="5" t="s">
        <v>56</v>
      </c>
      <c r="J115" s="5" t="n">
        <f aca="false">COUNTIF('Comment Log'!$A:$A,$A115)</f>
        <v>5</v>
      </c>
      <c r="K115" s="5" t="s">
        <v>183</v>
      </c>
      <c r="L115" s="5" t="s">
        <v>183</v>
      </c>
      <c r="M115" s="10" t="s">
        <v>387</v>
      </c>
    </row>
    <row r="116" customFormat="false" ht="35.05" hidden="false" customHeight="false" outlineLevel="0" collapsed="false">
      <c r="A116" s="5" t="s">
        <v>393</v>
      </c>
      <c r="B116" s="5" t="s">
        <v>394</v>
      </c>
      <c r="C116" s="5" t="s">
        <v>395</v>
      </c>
      <c r="D116" s="6" t="s">
        <v>55</v>
      </c>
      <c r="E116" s="7" t="n">
        <v>10</v>
      </c>
      <c r="F116" s="8" t="n">
        <v>1994.06</v>
      </c>
      <c r="G116" s="9" t="n">
        <v>5000</v>
      </c>
      <c r="H116" s="9" t="n">
        <v>168.28</v>
      </c>
      <c r="I116" s="5" t="s">
        <v>56</v>
      </c>
      <c r="J116" s="5" t="n">
        <f aca="false">COUNTIF('Comment Log'!$A:$A,$A116)</f>
        <v>3</v>
      </c>
      <c r="K116" s="5" t="s">
        <v>58</v>
      </c>
      <c r="L116" s="5" t="s">
        <v>58</v>
      </c>
      <c r="M116" s="10" t="s">
        <v>396</v>
      </c>
    </row>
    <row r="117" customFormat="false" ht="35.05" hidden="false" customHeight="false" outlineLevel="0" collapsed="false">
      <c r="A117" s="5" t="s">
        <v>397</v>
      </c>
      <c r="B117" s="5" t="s">
        <v>398</v>
      </c>
      <c r="C117" s="5" t="s">
        <v>395</v>
      </c>
      <c r="D117" s="11"/>
      <c r="E117" s="7"/>
      <c r="F117" s="8"/>
      <c r="G117" s="9"/>
      <c r="H117" s="9" t="n">
        <v>94.27</v>
      </c>
      <c r="I117" s="5" t="s">
        <v>56</v>
      </c>
      <c r="J117" s="5" t="n">
        <f aca="false">COUNTIF('Comment Log'!$A:$A,$A117)</f>
        <v>3</v>
      </c>
      <c r="K117" s="5" t="s">
        <v>183</v>
      </c>
      <c r="L117" s="5" t="s">
        <v>134</v>
      </c>
      <c r="M117" s="10" t="s">
        <v>196</v>
      </c>
    </row>
    <row r="118" customFormat="false" ht="35.05" hidden="false" customHeight="false" outlineLevel="0" collapsed="false">
      <c r="A118" s="5" t="s">
        <v>399</v>
      </c>
      <c r="B118" s="5" t="s">
        <v>400</v>
      </c>
      <c r="C118" s="5" t="s">
        <v>395</v>
      </c>
      <c r="D118" s="6" t="s">
        <v>55</v>
      </c>
      <c r="E118" s="7" t="n">
        <v>15</v>
      </c>
      <c r="F118" s="8" t="n">
        <v>4040.98</v>
      </c>
      <c r="G118" s="9" t="n">
        <v>10000</v>
      </c>
      <c r="H118" s="9" t="n">
        <v>265.12</v>
      </c>
      <c r="I118" s="5" t="s">
        <v>56</v>
      </c>
      <c r="J118" s="5" t="n">
        <f aca="false">COUNTIF('Comment Log'!$A:$A,$A118)</f>
        <v>2</v>
      </c>
      <c r="K118" s="5" t="s">
        <v>56</v>
      </c>
      <c r="L118" s="5" t="s">
        <v>56</v>
      </c>
      <c r="M118" s="10" t="s">
        <v>204</v>
      </c>
    </row>
    <row r="119" customFormat="false" ht="35.05" hidden="false" customHeight="false" outlineLevel="0" collapsed="false">
      <c r="A119" s="5" t="s">
        <v>401</v>
      </c>
      <c r="B119" s="5" t="s">
        <v>402</v>
      </c>
      <c r="C119" s="5" t="s">
        <v>395</v>
      </c>
      <c r="D119" s="11"/>
      <c r="E119" s="7"/>
      <c r="F119" s="8"/>
      <c r="G119" s="9"/>
      <c r="H119" s="9" t="n">
        <v>17.88</v>
      </c>
      <c r="I119" s="5" t="s">
        <v>56</v>
      </c>
      <c r="J119" s="5" t="n">
        <f aca="false">COUNTIF('Comment Log'!$A:$A,$A119)</f>
        <v>2</v>
      </c>
      <c r="K119" s="5" t="s">
        <v>183</v>
      </c>
      <c r="L119" s="5" t="s">
        <v>150</v>
      </c>
      <c r="M119" s="10" t="s">
        <v>403</v>
      </c>
    </row>
    <row r="120" customFormat="false" ht="35.05" hidden="false" customHeight="false" outlineLevel="0" collapsed="false">
      <c r="A120" s="5" t="s">
        <v>404</v>
      </c>
      <c r="B120" s="5" t="s">
        <v>405</v>
      </c>
      <c r="C120" s="5" t="s">
        <v>395</v>
      </c>
      <c r="D120" s="11"/>
      <c r="E120" s="7"/>
      <c r="F120" s="8"/>
      <c r="G120" s="9"/>
      <c r="H120" s="9" t="n">
        <v>42.99</v>
      </c>
      <c r="I120" s="5" t="s">
        <v>56</v>
      </c>
      <c r="J120" s="5" t="n">
        <f aca="false">COUNTIF('Comment Log'!$A:$A,$A120)</f>
        <v>8</v>
      </c>
      <c r="K120" s="5" t="s">
        <v>76</v>
      </c>
      <c r="L120" s="5" t="s">
        <v>116</v>
      </c>
      <c r="M120" s="10" t="s">
        <v>406</v>
      </c>
    </row>
    <row r="121" customFormat="false" ht="68.65" hidden="false" customHeight="false" outlineLevel="0" collapsed="false">
      <c r="A121" s="5" t="s">
        <v>407</v>
      </c>
      <c r="B121" s="5" t="s">
        <v>408</v>
      </c>
      <c r="C121" s="5" t="s">
        <v>395</v>
      </c>
      <c r="D121" s="11"/>
      <c r="E121" s="7"/>
      <c r="F121" s="8"/>
      <c r="G121" s="9"/>
      <c r="H121" s="9" t="n">
        <v>9.38</v>
      </c>
      <c r="I121" s="5" t="s">
        <v>56</v>
      </c>
      <c r="J121" s="5" t="n">
        <f aca="false">COUNTIF('Comment Log'!$A:$A,$A121)</f>
        <v>5</v>
      </c>
      <c r="K121" s="5" t="s">
        <v>183</v>
      </c>
      <c r="L121" s="5" t="s">
        <v>183</v>
      </c>
      <c r="M121" s="10" t="s">
        <v>409</v>
      </c>
    </row>
    <row r="122" customFormat="false" ht="57.45" hidden="false" customHeight="false" outlineLevel="0" collapsed="false">
      <c r="A122" s="5" t="s">
        <v>410</v>
      </c>
      <c r="B122" s="5" t="s">
        <v>411</v>
      </c>
      <c r="C122" s="5" t="s">
        <v>412</v>
      </c>
      <c r="D122" s="6" t="s">
        <v>55</v>
      </c>
      <c r="E122" s="7" t="n">
        <v>19</v>
      </c>
      <c r="F122" s="8" t="n">
        <v>7879.55</v>
      </c>
      <c r="G122" s="9" t="n">
        <v>10000</v>
      </c>
      <c r="H122" s="9" t="n">
        <v>447.28</v>
      </c>
      <c r="I122" s="5" t="s">
        <v>56</v>
      </c>
      <c r="J122" s="5" t="n">
        <f aca="false">COUNTIF('Comment Log'!$A:$A,$A122)</f>
        <v>8</v>
      </c>
      <c r="K122" s="5" t="s">
        <v>90</v>
      </c>
      <c r="L122" s="5" t="s">
        <v>56</v>
      </c>
      <c r="M122" s="10" t="s">
        <v>413</v>
      </c>
    </row>
    <row r="123" customFormat="false" ht="46.25" hidden="false" customHeight="false" outlineLevel="0" collapsed="false">
      <c r="A123" s="5" t="s">
        <v>414</v>
      </c>
      <c r="B123" s="5" t="s">
        <v>415</v>
      </c>
      <c r="C123" s="5" t="s">
        <v>412</v>
      </c>
      <c r="D123" s="6" t="s">
        <v>55</v>
      </c>
      <c r="E123" s="7" t="n">
        <v>2</v>
      </c>
      <c r="F123" s="8" t="n">
        <v>2147.3</v>
      </c>
      <c r="G123" s="9" t="n">
        <v>10000</v>
      </c>
      <c r="H123" s="9" t="n">
        <v>1017.96</v>
      </c>
      <c r="I123" s="5" t="s">
        <v>56</v>
      </c>
      <c r="J123" s="5" t="n">
        <f aca="false">COUNTIF('Comment Log'!$A:$A,$A123)</f>
        <v>6</v>
      </c>
      <c r="K123" s="5" t="s">
        <v>116</v>
      </c>
      <c r="L123" s="5" t="s">
        <v>71</v>
      </c>
      <c r="M123" s="10" t="s">
        <v>120</v>
      </c>
    </row>
    <row r="124" customFormat="false" ht="57.45" hidden="false" customHeight="false" outlineLevel="0" collapsed="false">
      <c r="A124" s="5" t="s">
        <v>416</v>
      </c>
      <c r="B124" s="5" t="s">
        <v>417</v>
      </c>
      <c r="C124" s="5" t="s">
        <v>412</v>
      </c>
      <c r="D124" s="11"/>
      <c r="E124" s="7"/>
      <c r="F124" s="8"/>
      <c r="G124" s="9"/>
      <c r="H124" s="9" t="n">
        <v>513.58</v>
      </c>
      <c r="I124" s="5" t="s">
        <v>56</v>
      </c>
      <c r="J124" s="5" t="n">
        <f aca="false">COUNTIF('Comment Log'!$A:$A,$A124)</f>
        <v>5</v>
      </c>
      <c r="K124" s="5" t="s">
        <v>86</v>
      </c>
      <c r="L124" s="5" t="s">
        <v>56</v>
      </c>
      <c r="M124" s="10" t="s">
        <v>413</v>
      </c>
    </row>
    <row r="125" customFormat="false" ht="46.25" hidden="false" customHeight="false" outlineLevel="0" collapsed="false">
      <c r="A125" s="5" t="s">
        <v>418</v>
      </c>
      <c r="B125" s="5" t="s">
        <v>419</v>
      </c>
      <c r="C125" s="5" t="s">
        <v>412</v>
      </c>
      <c r="D125" s="11"/>
      <c r="E125" s="7"/>
      <c r="F125" s="8"/>
      <c r="G125" s="9"/>
      <c r="H125" s="9" t="n">
        <v>162.04</v>
      </c>
      <c r="I125" s="5" t="s">
        <v>56</v>
      </c>
      <c r="J125" s="5" t="n">
        <f aca="false">COUNTIF('Comment Log'!$A:$A,$A125)</f>
        <v>3</v>
      </c>
      <c r="K125" s="5" t="s">
        <v>56</v>
      </c>
      <c r="L125" s="5" t="s">
        <v>56</v>
      </c>
      <c r="M125" s="10" t="s">
        <v>390</v>
      </c>
    </row>
    <row r="126" customFormat="false" ht="46.25" hidden="false" customHeight="false" outlineLevel="0" collapsed="false">
      <c r="A126" s="5" t="s">
        <v>420</v>
      </c>
      <c r="B126" s="5" t="s">
        <v>421</v>
      </c>
      <c r="C126" s="5" t="s">
        <v>412</v>
      </c>
      <c r="D126" s="11"/>
      <c r="E126" s="7"/>
      <c r="F126" s="8"/>
      <c r="G126" s="9"/>
      <c r="H126" s="9" t="n">
        <v>208.33</v>
      </c>
      <c r="I126" s="5" t="s">
        <v>56</v>
      </c>
      <c r="J126" s="5" t="n">
        <f aca="false">COUNTIF('Comment Log'!$A:$A,$A126)</f>
        <v>3</v>
      </c>
      <c r="K126" s="5" t="s">
        <v>56</v>
      </c>
      <c r="L126" s="5" t="s">
        <v>56</v>
      </c>
      <c r="M126" s="10" t="s">
        <v>390</v>
      </c>
    </row>
    <row r="127" customFormat="false" ht="57.45" hidden="false" customHeight="false" outlineLevel="0" collapsed="false">
      <c r="A127" s="5" t="s">
        <v>422</v>
      </c>
      <c r="B127" s="5" t="s">
        <v>423</v>
      </c>
      <c r="C127" s="5" t="s">
        <v>412</v>
      </c>
      <c r="D127" s="11"/>
      <c r="E127" s="7"/>
      <c r="F127" s="8"/>
      <c r="G127" s="9"/>
      <c r="H127" s="9" t="n">
        <v>682.99</v>
      </c>
      <c r="I127" s="5" t="s">
        <v>56</v>
      </c>
      <c r="J127" s="5" t="n">
        <f aca="false">COUNTIF('Comment Log'!$A:$A,$A127)</f>
        <v>2</v>
      </c>
      <c r="K127" s="5" t="s">
        <v>56</v>
      </c>
      <c r="L127" s="5" t="s">
        <v>56</v>
      </c>
      <c r="M127" s="10" t="s">
        <v>413</v>
      </c>
    </row>
  </sheetData>
  <autoFilter ref="A1:M12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22"/>
    <col collapsed="false" customWidth="true" hidden="false" outlineLevel="0" max="4" min="4" style="0" width="150"/>
  </cols>
  <sheetData>
    <row r="1" customFormat="false" ht="27.75" hidden="false" customHeight="true" outlineLevel="0" collapsed="false">
      <c r="A1" s="4" t="s">
        <v>39</v>
      </c>
      <c r="B1" s="4" t="s">
        <v>424</v>
      </c>
      <c r="C1" s="4" t="s">
        <v>425</v>
      </c>
      <c r="D1" s="4" t="s">
        <v>426</v>
      </c>
    </row>
    <row r="2" customFormat="false" ht="23.85" hidden="false" customHeight="false" outlineLevel="0" collapsed="false">
      <c r="A2" s="10" t="s">
        <v>139</v>
      </c>
      <c r="B2" s="10" t="s">
        <v>90</v>
      </c>
      <c r="C2" s="10" t="s">
        <v>427</v>
      </c>
      <c r="D2" s="10" t="s">
        <v>428</v>
      </c>
    </row>
    <row r="3" customFormat="false" ht="35.05" hidden="false" customHeight="false" outlineLevel="0" collapsed="false">
      <c r="A3" s="10" t="s">
        <v>139</v>
      </c>
      <c r="B3" s="10" t="s">
        <v>90</v>
      </c>
      <c r="C3" s="10" t="s">
        <v>427</v>
      </c>
      <c r="D3" s="10" t="s">
        <v>429</v>
      </c>
    </row>
    <row r="4" customFormat="false" ht="35.05" hidden="false" customHeight="false" outlineLevel="0" collapsed="false">
      <c r="A4" s="10" t="s">
        <v>139</v>
      </c>
      <c r="B4" s="10" t="s">
        <v>90</v>
      </c>
      <c r="C4" s="10" t="s">
        <v>427</v>
      </c>
      <c r="D4" s="10" t="s">
        <v>430</v>
      </c>
    </row>
    <row r="5" customFormat="false" ht="15" hidden="false" customHeight="false" outlineLevel="0" collapsed="false">
      <c r="A5" s="10" t="s">
        <v>139</v>
      </c>
      <c r="B5" s="10" t="s">
        <v>90</v>
      </c>
      <c r="C5" s="10" t="s">
        <v>427</v>
      </c>
      <c r="D5" s="10" t="s">
        <v>431</v>
      </c>
    </row>
    <row r="6" customFormat="false" ht="15" hidden="false" customHeight="false" outlineLevel="0" collapsed="false">
      <c r="A6" s="10" t="s">
        <v>139</v>
      </c>
      <c r="B6" s="10" t="s">
        <v>83</v>
      </c>
      <c r="C6" s="10" t="s">
        <v>427</v>
      </c>
      <c r="D6" s="10" t="s">
        <v>432</v>
      </c>
    </row>
    <row r="7" customFormat="false" ht="23.85" hidden="false" customHeight="false" outlineLevel="0" collapsed="false">
      <c r="A7" s="10" t="s">
        <v>139</v>
      </c>
      <c r="B7" s="10" t="s">
        <v>183</v>
      </c>
      <c r="C7" s="10" t="s">
        <v>427</v>
      </c>
      <c r="D7" s="10" t="s">
        <v>433</v>
      </c>
    </row>
    <row r="8" customFormat="false" ht="23.85" hidden="false" customHeight="false" outlineLevel="0" collapsed="false">
      <c r="A8" s="10" t="s">
        <v>139</v>
      </c>
      <c r="B8" s="10" t="s">
        <v>183</v>
      </c>
      <c r="C8" s="10" t="s">
        <v>427</v>
      </c>
      <c r="D8" s="10" t="s">
        <v>434</v>
      </c>
    </row>
    <row r="9" customFormat="false" ht="15" hidden="false" customHeight="false" outlineLevel="0" collapsed="false">
      <c r="A9" s="10" t="s">
        <v>139</v>
      </c>
      <c r="B9" s="10" t="s">
        <v>183</v>
      </c>
      <c r="C9" s="10" t="s">
        <v>427</v>
      </c>
      <c r="D9" s="10" t="s">
        <v>435</v>
      </c>
    </row>
    <row r="10" customFormat="false" ht="15" hidden="false" customHeight="false" outlineLevel="0" collapsed="false">
      <c r="A10" s="10" t="s">
        <v>139</v>
      </c>
      <c r="B10" s="10" t="s">
        <v>116</v>
      </c>
      <c r="C10" s="10" t="s">
        <v>427</v>
      </c>
      <c r="D10" s="10" t="s">
        <v>436</v>
      </c>
    </row>
    <row r="11" customFormat="false" ht="23.85" hidden="false" customHeight="false" outlineLevel="0" collapsed="false">
      <c r="A11" s="10" t="s">
        <v>139</v>
      </c>
      <c r="B11" s="10" t="s">
        <v>86</v>
      </c>
      <c r="C11" s="10" t="s">
        <v>427</v>
      </c>
      <c r="D11" s="10" t="s">
        <v>437</v>
      </c>
    </row>
    <row r="12" customFormat="false" ht="35.05" hidden="false" customHeight="false" outlineLevel="0" collapsed="false">
      <c r="A12" s="10" t="s">
        <v>139</v>
      </c>
      <c r="B12" s="10" t="s">
        <v>56</v>
      </c>
      <c r="C12" s="10" t="s">
        <v>427</v>
      </c>
      <c r="D12" s="10" t="s">
        <v>68</v>
      </c>
    </row>
    <row r="13" customFormat="false" ht="35.05" hidden="false" customHeight="false" outlineLevel="0" collapsed="false">
      <c r="A13" s="10" t="s">
        <v>139</v>
      </c>
      <c r="B13" s="10" t="s">
        <v>56</v>
      </c>
      <c r="C13" s="10" t="s">
        <v>427</v>
      </c>
      <c r="D13" s="10" t="s">
        <v>438</v>
      </c>
    </row>
    <row r="14" customFormat="false" ht="23.85" hidden="false" customHeight="false" outlineLevel="0" collapsed="false">
      <c r="A14" s="10" t="s">
        <v>139</v>
      </c>
      <c r="B14" s="10" t="s">
        <v>56</v>
      </c>
      <c r="C14" s="10" t="s">
        <v>427</v>
      </c>
      <c r="D14" s="10" t="s">
        <v>80</v>
      </c>
    </row>
    <row r="15" customFormat="false" ht="23.85" hidden="false" customHeight="false" outlineLevel="0" collapsed="false">
      <c r="A15" s="10" t="s">
        <v>139</v>
      </c>
      <c r="B15" s="10" t="s">
        <v>71</v>
      </c>
      <c r="C15" s="10" t="s">
        <v>427</v>
      </c>
      <c r="D15" s="10" t="s">
        <v>172</v>
      </c>
    </row>
    <row r="16" customFormat="false" ht="35.05" hidden="false" customHeight="false" outlineLevel="0" collapsed="false">
      <c r="A16" s="10" t="s">
        <v>139</v>
      </c>
      <c r="B16" s="10" t="s">
        <v>71</v>
      </c>
      <c r="C16" s="10" t="s">
        <v>427</v>
      </c>
      <c r="D16" s="10" t="s">
        <v>154</v>
      </c>
    </row>
    <row r="17" customFormat="false" ht="35.05" hidden="false" customHeight="false" outlineLevel="0" collapsed="false">
      <c r="A17" s="10" t="s">
        <v>139</v>
      </c>
      <c r="B17" s="10" t="s">
        <v>71</v>
      </c>
      <c r="C17" s="10" t="s">
        <v>427</v>
      </c>
      <c r="D17" s="10" t="s">
        <v>107</v>
      </c>
    </row>
    <row r="18" customFormat="false" ht="247.75" hidden="false" customHeight="false" outlineLevel="0" collapsed="false">
      <c r="A18" s="10" t="s">
        <v>139</v>
      </c>
      <c r="B18" s="10" t="s">
        <v>71</v>
      </c>
      <c r="C18" s="10" t="s">
        <v>439</v>
      </c>
      <c r="D18" s="10" t="s">
        <v>440</v>
      </c>
    </row>
    <row r="19" customFormat="false" ht="23.85" hidden="false" customHeight="false" outlineLevel="0" collapsed="false">
      <c r="A19" s="10" t="s">
        <v>52</v>
      </c>
      <c r="B19" s="10" t="s">
        <v>57</v>
      </c>
      <c r="C19" s="10" t="s">
        <v>427</v>
      </c>
      <c r="D19" s="10" t="s">
        <v>441</v>
      </c>
    </row>
    <row r="20" customFormat="false" ht="35.05" hidden="false" customHeight="false" outlineLevel="0" collapsed="false">
      <c r="A20" s="10" t="s">
        <v>52</v>
      </c>
      <c r="B20" s="10" t="s">
        <v>57</v>
      </c>
      <c r="C20" s="10" t="s">
        <v>427</v>
      </c>
      <c r="D20" s="10" t="s">
        <v>442</v>
      </c>
    </row>
    <row r="21" customFormat="false" ht="15" hidden="false" customHeight="false" outlineLevel="0" collapsed="false">
      <c r="A21" s="10" t="s">
        <v>52</v>
      </c>
      <c r="B21" s="10" t="s">
        <v>57</v>
      </c>
      <c r="C21" s="10" t="s">
        <v>427</v>
      </c>
      <c r="D21" s="10" t="s">
        <v>443</v>
      </c>
    </row>
    <row r="22" customFormat="false" ht="35.05" hidden="false" customHeight="false" outlineLevel="0" collapsed="false">
      <c r="A22" s="10" t="s">
        <v>52</v>
      </c>
      <c r="B22" s="10" t="s">
        <v>57</v>
      </c>
      <c r="C22" s="10" t="s">
        <v>427</v>
      </c>
      <c r="D22" s="10" t="s">
        <v>444</v>
      </c>
    </row>
    <row r="23" customFormat="false" ht="23.85" hidden="false" customHeight="false" outlineLevel="0" collapsed="false">
      <c r="A23" s="10" t="s">
        <v>52</v>
      </c>
      <c r="B23" s="10" t="s">
        <v>76</v>
      </c>
      <c r="C23" s="10" t="s">
        <v>427</v>
      </c>
      <c r="D23" s="10" t="s">
        <v>445</v>
      </c>
    </row>
    <row r="24" customFormat="false" ht="15" hidden="false" customHeight="false" outlineLevel="0" collapsed="false">
      <c r="A24" s="10" t="s">
        <v>52</v>
      </c>
      <c r="B24" s="10" t="s">
        <v>76</v>
      </c>
      <c r="C24" s="10" t="s">
        <v>427</v>
      </c>
      <c r="D24" s="10" t="s">
        <v>446</v>
      </c>
    </row>
    <row r="25" customFormat="false" ht="35.05" hidden="false" customHeight="false" outlineLevel="0" collapsed="false">
      <c r="A25" s="10" t="s">
        <v>52</v>
      </c>
      <c r="B25" s="10" t="s">
        <v>147</v>
      </c>
      <c r="C25" s="10" t="s">
        <v>427</v>
      </c>
      <c r="D25" s="10" t="s">
        <v>447</v>
      </c>
    </row>
    <row r="26" customFormat="false" ht="15" hidden="false" customHeight="false" outlineLevel="0" collapsed="false">
      <c r="A26" s="10" t="s">
        <v>52</v>
      </c>
      <c r="B26" s="10" t="s">
        <v>150</v>
      </c>
      <c r="C26" s="10" t="s">
        <v>427</v>
      </c>
      <c r="D26" s="10" t="s">
        <v>448</v>
      </c>
    </row>
    <row r="27" customFormat="false" ht="35.05" hidden="false" customHeight="false" outlineLevel="0" collapsed="false">
      <c r="A27" s="10" t="s">
        <v>52</v>
      </c>
      <c r="B27" s="10" t="s">
        <v>116</v>
      </c>
      <c r="C27" s="10" t="s">
        <v>427</v>
      </c>
      <c r="D27" s="10" t="s">
        <v>117</v>
      </c>
    </row>
    <row r="28" customFormat="false" ht="23.85" hidden="false" customHeight="false" outlineLevel="0" collapsed="false">
      <c r="A28" s="10" t="s">
        <v>52</v>
      </c>
      <c r="B28" s="10" t="s">
        <v>116</v>
      </c>
      <c r="C28" s="10" t="s">
        <v>427</v>
      </c>
      <c r="D28" s="10" t="s">
        <v>449</v>
      </c>
    </row>
    <row r="29" customFormat="false" ht="23.85" hidden="false" customHeight="false" outlineLevel="0" collapsed="false">
      <c r="A29" s="10" t="s">
        <v>52</v>
      </c>
      <c r="B29" s="10" t="s">
        <v>116</v>
      </c>
      <c r="C29" s="10" t="s">
        <v>450</v>
      </c>
      <c r="D29" s="10" t="s">
        <v>451</v>
      </c>
    </row>
    <row r="30" customFormat="false" ht="23.85" hidden="false" customHeight="false" outlineLevel="0" collapsed="false">
      <c r="A30" s="10" t="s">
        <v>52</v>
      </c>
      <c r="B30" s="10" t="s">
        <v>86</v>
      </c>
      <c r="C30" s="10" t="s">
        <v>427</v>
      </c>
      <c r="D30" s="10" t="s">
        <v>452</v>
      </c>
    </row>
    <row r="31" customFormat="false" ht="35.05" hidden="false" customHeight="false" outlineLevel="0" collapsed="false">
      <c r="A31" s="10" t="s">
        <v>52</v>
      </c>
      <c r="B31" s="10" t="s">
        <v>58</v>
      </c>
      <c r="C31" s="10" t="s">
        <v>427</v>
      </c>
      <c r="D31" s="10" t="s">
        <v>59</v>
      </c>
    </row>
    <row r="32" customFormat="false" ht="23.85" hidden="false" customHeight="false" outlineLevel="0" collapsed="false">
      <c r="A32" s="10" t="s">
        <v>256</v>
      </c>
      <c r="B32" s="10" t="s">
        <v>259</v>
      </c>
      <c r="C32" s="10" t="s">
        <v>427</v>
      </c>
      <c r="D32" s="10" t="s">
        <v>275</v>
      </c>
    </row>
    <row r="33" customFormat="false" ht="23.85" hidden="false" customHeight="false" outlineLevel="0" collapsed="false">
      <c r="A33" s="10" t="s">
        <v>256</v>
      </c>
      <c r="B33" s="10" t="s">
        <v>150</v>
      </c>
      <c r="C33" s="10" t="s">
        <v>427</v>
      </c>
      <c r="D33" s="10" t="s">
        <v>283</v>
      </c>
    </row>
    <row r="34" customFormat="false" ht="23.85" hidden="false" customHeight="false" outlineLevel="0" collapsed="false">
      <c r="A34" s="10" t="s">
        <v>256</v>
      </c>
      <c r="B34" s="10" t="s">
        <v>71</v>
      </c>
      <c r="C34" s="10" t="s">
        <v>427</v>
      </c>
      <c r="D34" s="10" t="s">
        <v>453</v>
      </c>
    </row>
    <row r="35" customFormat="false" ht="46.25" hidden="false" customHeight="false" outlineLevel="0" collapsed="false">
      <c r="A35" s="10" t="s">
        <v>256</v>
      </c>
      <c r="B35" s="10" t="s">
        <v>71</v>
      </c>
      <c r="C35" s="10" t="s">
        <v>427</v>
      </c>
      <c r="D35" s="10" t="s">
        <v>263</v>
      </c>
    </row>
    <row r="36" customFormat="false" ht="15" hidden="false" customHeight="false" outlineLevel="0" collapsed="false">
      <c r="A36" s="10" t="s">
        <v>256</v>
      </c>
      <c r="B36" s="10" t="s">
        <v>71</v>
      </c>
      <c r="C36" s="10" t="s">
        <v>427</v>
      </c>
      <c r="D36" s="10" t="s">
        <v>454</v>
      </c>
    </row>
    <row r="37" customFormat="false" ht="23.85" hidden="false" customHeight="false" outlineLevel="0" collapsed="false">
      <c r="A37" s="10" t="s">
        <v>256</v>
      </c>
      <c r="B37" s="10" t="s">
        <v>71</v>
      </c>
      <c r="C37" s="10" t="s">
        <v>427</v>
      </c>
      <c r="D37" s="10" t="s">
        <v>455</v>
      </c>
    </row>
    <row r="38" customFormat="false" ht="23.85" hidden="false" customHeight="false" outlineLevel="0" collapsed="false">
      <c r="A38" s="10" t="s">
        <v>256</v>
      </c>
      <c r="B38" s="10" t="s">
        <v>71</v>
      </c>
      <c r="C38" s="10" t="s">
        <v>427</v>
      </c>
      <c r="D38" s="10" t="s">
        <v>456</v>
      </c>
    </row>
    <row r="39" customFormat="false" ht="35.05" hidden="false" customHeight="false" outlineLevel="0" collapsed="false">
      <c r="A39" s="10" t="s">
        <v>256</v>
      </c>
      <c r="B39" s="10" t="s">
        <v>71</v>
      </c>
      <c r="C39" s="10" t="s">
        <v>427</v>
      </c>
      <c r="D39" s="10" t="s">
        <v>260</v>
      </c>
    </row>
    <row r="40" customFormat="false" ht="68.65" hidden="false" customHeight="false" outlineLevel="0" collapsed="false">
      <c r="A40" s="10" t="s">
        <v>256</v>
      </c>
      <c r="B40" s="10" t="s">
        <v>71</v>
      </c>
      <c r="C40" s="10" t="s">
        <v>457</v>
      </c>
      <c r="D40" s="10" t="s">
        <v>458</v>
      </c>
    </row>
    <row r="41" customFormat="false" ht="35.05" hidden="false" customHeight="false" outlineLevel="0" collapsed="false">
      <c r="A41" s="10" t="s">
        <v>101</v>
      </c>
      <c r="B41" s="10" t="s">
        <v>76</v>
      </c>
      <c r="C41" s="10" t="s">
        <v>427</v>
      </c>
      <c r="D41" s="10" t="s">
        <v>459</v>
      </c>
    </row>
    <row r="42" customFormat="false" ht="15" hidden="false" customHeight="false" outlineLevel="0" collapsed="false">
      <c r="A42" s="10" t="s">
        <v>101</v>
      </c>
      <c r="B42" s="10" t="s">
        <v>183</v>
      </c>
      <c r="C42" s="10" t="s">
        <v>427</v>
      </c>
      <c r="D42" s="10" t="s">
        <v>460</v>
      </c>
    </row>
    <row r="43" customFormat="false" ht="15" hidden="false" customHeight="false" outlineLevel="0" collapsed="false">
      <c r="A43" s="10" t="s">
        <v>101</v>
      </c>
      <c r="B43" s="10" t="s">
        <v>183</v>
      </c>
      <c r="C43" s="10" t="s">
        <v>427</v>
      </c>
      <c r="D43" s="10" t="s">
        <v>461</v>
      </c>
    </row>
    <row r="44" customFormat="false" ht="15" hidden="false" customHeight="false" outlineLevel="0" collapsed="false">
      <c r="A44" s="10" t="s">
        <v>101</v>
      </c>
      <c r="B44" s="10" t="s">
        <v>183</v>
      </c>
      <c r="C44" s="10" t="s">
        <v>427</v>
      </c>
      <c r="D44" s="10" t="s">
        <v>462</v>
      </c>
    </row>
    <row r="45" customFormat="false" ht="46.25" hidden="false" customHeight="false" outlineLevel="0" collapsed="false">
      <c r="A45" s="10" t="s">
        <v>101</v>
      </c>
      <c r="B45" s="10" t="s">
        <v>183</v>
      </c>
      <c r="C45" s="10" t="s">
        <v>427</v>
      </c>
      <c r="D45" s="10" t="s">
        <v>463</v>
      </c>
    </row>
    <row r="46" customFormat="false" ht="35.05" hidden="false" customHeight="false" outlineLevel="0" collapsed="false">
      <c r="A46" s="10" t="s">
        <v>101</v>
      </c>
      <c r="B46" s="10" t="s">
        <v>133</v>
      </c>
      <c r="C46" s="10" t="s">
        <v>427</v>
      </c>
      <c r="D46" s="10" t="s">
        <v>464</v>
      </c>
    </row>
    <row r="47" customFormat="false" ht="46.25" hidden="false" customHeight="false" outlineLevel="0" collapsed="false">
      <c r="A47" s="10" t="s">
        <v>101</v>
      </c>
      <c r="B47" s="10" t="s">
        <v>133</v>
      </c>
      <c r="C47" s="10" t="s">
        <v>427</v>
      </c>
      <c r="D47" s="10" t="s">
        <v>223</v>
      </c>
    </row>
    <row r="48" customFormat="false" ht="35.05" hidden="false" customHeight="false" outlineLevel="0" collapsed="false">
      <c r="A48" s="10" t="s">
        <v>101</v>
      </c>
      <c r="B48" s="10" t="s">
        <v>150</v>
      </c>
      <c r="C48" s="10" t="s">
        <v>427</v>
      </c>
      <c r="D48" s="10" t="s">
        <v>465</v>
      </c>
    </row>
    <row r="49" customFormat="false" ht="35.05" hidden="false" customHeight="false" outlineLevel="0" collapsed="false">
      <c r="A49" s="10" t="s">
        <v>101</v>
      </c>
      <c r="B49" s="10" t="s">
        <v>116</v>
      </c>
      <c r="C49" s="10" t="s">
        <v>427</v>
      </c>
      <c r="D49" s="10" t="s">
        <v>127</v>
      </c>
    </row>
    <row r="50" customFormat="false" ht="15" hidden="false" customHeight="false" outlineLevel="0" collapsed="false">
      <c r="A50" s="10" t="s">
        <v>101</v>
      </c>
      <c r="B50" s="10" t="s">
        <v>116</v>
      </c>
      <c r="C50" s="10" t="s">
        <v>427</v>
      </c>
      <c r="D50" s="10" t="s">
        <v>466</v>
      </c>
    </row>
    <row r="51" customFormat="false" ht="23.85" hidden="false" customHeight="false" outlineLevel="0" collapsed="false">
      <c r="A51" s="10" t="s">
        <v>101</v>
      </c>
      <c r="B51" s="10" t="s">
        <v>116</v>
      </c>
      <c r="C51" s="10" t="s">
        <v>427</v>
      </c>
      <c r="D51" s="10" t="s">
        <v>467</v>
      </c>
    </row>
    <row r="52" customFormat="false" ht="23.85" hidden="false" customHeight="false" outlineLevel="0" collapsed="false">
      <c r="A52" s="10" t="s">
        <v>101</v>
      </c>
      <c r="B52" s="10" t="s">
        <v>116</v>
      </c>
      <c r="C52" s="10" t="s">
        <v>427</v>
      </c>
      <c r="D52" s="10" t="s">
        <v>406</v>
      </c>
    </row>
    <row r="53" customFormat="false" ht="35.05" hidden="false" customHeight="false" outlineLevel="0" collapsed="false">
      <c r="A53" s="10" t="s">
        <v>101</v>
      </c>
      <c r="B53" s="10" t="s">
        <v>134</v>
      </c>
      <c r="C53" s="10" t="s">
        <v>427</v>
      </c>
      <c r="D53" s="10" t="s">
        <v>468</v>
      </c>
    </row>
    <row r="54" customFormat="false" ht="23.85" hidden="false" customHeight="false" outlineLevel="0" collapsed="false">
      <c r="A54" s="10" t="s">
        <v>101</v>
      </c>
      <c r="B54" s="10" t="s">
        <v>86</v>
      </c>
      <c r="C54" s="10" t="s">
        <v>427</v>
      </c>
      <c r="D54" s="10" t="s">
        <v>437</v>
      </c>
    </row>
    <row r="55" customFormat="false" ht="23.85" hidden="false" customHeight="false" outlineLevel="0" collapsed="false">
      <c r="A55" s="10" t="s">
        <v>101</v>
      </c>
      <c r="B55" s="10" t="s">
        <v>86</v>
      </c>
      <c r="C55" s="10" t="s">
        <v>469</v>
      </c>
      <c r="D55" s="10" t="s">
        <v>470</v>
      </c>
    </row>
    <row r="56" customFormat="false" ht="35.05" hidden="false" customHeight="false" outlineLevel="0" collapsed="false">
      <c r="A56" s="10" t="s">
        <v>101</v>
      </c>
      <c r="B56" s="10" t="s">
        <v>71</v>
      </c>
      <c r="C56" s="10" t="s">
        <v>427</v>
      </c>
      <c r="D56" s="10" t="s">
        <v>154</v>
      </c>
    </row>
    <row r="57" customFormat="false" ht="35.05" hidden="false" customHeight="false" outlineLevel="0" collapsed="false">
      <c r="A57" s="10" t="s">
        <v>101</v>
      </c>
      <c r="B57" s="10" t="s">
        <v>71</v>
      </c>
      <c r="C57" s="10" t="s">
        <v>427</v>
      </c>
      <c r="D57" s="10" t="s">
        <v>157</v>
      </c>
    </row>
    <row r="58" customFormat="false" ht="15" hidden="false" customHeight="false" outlineLevel="0" collapsed="false">
      <c r="A58" s="10" t="s">
        <v>101</v>
      </c>
      <c r="B58" s="10" t="s">
        <v>71</v>
      </c>
      <c r="C58" s="10" t="s">
        <v>427</v>
      </c>
      <c r="D58" s="10" t="s">
        <v>471</v>
      </c>
    </row>
    <row r="59" customFormat="false" ht="23.85" hidden="false" customHeight="false" outlineLevel="0" collapsed="false">
      <c r="A59" s="10" t="s">
        <v>101</v>
      </c>
      <c r="B59" s="10" t="s">
        <v>71</v>
      </c>
      <c r="C59" s="10" t="s">
        <v>427</v>
      </c>
      <c r="D59" s="10" t="s">
        <v>472</v>
      </c>
    </row>
    <row r="60" customFormat="false" ht="23.85" hidden="false" customHeight="false" outlineLevel="0" collapsed="false">
      <c r="A60" s="10" t="s">
        <v>101</v>
      </c>
      <c r="B60" s="10" t="s">
        <v>71</v>
      </c>
      <c r="C60" s="10" t="s">
        <v>427</v>
      </c>
      <c r="D60" s="10" t="s">
        <v>104</v>
      </c>
    </row>
    <row r="61" customFormat="false" ht="79.85" hidden="false" customHeight="false" outlineLevel="0" collapsed="false">
      <c r="A61" s="10" t="s">
        <v>101</v>
      </c>
      <c r="B61" s="10" t="s">
        <v>71</v>
      </c>
      <c r="C61" s="10" t="s">
        <v>473</v>
      </c>
      <c r="D61" s="10" t="s">
        <v>474</v>
      </c>
    </row>
    <row r="62" customFormat="false" ht="35.05" hidden="false" customHeight="false" outlineLevel="0" collapsed="false">
      <c r="A62" s="10" t="s">
        <v>101</v>
      </c>
      <c r="B62" s="10" t="s">
        <v>71</v>
      </c>
      <c r="C62" s="10" t="s">
        <v>475</v>
      </c>
      <c r="D62" s="10" t="s">
        <v>476</v>
      </c>
    </row>
    <row r="63" customFormat="false" ht="15" hidden="false" customHeight="false" outlineLevel="0" collapsed="false">
      <c r="A63" s="10" t="s">
        <v>338</v>
      </c>
      <c r="B63" s="10" t="s">
        <v>183</v>
      </c>
      <c r="C63" s="10" t="s">
        <v>427</v>
      </c>
      <c r="D63" s="10" t="s">
        <v>477</v>
      </c>
    </row>
    <row r="64" customFormat="false" ht="35.05" hidden="false" customHeight="false" outlineLevel="0" collapsed="false">
      <c r="A64" s="10" t="s">
        <v>338</v>
      </c>
      <c r="B64" s="10" t="s">
        <v>183</v>
      </c>
      <c r="C64" s="10" t="s">
        <v>427</v>
      </c>
      <c r="D64" s="10" t="s">
        <v>341</v>
      </c>
    </row>
    <row r="65" customFormat="false" ht="35.05" hidden="false" customHeight="false" outlineLevel="0" collapsed="false">
      <c r="A65" s="10" t="s">
        <v>173</v>
      </c>
      <c r="B65" s="10" t="s">
        <v>56</v>
      </c>
      <c r="C65" s="10" t="s">
        <v>427</v>
      </c>
      <c r="D65" s="10" t="s">
        <v>478</v>
      </c>
    </row>
    <row r="66" customFormat="false" ht="35.05" hidden="false" customHeight="false" outlineLevel="0" collapsed="false">
      <c r="A66" s="10" t="s">
        <v>173</v>
      </c>
      <c r="B66" s="10" t="s">
        <v>56</v>
      </c>
      <c r="C66" s="10" t="s">
        <v>427</v>
      </c>
      <c r="D66" s="10" t="s">
        <v>303</v>
      </c>
    </row>
    <row r="67" customFormat="false" ht="15" hidden="false" customHeight="false" outlineLevel="0" collapsed="false">
      <c r="A67" s="10" t="s">
        <v>173</v>
      </c>
      <c r="B67" s="10" t="s">
        <v>71</v>
      </c>
      <c r="C67" s="10" t="s">
        <v>427</v>
      </c>
      <c r="D67" s="10" t="s">
        <v>454</v>
      </c>
    </row>
    <row r="68" customFormat="false" ht="15" hidden="false" customHeight="false" outlineLevel="0" collapsed="false">
      <c r="A68" s="10" t="s">
        <v>173</v>
      </c>
      <c r="B68" s="10" t="s">
        <v>71</v>
      </c>
      <c r="C68" s="10" t="s">
        <v>427</v>
      </c>
      <c r="D68" s="10" t="s">
        <v>479</v>
      </c>
    </row>
    <row r="69" customFormat="false" ht="35.05" hidden="false" customHeight="false" outlineLevel="0" collapsed="false">
      <c r="A69" s="10" t="s">
        <v>173</v>
      </c>
      <c r="B69" s="10" t="s">
        <v>71</v>
      </c>
      <c r="C69" s="10" t="s">
        <v>427</v>
      </c>
      <c r="D69" s="10" t="s">
        <v>120</v>
      </c>
    </row>
    <row r="70" customFormat="false" ht="135.8" hidden="false" customHeight="false" outlineLevel="0" collapsed="false">
      <c r="A70" s="10" t="s">
        <v>173</v>
      </c>
      <c r="B70" s="10" t="s">
        <v>71</v>
      </c>
      <c r="C70" s="10" t="s">
        <v>480</v>
      </c>
      <c r="D70" s="10" t="s">
        <v>481</v>
      </c>
    </row>
    <row r="71" customFormat="false" ht="46.25" hidden="false" customHeight="false" outlineLevel="0" collapsed="false">
      <c r="A71" s="10" t="s">
        <v>142</v>
      </c>
      <c r="B71" s="10" t="s">
        <v>76</v>
      </c>
      <c r="C71" s="10" t="s">
        <v>427</v>
      </c>
      <c r="D71" s="10" t="s">
        <v>482</v>
      </c>
    </row>
    <row r="72" customFormat="false" ht="46.25" hidden="false" customHeight="false" outlineLevel="0" collapsed="false">
      <c r="A72" s="10" t="s">
        <v>142</v>
      </c>
      <c r="B72" s="10" t="s">
        <v>76</v>
      </c>
      <c r="C72" s="10" t="s">
        <v>427</v>
      </c>
      <c r="D72" s="10" t="s">
        <v>483</v>
      </c>
    </row>
    <row r="73" customFormat="false" ht="35.05" hidden="false" customHeight="false" outlineLevel="0" collapsed="false">
      <c r="A73" s="10" t="s">
        <v>142</v>
      </c>
      <c r="B73" s="10" t="s">
        <v>133</v>
      </c>
      <c r="C73" s="10" t="s">
        <v>427</v>
      </c>
      <c r="D73" s="10" t="s">
        <v>484</v>
      </c>
    </row>
    <row r="74" customFormat="false" ht="23.85" hidden="false" customHeight="false" outlineLevel="0" collapsed="false">
      <c r="A74" s="10" t="s">
        <v>142</v>
      </c>
      <c r="B74" s="10" t="s">
        <v>133</v>
      </c>
      <c r="C74" s="10" t="s">
        <v>427</v>
      </c>
      <c r="D74" s="10" t="s">
        <v>144</v>
      </c>
    </row>
    <row r="75" customFormat="false" ht="15" hidden="false" customHeight="false" outlineLevel="0" collapsed="false">
      <c r="A75" s="10" t="s">
        <v>105</v>
      </c>
      <c r="B75" s="10" t="s">
        <v>57</v>
      </c>
      <c r="C75" s="10" t="s">
        <v>427</v>
      </c>
      <c r="D75" s="10" t="s">
        <v>485</v>
      </c>
    </row>
    <row r="76" customFormat="false" ht="23.85" hidden="false" customHeight="false" outlineLevel="0" collapsed="false">
      <c r="A76" s="10" t="s">
        <v>105</v>
      </c>
      <c r="B76" s="10" t="s">
        <v>90</v>
      </c>
      <c r="C76" s="10" t="s">
        <v>427</v>
      </c>
      <c r="D76" s="10" t="s">
        <v>486</v>
      </c>
    </row>
    <row r="77" customFormat="false" ht="46.25" hidden="false" customHeight="false" outlineLevel="0" collapsed="false">
      <c r="A77" s="10" t="s">
        <v>105</v>
      </c>
      <c r="B77" s="10" t="s">
        <v>90</v>
      </c>
      <c r="C77" s="10" t="s">
        <v>427</v>
      </c>
      <c r="D77" s="10" t="s">
        <v>487</v>
      </c>
    </row>
    <row r="78" customFormat="false" ht="35.05" hidden="false" customHeight="false" outlineLevel="0" collapsed="false">
      <c r="A78" s="10" t="s">
        <v>105</v>
      </c>
      <c r="B78" s="10" t="s">
        <v>90</v>
      </c>
      <c r="C78" s="10" t="s">
        <v>427</v>
      </c>
      <c r="D78" s="10" t="s">
        <v>430</v>
      </c>
    </row>
    <row r="79" customFormat="false" ht="15" hidden="false" customHeight="false" outlineLevel="0" collapsed="false">
      <c r="A79" s="10" t="s">
        <v>105</v>
      </c>
      <c r="B79" s="10" t="s">
        <v>90</v>
      </c>
      <c r="C79" s="10" t="s">
        <v>427</v>
      </c>
      <c r="D79" s="10" t="s">
        <v>431</v>
      </c>
    </row>
    <row r="80" customFormat="false" ht="15" hidden="false" customHeight="false" outlineLevel="0" collapsed="false">
      <c r="A80" s="10" t="s">
        <v>105</v>
      </c>
      <c r="B80" s="10" t="s">
        <v>83</v>
      </c>
      <c r="C80" s="10" t="s">
        <v>427</v>
      </c>
      <c r="D80" s="10" t="s">
        <v>432</v>
      </c>
    </row>
    <row r="81" customFormat="false" ht="23.85" hidden="false" customHeight="false" outlineLevel="0" collapsed="false">
      <c r="A81" s="10" t="s">
        <v>105</v>
      </c>
      <c r="B81" s="10" t="s">
        <v>183</v>
      </c>
      <c r="C81" s="10" t="s">
        <v>427</v>
      </c>
      <c r="D81" s="10" t="s">
        <v>433</v>
      </c>
    </row>
    <row r="82" customFormat="false" ht="23.85" hidden="false" customHeight="false" outlineLevel="0" collapsed="false">
      <c r="A82" s="10" t="s">
        <v>105</v>
      </c>
      <c r="B82" s="10" t="s">
        <v>183</v>
      </c>
      <c r="C82" s="10" t="s">
        <v>427</v>
      </c>
      <c r="D82" s="10" t="s">
        <v>434</v>
      </c>
    </row>
    <row r="83" customFormat="false" ht="15" hidden="false" customHeight="false" outlineLevel="0" collapsed="false">
      <c r="A83" s="10" t="s">
        <v>105</v>
      </c>
      <c r="B83" s="10" t="s">
        <v>183</v>
      </c>
      <c r="C83" s="10" t="s">
        <v>427</v>
      </c>
      <c r="D83" s="10" t="s">
        <v>435</v>
      </c>
    </row>
    <row r="84" customFormat="false" ht="35.05" hidden="false" customHeight="false" outlineLevel="0" collapsed="false">
      <c r="A84" s="10" t="s">
        <v>105</v>
      </c>
      <c r="B84" s="10" t="s">
        <v>133</v>
      </c>
      <c r="C84" s="10" t="s">
        <v>427</v>
      </c>
      <c r="D84" s="10" t="s">
        <v>464</v>
      </c>
    </row>
    <row r="85" customFormat="false" ht="46.25" hidden="false" customHeight="false" outlineLevel="0" collapsed="false">
      <c r="A85" s="10" t="s">
        <v>105</v>
      </c>
      <c r="B85" s="10" t="s">
        <v>133</v>
      </c>
      <c r="C85" s="10" t="s">
        <v>427</v>
      </c>
      <c r="D85" s="10" t="s">
        <v>223</v>
      </c>
    </row>
    <row r="86" customFormat="false" ht="23.85" hidden="false" customHeight="false" outlineLevel="0" collapsed="false">
      <c r="A86" s="10" t="s">
        <v>105</v>
      </c>
      <c r="B86" s="10" t="s">
        <v>116</v>
      </c>
      <c r="C86" s="10" t="s">
        <v>427</v>
      </c>
      <c r="D86" s="10" t="s">
        <v>488</v>
      </c>
    </row>
    <row r="87" customFormat="false" ht="15" hidden="false" customHeight="false" outlineLevel="0" collapsed="false">
      <c r="A87" s="10" t="s">
        <v>105</v>
      </c>
      <c r="B87" s="10" t="s">
        <v>116</v>
      </c>
      <c r="C87" s="10" t="s">
        <v>427</v>
      </c>
      <c r="D87" s="10" t="s">
        <v>436</v>
      </c>
    </row>
    <row r="88" customFormat="false" ht="23.85" hidden="false" customHeight="false" outlineLevel="0" collapsed="false">
      <c r="A88" s="10" t="s">
        <v>105</v>
      </c>
      <c r="B88" s="10" t="s">
        <v>86</v>
      </c>
      <c r="C88" s="10" t="s">
        <v>427</v>
      </c>
      <c r="D88" s="10" t="s">
        <v>437</v>
      </c>
    </row>
    <row r="89" customFormat="false" ht="46.25" hidden="false" customHeight="false" outlineLevel="0" collapsed="false">
      <c r="A89" s="10" t="s">
        <v>105</v>
      </c>
      <c r="B89" s="10" t="s">
        <v>58</v>
      </c>
      <c r="C89" s="10" t="s">
        <v>427</v>
      </c>
      <c r="D89" s="10" t="s">
        <v>226</v>
      </c>
    </row>
    <row r="90" customFormat="false" ht="35.05" hidden="false" customHeight="false" outlineLevel="0" collapsed="false">
      <c r="A90" s="10" t="s">
        <v>105</v>
      </c>
      <c r="B90" s="10" t="s">
        <v>71</v>
      </c>
      <c r="C90" s="10" t="s">
        <v>427</v>
      </c>
      <c r="D90" s="10" t="s">
        <v>107</v>
      </c>
    </row>
    <row r="91" customFormat="false" ht="35.05" hidden="false" customHeight="false" outlineLevel="0" collapsed="false">
      <c r="A91" s="10" t="s">
        <v>73</v>
      </c>
      <c r="B91" s="10" t="s">
        <v>76</v>
      </c>
      <c r="C91" s="10" t="s">
        <v>427</v>
      </c>
      <c r="D91" s="10" t="s">
        <v>489</v>
      </c>
    </row>
    <row r="92" customFormat="false" ht="23.85" hidden="false" customHeight="false" outlineLevel="0" collapsed="false">
      <c r="A92" s="10" t="s">
        <v>73</v>
      </c>
      <c r="B92" s="10" t="s">
        <v>76</v>
      </c>
      <c r="C92" s="10" t="s">
        <v>427</v>
      </c>
      <c r="D92" s="10" t="s">
        <v>490</v>
      </c>
    </row>
    <row r="93" customFormat="false" ht="23.85" hidden="false" customHeight="false" outlineLevel="0" collapsed="false">
      <c r="A93" s="10" t="s">
        <v>73</v>
      </c>
      <c r="B93" s="10" t="s">
        <v>76</v>
      </c>
      <c r="C93" s="10" t="s">
        <v>427</v>
      </c>
      <c r="D93" s="10" t="s">
        <v>491</v>
      </c>
    </row>
    <row r="94" customFormat="false" ht="35.05" hidden="false" customHeight="false" outlineLevel="0" collapsed="false">
      <c r="A94" s="10" t="s">
        <v>73</v>
      </c>
      <c r="B94" s="10" t="s">
        <v>116</v>
      </c>
      <c r="C94" s="10" t="s">
        <v>427</v>
      </c>
      <c r="D94" s="10" t="s">
        <v>492</v>
      </c>
    </row>
    <row r="95" customFormat="false" ht="23.85" hidden="false" customHeight="false" outlineLevel="0" collapsed="false">
      <c r="A95" s="10" t="s">
        <v>73</v>
      </c>
      <c r="B95" s="10" t="s">
        <v>86</v>
      </c>
      <c r="C95" s="10" t="s">
        <v>427</v>
      </c>
      <c r="D95" s="10" t="s">
        <v>452</v>
      </c>
    </row>
    <row r="96" customFormat="false" ht="35.05" hidden="false" customHeight="false" outlineLevel="0" collapsed="false">
      <c r="A96" s="10" t="s">
        <v>73</v>
      </c>
      <c r="B96" s="10" t="s">
        <v>86</v>
      </c>
      <c r="C96" s="10" t="s">
        <v>427</v>
      </c>
      <c r="D96" s="10" t="s">
        <v>178</v>
      </c>
    </row>
    <row r="97" customFormat="false" ht="23.85" hidden="false" customHeight="false" outlineLevel="0" collapsed="false">
      <c r="A97" s="10" t="s">
        <v>73</v>
      </c>
      <c r="B97" s="10" t="s">
        <v>86</v>
      </c>
      <c r="C97" s="10" t="s">
        <v>427</v>
      </c>
      <c r="D97" s="10" t="s">
        <v>493</v>
      </c>
    </row>
    <row r="98" customFormat="false" ht="46.25" hidden="false" customHeight="false" outlineLevel="0" collapsed="false">
      <c r="A98" s="10" t="s">
        <v>73</v>
      </c>
      <c r="B98" s="10" t="s">
        <v>58</v>
      </c>
      <c r="C98" s="10" t="s">
        <v>427</v>
      </c>
      <c r="D98" s="10" t="s">
        <v>494</v>
      </c>
    </row>
    <row r="99" customFormat="false" ht="46.25" hidden="false" customHeight="false" outlineLevel="0" collapsed="false">
      <c r="A99" s="10" t="s">
        <v>73</v>
      </c>
      <c r="B99" s="10" t="s">
        <v>58</v>
      </c>
      <c r="C99" s="10" t="s">
        <v>427</v>
      </c>
      <c r="D99" s="10" t="s">
        <v>495</v>
      </c>
    </row>
    <row r="100" customFormat="false" ht="23.85" hidden="false" customHeight="false" outlineLevel="0" collapsed="false">
      <c r="A100" s="10" t="s">
        <v>73</v>
      </c>
      <c r="B100" s="10" t="s">
        <v>56</v>
      </c>
      <c r="C100" s="10" t="s">
        <v>427</v>
      </c>
      <c r="D100" s="10" t="s">
        <v>80</v>
      </c>
    </row>
    <row r="101" customFormat="false" ht="23.85" hidden="false" customHeight="false" outlineLevel="0" collapsed="false">
      <c r="A101" s="10" t="s">
        <v>73</v>
      </c>
      <c r="B101" s="10" t="s">
        <v>56</v>
      </c>
      <c r="C101" s="10" t="s">
        <v>427</v>
      </c>
      <c r="D101" s="10" t="s">
        <v>496</v>
      </c>
    </row>
    <row r="102" customFormat="false" ht="15" hidden="false" customHeight="false" outlineLevel="0" collapsed="false">
      <c r="A102" s="10" t="s">
        <v>73</v>
      </c>
      <c r="B102" s="10" t="s">
        <v>71</v>
      </c>
      <c r="C102" s="10" t="s">
        <v>427</v>
      </c>
      <c r="D102" s="10" t="s">
        <v>497</v>
      </c>
    </row>
    <row r="103" customFormat="false" ht="79.85" hidden="false" customHeight="false" outlineLevel="0" collapsed="false">
      <c r="A103" s="10" t="s">
        <v>73</v>
      </c>
      <c r="B103" s="10" t="s">
        <v>71</v>
      </c>
      <c r="C103" s="10" t="s">
        <v>427</v>
      </c>
      <c r="D103" s="10" t="s">
        <v>77</v>
      </c>
    </row>
    <row r="104" customFormat="false" ht="46.25" hidden="false" customHeight="false" outlineLevel="0" collapsed="false">
      <c r="A104" s="10" t="s">
        <v>108</v>
      </c>
      <c r="B104" s="10" t="s">
        <v>76</v>
      </c>
      <c r="C104" s="10" t="s">
        <v>427</v>
      </c>
      <c r="D104" s="10" t="s">
        <v>498</v>
      </c>
    </row>
    <row r="105" customFormat="false" ht="23.85" hidden="false" customHeight="false" outlineLevel="0" collapsed="false">
      <c r="A105" s="10" t="s">
        <v>108</v>
      </c>
      <c r="B105" s="10" t="s">
        <v>133</v>
      </c>
      <c r="C105" s="10" t="s">
        <v>427</v>
      </c>
      <c r="D105" s="10" t="s">
        <v>499</v>
      </c>
    </row>
    <row r="106" customFormat="false" ht="23.85" hidden="false" customHeight="false" outlineLevel="0" collapsed="false">
      <c r="A106" s="10" t="s">
        <v>108</v>
      </c>
      <c r="B106" s="10" t="s">
        <v>133</v>
      </c>
      <c r="C106" s="10" t="s">
        <v>427</v>
      </c>
      <c r="D106" s="10" t="s">
        <v>110</v>
      </c>
    </row>
    <row r="107" customFormat="false" ht="23.85" hidden="false" customHeight="false" outlineLevel="0" collapsed="false">
      <c r="A107" s="10" t="s">
        <v>108</v>
      </c>
      <c r="B107" s="10" t="s">
        <v>86</v>
      </c>
      <c r="C107" s="10" t="s">
        <v>500</v>
      </c>
      <c r="D107" s="10" t="s">
        <v>501</v>
      </c>
    </row>
    <row r="108" customFormat="false" ht="15" hidden="false" customHeight="false" outlineLevel="0" collapsed="false">
      <c r="A108" s="10" t="s">
        <v>176</v>
      </c>
      <c r="B108" s="10" t="s">
        <v>116</v>
      </c>
      <c r="C108" s="10" t="s">
        <v>427</v>
      </c>
      <c r="D108" s="10" t="s">
        <v>466</v>
      </c>
    </row>
    <row r="109" customFormat="false" ht="23.85" hidden="false" customHeight="false" outlineLevel="0" collapsed="false">
      <c r="A109" s="10" t="s">
        <v>176</v>
      </c>
      <c r="B109" s="10" t="s">
        <v>116</v>
      </c>
      <c r="C109" s="10" t="s">
        <v>427</v>
      </c>
      <c r="D109" s="10" t="s">
        <v>502</v>
      </c>
    </row>
    <row r="110" customFormat="false" ht="23.85" hidden="false" customHeight="false" outlineLevel="0" collapsed="false">
      <c r="A110" s="10" t="s">
        <v>176</v>
      </c>
      <c r="B110" s="10" t="s">
        <v>86</v>
      </c>
      <c r="C110" s="10" t="s">
        <v>427</v>
      </c>
      <c r="D110" s="10" t="s">
        <v>503</v>
      </c>
    </row>
    <row r="111" customFormat="false" ht="35.05" hidden="false" customHeight="false" outlineLevel="0" collapsed="false">
      <c r="A111" s="10" t="s">
        <v>176</v>
      </c>
      <c r="B111" s="10" t="s">
        <v>86</v>
      </c>
      <c r="C111" s="10" t="s">
        <v>427</v>
      </c>
      <c r="D111" s="10" t="s">
        <v>178</v>
      </c>
    </row>
    <row r="112" customFormat="false" ht="23.85" hidden="false" customHeight="false" outlineLevel="0" collapsed="false">
      <c r="A112" s="10" t="s">
        <v>176</v>
      </c>
      <c r="B112" s="10" t="s">
        <v>86</v>
      </c>
      <c r="C112" s="10" t="s">
        <v>469</v>
      </c>
      <c r="D112" s="10" t="s">
        <v>470</v>
      </c>
    </row>
    <row r="113" customFormat="false" ht="23.85" hidden="false" customHeight="false" outlineLevel="0" collapsed="false">
      <c r="A113" s="10" t="s">
        <v>60</v>
      </c>
      <c r="B113" s="10" t="s">
        <v>57</v>
      </c>
      <c r="C113" s="10" t="s">
        <v>427</v>
      </c>
      <c r="D113" s="10" t="s">
        <v>441</v>
      </c>
    </row>
    <row r="114" customFormat="false" ht="15" hidden="false" customHeight="false" outlineLevel="0" collapsed="false">
      <c r="A114" s="10" t="s">
        <v>60</v>
      </c>
      <c r="B114" s="10" t="s">
        <v>57</v>
      </c>
      <c r="C114" s="10" t="s">
        <v>427</v>
      </c>
      <c r="D114" s="10" t="s">
        <v>504</v>
      </c>
    </row>
    <row r="115" customFormat="false" ht="15" hidden="false" customHeight="false" outlineLevel="0" collapsed="false">
      <c r="A115" s="10" t="s">
        <v>60</v>
      </c>
      <c r="B115" s="10" t="s">
        <v>90</v>
      </c>
      <c r="C115" s="10" t="s">
        <v>427</v>
      </c>
      <c r="D115" s="10" t="s">
        <v>505</v>
      </c>
    </row>
    <row r="116" customFormat="false" ht="57.45" hidden="false" customHeight="false" outlineLevel="0" collapsed="false">
      <c r="A116" s="10" t="s">
        <v>60</v>
      </c>
      <c r="B116" s="10" t="s">
        <v>90</v>
      </c>
      <c r="C116" s="10" t="s">
        <v>427</v>
      </c>
      <c r="D116" s="10" t="s">
        <v>506</v>
      </c>
    </row>
    <row r="117" customFormat="false" ht="35.05" hidden="false" customHeight="false" outlineLevel="0" collapsed="false">
      <c r="A117" s="10" t="s">
        <v>60</v>
      </c>
      <c r="B117" s="10" t="s">
        <v>90</v>
      </c>
      <c r="C117" s="10" t="s">
        <v>427</v>
      </c>
      <c r="D117" s="10" t="s">
        <v>507</v>
      </c>
    </row>
    <row r="118" customFormat="false" ht="91" hidden="false" customHeight="false" outlineLevel="0" collapsed="false">
      <c r="A118" s="10" t="s">
        <v>60</v>
      </c>
      <c r="B118" s="10" t="s">
        <v>90</v>
      </c>
      <c r="C118" s="10" t="s">
        <v>427</v>
      </c>
      <c r="D118" s="10" t="s">
        <v>508</v>
      </c>
    </row>
    <row r="119" customFormat="false" ht="57.45" hidden="false" customHeight="false" outlineLevel="0" collapsed="false">
      <c r="A119" s="10" t="s">
        <v>60</v>
      </c>
      <c r="B119" s="10" t="s">
        <v>90</v>
      </c>
      <c r="C119" s="10" t="s">
        <v>427</v>
      </c>
      <c r="D119" s="10" t="s">
        <v>509</v>
      </c>
    </row>
    <row r="120" customFormat="false" ht="35.05" hidden="false" customHeight="false" outlineLevel="0" collapsed="false">
      <c r="A120" s="10" t="s">
        <v>60</v>
      </c>
      <c r="B120" s="10" t="s">
        <v>83</v>
      </c>
      <c r="C120" s="10" t="s">
        <v>427</v>
      </c>
      <c r="D120" s="10" t="s">
        <v>510</v>
      </c>
    </row>
    <row r="121" customFormat="false" ht="46.25" hidden="false" customHeight="false" outlineLevel="0" collapsed="false">
      <c r="A121" s="10" t="s">
        <v>60</v>
      </c>
      <c r="B121" s="10" t="s">
        <v>83</v>
      </c>
      <c r="C121" s="10" t="s">
        <v>427</v>
      </c>
      <c r="D121" s="10" t="s">
        <v>511</v>
      </c>
    </row>
    <row r="122" customFormat="false" ht="23.85" hidden="false" customHeight="false" outlineLevel="0" collapsed="false">
      <c r="A122" s="10" t="s">
        <v>60</v>
      </c>
      <c r="B122" s="10" t="s">
        <v>83</v>
      </c>
      <c r="C122" s="10" t="s">
        <v>427</v>
      </c>
      <c r="D122" s="10" t="s">
        <v>512</v>
      </c>
    </row>
    <row r="123" customFormat="false" ht="35.05" hidden="false" customHeight="false" outlineLevel="0" collapsed="false">
      <c r="A123" s="10" t="s">
        <v>60</v>
      </c>
      <c r="B123" s="10" t="s">
        <v>116</v>
      </c>
      <c r="C123" s="10" t="s">
        <v>427</v>
      </c>
      <c r="D123" s="10" t="s">
        <v>117</v>
      </c>
    </row>
    <row r="124" customFormat="false" ht="35.05" hidden="false" customHeight="false" outlineLevel="0" collapsed="false">
      <c r="A124" s="10" t="s">
        <v>60</v>
      </c>
      <c r="B124" s="10" t="s">
        <v>116</v>
      </c>
      <c r="C124" s="10" t="s">
        <v>427</v>
      </c>
      <c r="D124" s="10" t="s">
        <v>513</v>
      </c>
    </row>
    <row r="125" customFormat="false" ht="35.05" hidden="false" customHeight="false" outlineLevel="0" collapsed="false">
      <c r="A125" s="10" t="s">
        <v>60</v>
      </c>
      <c r="B125" s="10" t="s">
        <v>116</v>
      </c>
      <c r="C125" s="10" t="s">
        <v>427</v>
      </c>
      <c r="D125" s="10" t="s">
        <v>514</v>
      </c>
    </row>
    <row r="126" customFormat="false" ht="23.85" hidden="false" customHeight="false" outlineLevel="0" collapsed="false">
      <c r="A126" s="10" t="s">
        <v>60</v>
      </c>
      <c r="B126" s="10" t="s">
        <v>116</v>
      </c>
      <c r="C126" s="10" t="s">
        <v>427</v>
      </c>
      <c r="D126" s="10" t="s">
        <v>193</v>
      </c>
    </row>
    <row r="127" customFormat="false" ht="23.85" hidden="false" customHeight="false" outlineLevel="0" collapsed="false">
      <c r="A127" s="10" t="s">
        <v>60</v>
      </c>
      <c r="B127" s="10" t="s">
        <v>116</v>
      </c>
      <c r="C127" s="10" t="s">
        <v>450</v>
      </c>
      <c r="D127" s="10" t="s">
        <v>451</v>
      </c>
    </row>
    <row r="128" customFormat="false" ht="35.05" hidden="false" customHeight="false" outlineLevel="0" collapsed="false">
      <c r="A128" s="10" t="s">
        <v>60</v>
      </c>
      <c r="B128" s="10" t="s">
        <v>86</v>
      </c>
      <c r="C128" s="10" t="s">
        <v>427</v>
      </c>
      <c r="D128" s="10" t="s">
        <v>515</v>
      </c>
    </row>
    <row r="129" customFormat="false" ht="15" hidden="false" customHeight="false" outlineLevel="0" collapsed="false">
      <c r="A129" s="10" t="s">
        <v>60</v>
      </c>
      <c r="B129" s="10" t="s">
        <v>86</v>
      </c>
      <c r="C129" s="10" t="s">
        <v>427</v>
      </c>
      <c r="D129" s="10" t="s">
        <v>516</v>
      </c>
    </row>
    <row r="130" customFormat="false" ht="15" hidden="false" customHeight="false" outlineLevel="0" collapsed="false">
      <c r="A130" s="10" t="s">
        <v>60</v>
      </c>
      <c r="B130" s="10" t="s">
        <v>86</v>
      </c>
      <c r="C130" s="10" t="s">
        <v>427</v>
      </c>
      <c r="D130" s="10" t="s">
        <v>517</v>
      </c>
    </row>
    <row r="131" customFormat="false" ht="23.85" hidden="false" customHeight="false" outlineLevel="0" collapsed="false">
      <c r="A131" s="10" t="s">
        <v>60</v>
      </c>
      <c r="B131" s="10" t="s">
        <v>86</v>
      </c>
      <c r="C131" s="10" t="s">
        <v>427</v>
      </c>
      <c r="D131" s="10" t="s">
        <v>452</v>
      </c>
    </row>
    <row r="132" customFormat="false" ht="35.05" hidden="false" customHeight="false" outlineLevel="0" collapsed="false">
      <c r="A132" s="10" t="s">
        <v>60</v>
      </c>
      <c r="B132" s="10" t="s">
        <v>86</v>
      </c>
      <c r="C132" s="10" t="s">
        <v>427</v>
      </c>
      <c r="D132" s="10" t="s">
        <v>518</v>
      </c>
    </row>
    <row r="133" customFormat="false" ht="46.25" hidden="false" customHeight="false" outlineLevel="0" collapsed="false">
      <c r="A133" s="10" t="s">
        <v>60</v>
      </c>
      <c r="B133" s="10" t="s">
        <v>86</v>
      </c>
      <c r="C133" s="10" t="s">
        <v>427</v>
      </c>
      <c r="D133" s="10" t="s">
        <v>519</v>
      </c>
    </row>
    <row r="134" customFormat="false" ht="15" hidden="false" customHeight="false" outlineLevel="0" collapsed="false">
      <c r="A134" s="10" t="s">
        <v>60</v>
      </c>
      <c r="B134" s="10" t="s">
        <v>86</v>
      </c>
      <c r="C134" s="10" t="s">
        <v>427</v>
      </c>
      <c r="D134" s="10" t="s">
        <v>520</v>
      </c>
    </row>
    <row r="135" customFormat="false" ht="23.85" hidden="false" customHeight="false" outlineLevel="0" collapsed="false">
      <c r="A135" s="10" t="s">
        <v>60</v>
      </c>
      <c r="B135" s="10" t="s">
        <v>58</v>
      </c>
      <c r="C135" s="10" t="s">
        <v>427</v>
      </c>
      <c r="D135" s="10" t="s">
        <v>62</v>
      </c>
    </row>
    <row r="136" customFormat="false" ht="15" hidden="false" customHeight="false" outlineLevel="0" collapsed="false">
      <c r="A136" s="10" t="s">
        <v>60</v>
      </c>
      <c r="B136" s="10" t="s">
        <v>58</v>
      </c>
      <c r="C136" s="10" t="s">
        <v>427</v>
      </c>
      <c r="D136" s="10" t="s">
        <v>521</v>
      </c>
    </row>
    <row r="137" customFormat="false" ht="46.25" hidden="false" customHeight="false" outlineLevel="0" collapsed="false">
      <c r="A137" s="10" t="s">
        <v>145</v>
      </c>
      <c r="B137" s="10" t="s">
        <v>147</v>
      </c>
      <c r="C137" s="10" t="s">
        <v>427</v>
      </c>
      <c r="D137" s="10" t="s">
        <v>522</v>
      </c>
    </row>
    <row r="138" customFormat="false" ht="23.85" hidden="false" customHeight="false" outlineLevel="0" collapsed="false">
      <c r="A138" s="10" t="s">
        <v>145</v>
      </c>
      <c r="B138" s="10" t="s">
        <v>147</v>
      </c>
      <c r="C138" s="10" t="s">
        <v>427</v>
      </c>
      <c r="D138" s="10" t="s">
        <v>523</v>
      </c>
    </row>
    <row r="139" customFormat="false" ht="35.05" hidden="false" customHeight="false" outlineLevel="0" collapsed="false">
      <c r="A139" s="10" t="s">
        <v>145</v>
      </c>
      <c r="B139" s="10" t="s">
        <v>147</v>
      </c>
      <c r="C139" s="10" t="s">
        <v>427</v>
      </c>
      <c r="D139" s="10" t="s">
        <v>524</v>
      </c>
    </row>
    <row r="140" customFormat="false" ht="23.85" hidden="false" customHeight="false" outlineLevel="0" collapsed="false">
      <c r="A140" s="10" t="s">
        <v>145</v>
      </c>
      <c r="B140" s="10" t="s">
        <v>133</v>
      </c>
      <c r="C140" s="10" t="s">
        <v>427</v>
      </c>
      <c r="D140" s="10" t="s">
        <v>201</v>
      </c>
    </row>
    <row r="141" customFormat="false" ht="35.05" hidden="false" customHeight="false" outlineLevel="0" collapsed="false">
      <c r="A141" s="10" t="s">
        <v>145</v>
      </c>
      <c r="B141" s="10" t="s">
        <v>133</v>
      </c>
      <c r="C141" s="10" t="s">
        <v>427</v>
      </c>
      <c r="D141" s="10" t="s">
        <v>484</v>
      </c>
    </row>
    <row r="142" customFormat="false" ht="23.85" hidden="false" customHeight="false" outlineLevel="0" collapsed="false">
      <c r="A142" s="10" t="s">
        <v>145</v>
      </c>
      <c r="B142" s="10" t="s">
        <v>133</v>
      </c>
      <c r="C142" s="10" t="s">
        <v>427</v>
      </c>
      <c r="D142" s="10" t="s">
        <v>144</v>
      </c>
    </row>
    <row r="143" customFormat="false" ht="35.05" hidden="false" customHeight="false" outlineLevel="0" collapsed="false">
      <c r="A143" s="10" t="s">
        <v>148</v>
      </c>
      <c r="B143" s="10" t="s">
        <v>90</v>
      </c>
      <c r="C143" s="10" t="s">
        <v>427</v>
      </c>
      <c r="D143" s="10" t="s">
        <v>507</v>
      </c>
    </row>
    <row r="144" customFormat="false" ht="15" hidden="false" customHeight="false" outlineLevel="0" collapsed="false">
      <c r="A144" s="10" t="s">
        <v>148</v>
      </c>
      <c r="B144" s="10" t="s">
        <v>133</v>
      </c>
      <c r="C144" s="10" t="s">
        <v>427</v>
      </c>
      <c r="D144" s="10" t="s">
        <v>525</v>
      </c>
    </row>
    <row r="145" customFormat="false" ht="23.85" hidden="false" customHeight="false" outlineLevel="0" collapsed="false">
      <c r="A145" s="10" t="s">
        <v>148</v>
      </c>
      <c r="B145" s="10" t="s">
        <v>133</v>
      </c>
      <c r="C145" s="10" t="s">
        <v>427</v>
      </c>
      <c r="D145" s="10" t="s">
        <v>526</v>
      </c>
    </row>
    <row r="146" customFormat="false" ht="23.85" hidden="false" customHeight="false" outlineLevel="0" collapsed="false">
      <c r="A146" s="10" t="s">
        <v>148</v>
      </c>
      <c r="B146" s="10" t="s">
        <v>133</v>
      </c>
      <c r="C146" s="10" t="s">
        <v>427</v>
      </c>
      <c r="D146" s="10" t="s">
        <v>201</v>
      </c>
    </row>
    <row r="147" customFormat="false" ht="35.05" hidden="false" customHeight="false" outlineLevel="0" collapsed="false">
      <c r="A147" s="10" t="s">
        <v>148</v>
      </c>
      <c r="B147" s="10" t="s">
        <v>133</v>
      </c>
      <c r="C147" s="10" t="s">
        <v>427</v>
      </c>
      <c r="D147" s="10" t="s">
        <v>527</v>
      </c>
    </row>
    <row r="148" customFormat="false" ht="35.05" hidden="false" customHeight="false" outlineLevel="0" collapsed="false">
      <c r="A148" s="10" t="s">
        <v>148</v>
      </c>
      <c r="B148" s="10" t="s">
        <v>133</v>
      </c>
      <c r="C148" s="10" t="s">
        <v>427</v>
      </c>
      <c r="D148" s="10" t="s">
        <v>484</v>
      </c>
    </row>
    <row r="149" customFormat="false" ht="23.85" hidden="false" customHeight="false" outlineLevel="0" collapsed="false">
      <c r="A149" s="10" t="s">
        <v>148</v>
      </c>
      <c r="B149" s="10" t="s">
        <v>133</v>
      </c>
      <c r="C149" s="10" t="s">
        <v>427</v>
      </c>
      <c r="D149" s="10" t="s">
        <v>528</v>
      </c>
    </row>
    <row r="150" customFormat="false" ht="23.85" hidden="false" customHeight="false" outlineLevel="0" collapsed="false">
      <c r="A150" s="10" t="s">
        <v>148</v>
      </c>
      <c r="B150" s="10" t="s">
        <v>133</v>
      </c>
      <c r="C150" s="10" t="s">
        <v>427</v>
      </c>
      <c r="D150" s="10" t="s">
        <v>529</v>
      </c>
    </row>
    <row r="151" customFormat="false" ht="23.85" hidden="false" customHeight="false" outlineLevel="0" collapsed="false">
      <c r="A151" s="10" t="s">
        <v>148</v>
      </c>
      <c r="B151" s="10" t="s">
        <v>133</v>
      </c>
      <c r="C151" s="10" t="s">
        <v>427</v>
      </c>
      <c r="D151" s="10" t="s">
        <v>144</v>
      </c>
    </row>
    <row r="152" customFormat="false" ht="23.85" hidden="false" customHeight="false" outlineLevel="0" collapsed="false">
      <c r="A152" s="10" t="s">
        <v>148</v>
      </c>
      <c r="B152" s="10" t="s">
        <v>150</v>
      </c>
      <c r="C152" s="10" t="s">
        <v>427</v>
      </c>
      <c r="D152" s="10" t="s">
        <v>151</v>
      </c>
    </row>
    <row r="153" customFormat="false" ht="35.05" hidden="false" customHeight="false" outlineLevel="0" collapsed="false">
      <c r="A153" s="10" t="s">
        <v>312</v>
      </c>
      <c r="B153" s="10" t="s">
        <v>90</v>
      </c>
      <c r="C153" s="10" t="s">
        <v>427</v>
      </c>
      <c r="D153" s="10" t="s">
        <v>430</v>
      </c>
    </row>
    <row r="154" customFormat="false" ht="15" hidden="false" customHeight="false" outlineLevel="0" collapsed="false">
      <c r="A154" s="10" t="s">
        <v>312</v>
      </c>
      <c r="B154" s="10" t="s">
        <v>90</v>
      </c>
      <c r="C154" s="10" t="s">
        <v>427</v>
      </c>
      <c r="D154" s="10" t="s">
        <v>431</v>
      </c>
    </row>
    <row r="155" customFormat="false" ht="15" hidden="false" customHeight="false" outlineLevel="0" collapsed="false">
      <c r="A155" s="10" t="s">
        <v>312</v>
      </c>
      <c r="B155" s="10" t="s">
        <v>83</v>
      </c>
      <c r="C155" s="10" t="s">
        <v>427</v>
      </c>
      <c r="D155" s="10" t="s">
        <v>432</v>
      </c>
    </row>
    <row r="156" customFormat="false" ht="23.85" hidden="false" customHeight="false" outlineLevel="0" collapsed="false">
      <c r="A156" s="10" t="s">
        <v>312</v>
      </c>
      <c r="B156" s="10" t="s">
        <v>183</v>
      </c>
      <c r="C156" s="10" t="s">
        <v>427</v>
      </c>
      <c r="D156" s="10" t="s">
        <v>434</v>
      </c>
    </row>
    <row r="157" customFormat="false" ht="15" hidden="false" customHeight="false" outlineLevel="0" collapsed="false">
      <c r="A157" s="10" t="s">
        <v>312</v>
      </c>
      <c r="B157" s="10" t="s">
        <v>183</v>
      </c>
      <c r="C157" s="10" t="s">
        <v>427</v>
      </c>
      <c r="D157" s="10" t="s">
        <v>530</v>
      </c>
    </row>
    <row r="158" customFormat="false" ht="15" hidden="false" customHeight="false" outlineLevel="0" collapsed="false">
      <c r="A158" s="10" t="s">
        <v>312</v>
      </c>
      <c r="B158" s="10" t="s">
        <v>183</v>
      </c>
      <c r="C158" s="10" t="s">
        <v>427</v>
      </c>
      <c r="D158" s="10" t="s">
        <v>435</v>
      </c>
    </row>
    <row r="159" customFormat="false" ht="57.45" hidden="false" customHeight="false" outlineLevel="0" collapsed="false">
      <c r="A159" s="10" t="s">
        <v>312</v>
      </c>
      <c r="B159" s="10" t="s">
        <v>183</v>
      </c>
      <c r="C159" s="10" t="s">
        <v>427</v>
      </c>
      <c r="D159" s="10" t="s">
        <v>409</v>
      </c>
    </row>
    <row r="160" customFormat="false" ht="35.05" hidden="false" customHeight="false" outlineLevel="0" collapsed="false">
      <c r="A160" s="10" t="s">
        <v>312</v>
      </c>
      <c r="B160" s="10" t="s">
        <v>183</v>
      </c>
      <c r="C160" s="10" t="s">
        <v>427</v>
      </c>
      <c r="D160" s="10" t="s">
        <v>531</v>
      </c>
    </row>
    <row r="161" customFormat="false" ht="23.85" hidden="false" customHeight="false" outlineLevel="0" collapsed="false">
      <c r="A161" s="10" t="s">
        <v>312</v>
      </c>
      <c r="B161" s="10" t="s">
        <v>183</v>
      </c>
      <c r="C161" s="10" t="s">
        <v>427</v>
      </c>
      <c r="D161" s="10" t="s">
        <v>532</v>
      </c>
    </row>
    <row r="162" customFormat="false" ht="23.85" hidden="false" customHeight="false" outlineLevel="0" collapsed="false">
      <c r="A162" s="10" t="s">
        <v>312</v>
      </c>
      <c r="B162" s="10" t="s">
        <v>183</v>
      </c>
      <c r="C162" s="10" t="s">
        <v>427</v>
      </c>
      <c r="D162" s="10" t="s">
        <v>433</v>
      </c>
    </row>
    <row r="163" customFormat="false" ht="15" hidden="false" customHeight="false" outlineLevel="0" collapsed="false">
      <c r="A163" s="10" t="s">
        <v>312</v>
      </c>
      <c r="B163" s="10" t="s">
        <v>116</v>
      </c>
      <c r="C163" s="10" t="s">
        <v>427</v>
      </c>
      <c r="D163" s="10" t="s">
        <v>436</v>
      </c>
    </row>
    <row r="164" customFormat="false" ht="23.85" hidden="false" customHeight="false" outlineLevel="0" collapsed="false">
      <c r="A164" s="10" t="s">
        <v>312</v>
      </c>
      <c r="B164" s="10" t="s">
        <v>86</v>
      </c>
      <c r="C164" s="10" t="s">
        <v>427</v>
      </c>
      <c r="D164" s="10" t="s">
        <v>437</v>
      </c>
    </row>
    <row r="165" customFormat="false" ht="35.05" hidden="false" customHeight="false" outlineLevel="0" collapsed="false">
      <c r="A165" s="10" t="s">
        <v>312</v>
      </c>
      <c r="B165" s="10" t="s">
        <v>71</v>
      </c>
      <c r="C165" s="10" t="s">
        <v>427</v>
      </c>
      <c r="D165" s="10" t="s">
        <v>107</v>
      </c>
    </row>
    <row r="166" customFormat="false" ht="15" hidden="false" customHeight="false" outlineLevel="0" collapsed="false">
      <c r="A166" s="10" t="s">
        <v>261</v>
      </c>
      <c r="B166" s="10" t="s">
        <v>86</v>
      </c>
      <c r="C166" s="10" t="s">
        <v>427</v>
      </c>
      <c r="D166" s="10" t="s">
        <v>533</v>
      </c>
    </row>
    <row r="167" customFormat="false" ht="15" hidden="false" customHeight="false" outlineLevel="0" collapsed="false">
      <c r="A167" s="10" t="s">
        <v>261</v>
      </c>
      <c r="B167" s="10" t="s">
        <v>86</v>
      </c>
      <c r="C167" s="10" t="s">
        <v>427</v>
      </c>
      <c r="D167" s="10" t="s">
        <v>534</v>
      </c>
    </row>
    <row r="168" customFormat="false" ht="15" hidden="false" customHeight="false" outlineLevel="0" collapsed="false">
      <c r="A168" s="10" t="s">
        <v>261</v>
      </c>
      <c r="B168" s="10" t="s">
        <v>58</v>
      </c>
      <c r="C168" s="10" t="s">
        <v>427</v>
      </c>
      <c r="D168" s="10" t="s">
        <v>535</v>
      </c>
    </row>
    <row r="169" customFormat="false" ht="23.85" hidden="false" customHeight="false" outlineLevel="0" collapsed="false">
      <c r="A169" s="10" t="s">
        <v>261</v>
      </c>
      <c r="B169" s="10" t="s">
        <v>58</v>
      </c>
      <c r="C169" s="10" t="s">
        <v>427</v>
      </c>
      <c r="D169" s="10" t="s">
        <v>536</v>
      </c>
    </row>
    <row r="170" customFormat="false" ht="23.85" hidden="false" customHeight="false" outlineLevel="0" collapsed="false">
      <c r="A170" s="10" t="s">
        <v>261</v>
      </c>
      <c r="B170" s="10" t="s">
        <v>58</v>
      </c>
      <c r="C170" s="10" t="s">
        <v>427</v>
      </c>
      <c r="D170" s="10" t="s">
        <v>253</v>
      </c>
    </row>
    <row r="171" customFormat="false" ht="23.85" hidden="false" customHeight="false" outlineLevel="0" collapsed="false">
      <c r="A171" s="10" t="s">
        <v>261</v>
      </c>
      <c r="B171" s="10" t="s">
        <v>56</v>
      </c>
      <c r="C171" s="10" t="s">
        <v>427</v>
      </c>
      <c r="D171" s="10" t="s">
        <v>537</v>
      </c>
    </row>
    <row r="172" customFormat="false" ht="46.25" hidden="false" customHeight="false" outlineLevel="0" collapsed="false">
      <c r="A172" s="10" t="s">
        <v>261</v>
      </c>
      <c r="B172" s="10" t="s">
        <v>56</v>
      </c>
      <c r="C172" s="10" t="s">
        <v>427</v>
      </c>
      <c r="D172" s="10" t="s">
        <v>538</v>
      </c>
    </row>
    <row r="173" customFormat="false" ht="57.45" hidden="false" customHeight="false" outlineLevel="0" collapsed="false">
      <c r="A173" s="10" t="s">
        <v>261</v>
      </c>
      <c r="B173" s="10" t="s">
        <v>56</v>
      </c>
      <c r="C173" s="10" t="s">
        <v>427</v>
      </c>
      <c r="D173" s="10" t="s">
        <v>539</v>
      </c>
    </row>
    <row r="174" customFormat="false" ht="15" hidden="false" customHeight="false" outlineLevel="0" collapsed="false">
      <c r="A174" s="10" t="s">
        <v>261</v>
      </c>
      <c r="B174" s="10" t="s">
        <v>71</v>
      </c>
      <c r="C174" s="10" t="s">
        <v>427</v>
      </c>
      <c r="D174" s="10" t="s">
        <v>540</v>
      </c>
    </row>
    <row r="175" customFormat="false" ht="46.25" hidden="false" customHeight="false" outlineLevel="0" collapsed="false">
      <c r="A175" s="10" t="s">
        <v>261</v>
      </c>
      <c r="B175" s="10" t="s">
        <v>71</v>
      </c>
      <c r="C175" s="10" t="s">
        <v>427</v>
      </c>
      <c r="D175" s="10" t="s">
        <v>263</v>
      </c>
    </row>
    <row r="176" customFormat="false" ht="23.85" hidden="false" customHeight="false" outlineLevel="0" collapsed="false">
      <c r="A176" s="10" t="s">
        <v>78</v>
      </c>
      <c r="B176" s="10" t="s">
        <v>76</v>
      </c>
      <c r="C176" s="10" t="s">
        <v>427</v>
      </c>
      <c r="D176" s="10" t="s">
        <v>541</v>
      </c>
    </row>
    <row r="177" customFormat="false" ht="15" hidden="false" customHeight="false" outlineLevel="0" collapsed="false">
      <c r="A177" s="10" t="s">
        <v>78</v>
      </c>
      <c r="B177" s="10" t="s">
        <v>76</v>
      </c>
      <c r="C177" s="10" t="s">
        <v>427</v>
      </c>
      <c r="D177" s="10" t="s">
        <v>542</v>
      </c>
    </row>
    <row r="178" customFormat="false" ht="23.85" hidden="false" customHeight="false" outlineLevel="0" collapsed="false">
      <c r="A178" s="10" t="s">
        <v>78</v>
      </c>
      <c r="B178" s="10" t="s">
        <v>76</v>
      </c>
      <c r="C178" s="10" t="s">
        <v>427</v>
      </c>
      <c r="D178" s="10" t="s">
        <v>543</v>
      </c>
    </row>
    <row r="179" customFormat="false" ht="46.25" hidden="false" customHeight="false" outlineLevel="0" collapsed="false">
      <c r="A179" s="10" t="s">
        <v>78</v>
      </c>
      <c r="B179" s="10" t="s">
        <v>76</v>
      </c>
      <c r="C179" s="10" t="s">
        <v>427</v>
      </c>
      <c r="D179" s="10" t="s">
        <v>544</v>
      </c>
    </row>
    <row r="180" customFormat="false" ht="35.05" hidden="false" customHeight="false" outlineLevel="0" collapsed="false">
      <c r="A180" s="10" t="s">
        <v>78</v>
      </c>
      <c r="B180" s="10" t="s">
        <v>76</v>
      </c>
      <c r="C180" s="10" t="s">
        <v>427</v>
      </c>
      <c r="D180" s="10" t="s">
        <v>545</v>
      </c>
    </row>
    <row r="181" customFormat="false" ht="46.25" hidden="false" customHeight="false" outlineLevel="0" collapsed="false">
      <c r="A181" s="10" t="s">
        <v>78</v>
      </c>
      <c r="B181" s="10" t="s">
        <v>76</v>
      </c>
      <c r="C181" s="10" t="s">
        <v>427</v>
      </c>
      <c r="D181" s="10" t="s">
        <v>546</v>
      </c>
    </row>
    <row r="182" customFormat="false" ht="35.05" hidden="false" customHeight="false" outlineLevel="0" collapsed="false">
      <c r="A182" s="10" t="s">
        <v>78</v>
      </c>
      <c r="B182" s="10" t="s">
        <v>76</v>
      </c>
      <c r="C182" s="10" t="s">
        <v>427</v>
      </c>
      <c r="D182" s="10" t="s">
        <v>547</v>
      </c>
    </row>
    <row r="183" customFormat="false" ht="46.25" hidden="false" customHeight="false" outlineLevel="0" collapsed="false">
      <c r="A183" s="10" t="s">
        <v>78</v>
      </c>
      <c r="B183" s="10" t="s">
        <v>76</v>
      </c>
      <c r="C183" s="10" t="s">
        <v>427</v>
      </c>
      <c r="D183" s="10" t="s">
        <v>548</v>
      </c>
    </row>
    <row r="184" customFormat="false" ht="15" hidden="false" customHeight="false" outlineLevel="0" collapsed="false">
      <c r="A184" s="10" t="s">
        <v>78</v>
      </c>
      <c r="B184" s="10" t="s">
        <v>76</v>
      </c>
      <c r="C184" s="10" t="s">
        <v>427</v>
      </c>
      <c r="D184" s="10" t="s">
        <v>549</v>
      </c>
    </row>
    <row r="185" customFormat="false" ht="35.05" hidden="false" customHeight="false" outlineLevel="0" collapsed="false">
      <c r="A185" s="10" t="s">
        <v>78</v>
      </c>
      <c r="B185" s="10" t="s">
        <v>76</v>
      </c>
      <c r="C185" s="10" t="s">
        <v>427</v>
      </c>
      <c r="D185" s="10" t="s">
        <v>550</v>
      </c>
    </row>
    <row r="186" customFormat="false" ht="35.05" hidden="false" customHeight="false" outlineLevel="0" collapsed="false">
      <c r="A186" s="10" t="s">
        <v>78</v>
      </c>
      <c r="B186" s="10" t="s">
        <v>76</v>
      </c>
      <c r="C186" s="10" t="s">
        <v>427</v>
      </c>
      <c r="D186" s="10" t="s">
        <v>551</v>
      </c>
    </row>
    <row r="187" customFormat="false" ht="23.85" hidden="false" customHeight="false" outlineLevel="0" collapsed="false">
      <c r="A187" s="10" t="s">
        <v>78</v>
      </c>
      <c r="B187" s="10" t="s">
        <v>76</v>
      </c>
      <c r="C187" s="10" t="s">
        <v>427</v>
      </c>
      <c r="D187" s="10" t="s">
        <v>552</v>
      </c>
    </row>
    <row r="188" customFormat="false" ht="23.85" hidden="false" customHeight="false" outlineLevel="0" collapsed="false">
      <c r="A188" s="10" t="s">
        <v>78</v>
      </c>
      <c r="B188" s="10" t="s">
        <v>76</v>
      </c>
      <c r="C188" s="10" t="s">
        <v>427</v>
      </c>
      <c r="D188" s="10" t="s">
        <v>553</v>
      </c>
    </row>
    <row r="189" customFormat="false" ht="57.45" hidden="false" customHeight="false" outlineLevel="0" collapsed="false">
      <c r="A189" s="10" t="s">
        <v>78</v>
      </c>
      <c r="B189" s="10" t="s">
        <v>90</v>
      </c>
      <c r="C189" s="10" t="s">
        <v>427</v>
      </c>
      <c r="D189" s="10" t="s">
        <v>506</v>
      </c>
    </row>
    <row r="190" customFormat="false" ht="15" hidden="false" customHeight="false" outlineLevel="0" collapsed="false">
      <c r="A190" s="10" t="s">
        <v>78</v>
      </c>
      <c r="B190" s="10" t="s">
        <v>116</v>
      </c>
      <c r="C190" s="10" t="s">
        <v>427</v>
      </c>
      <c r="D190" s="10" t="s">
        <v>554</v>
      </c>
    </row>
    <row r="191" customFormat="false" ht="35.05" hidden="false" customHeight="false" outlineLevel="0" collapsed="false">
      <c r="A191" s="10" t="s">
        <v>78</v>
      </c>
      <c r="B191" s="10" t="s">
        <v>116</v>
      </c>
      <c r="C191" s="10" t="s">
        <v>427</v>
      </c>
      <c r="D191" s="10" t="s">
        <v>127</v>
      </c>
    </row>
    <row r="192" customFormat="false" ht="23.85" hidden="false" customHeight="false" outlineLevel="0" collapsed="false">
      <c r="A192" s="10" t="s">
        <v>78</v>
      </c>
      <c r="B192" s="10" t="s">
        <v>134</v>
      </c>
      <c r="C192" s="10" t="s">
        <v>427</v>
      </c>
      <c r="D192" s="10" t="s">
        <v>135</v>
      </c>
    </row>
    <row r="193" customFormat="false" ht="23.85" hidden="false" customHeight="false" outlineLevel="0" collapsed="false">
      <c r="A193" s="10" t="s">
        <v>78</v>
      </c>
      <c r="B193" s="10" t="s">
        <v>134</v>
      </c>
      <c r="C193" s="10" t="s">
        <v>555</v>
      </c>
      <c r="D193" s="10" t="s">
        <v>556</v>
      </c>
    </row>
    <row r="194" customFormat="false" ht="23.85" hidden="false" customHeight="false" outlineLevel="0" collapsed="false">
      <c r="A194" s="10" t="s">
        <v>78</v>
      </c>
      <c r="B194" s="10" t="s">
        <v>56</v>
      </c>
      <c r="C194" s="10" t="s">
        <v>427</v>
      </c>
      <c r="D194" s="10" t="s">
        <v>80</v>
      </c>
    </row>
    <row r="195" customFormat="false" ht="35.05" hidden="false" customHeight="false" outlineLevel="0" collapsed="false">
      <c r="A195" s="10" t="s">
        <v>111</v>
      </c>
      <c r="B195" s="10" t="s">
        <v>90</v>
      </c>
      <c r="C195" s="10" t="s">
        <v>427</v>
      </c>
      <c r="D195" s="10" t="s">
        <v>430</v>
      </c>
    </row>
    <row r="196" customFormat="false" ht="23.85" hidden="false" customHeight="false" outlineLevel="0" collapsed="false">
      <c r="A196" s="10" t="s">
        <v>111</v>
      </c>
      <c r="B196" s="10" t="s">
        <v>90</v>
      </c>
      <c r="C196" s="10" t="s">
        <v>427</v>
      </c>
      <c r="D196" s="10" t="s">
        <v>486</v>
      </c>
    </row>
    <row r="197" customFormat="false" ht="46.25" hidden="false" customHeight="false" outlineLevel="0" collapsed="false">
      <c r="A197" s="10" t="s">
        <v>111</v>
      </c>
      <c r="B197" s="10" t="s">
        <v>90</v>
      </c>
      <c r="C197" s="10" t="s">
        <v>427</v>
      </c>
      <c r="D197" s="10" t="s">
        <v>487</v>
      </c>
    </row>
    <row r="198" customFormat="false" ht="35.05" hidden="false" customHeight="false" outlineLevel="0" collapsed="false">
      <c r="A198" s="10" t="s">
        <v>111</v>
      </c>
      <c r="B198" s="10" t="s">
        <v>183</v>
      </c>
      <c r="C198" s="10" t="s">
        <v>427</v>
      </c>
      <c r="D198" s="10" t="s">
        <v>557</v>
      </c>
    </row>
    <row r="199" customFormat="false" ht="23.85" hidden="false" customHeight="false" outlineLevel="0" collapsed="false">
      <c r="A199" s="10" t="s">
        <v>111</v>
      </c>
      <c r="B199" s="10" t="s">
        <v>183</v>
      </c>
      <c r="C199" s="10" t="s">
        <v>427</v>
      </c>
      <c r="D199" s="10" t="s">
        <v>558</v>
      </c>
    </row>
    <row r="200" customFormat="false" ht="15" hidden="false" customHeight="false" outlineLevel="0" collapsed="false">
      <c r="A200" s="10" t="s">
        <v>111</v>
      </c>
      <c r="B200" s="10" t="s">
        <v>259</v>
      </c>
      <c r="C200" s="10" t="s">
        <v>427</v>
      </c>
      <c r="D200" s="10" t="s">
        <v>559</v>
      </c>
    </row>
    <row r="201" customFormat="false" ht="23.85" hidden="false" customHeight="false" outlineLevel="0" collapsed="false">
      <c r="A201" s="10" t="s">
        <v>111</v>
      </c>
      <c r="B201" s="10" t="s">
        <v>259</v>
      </c>
      <c r="C201" s="10" t="s">
        <v>427</v>
      </c>
      <c r="D201" s="10" t="s">
        <v>560</v>
      </c>
    </row>
    <row r="202" customFormat="false" ht="46.25" hidden="false" customHeight="false" outlineLevel="0" collapsed="false">
      <c r="A202" s="10" t="s">
        <v>111</v>
      </c>
      <c r="B202" s="10" t="s">
        <v>259</v>
      </c>
      <c r="C202" s="10" t="s">
        <v>427</v>
      </c>
      <c r="D202" s="10" t="s">
        <v>561</v>
      </c>
    </row>
    <row r="203" customFormat="false" ht="23.85" hidden="false" customHeight="false" outlineLevel="0" collapsed="false">
      <c r="A203" s="10" t="s">
        <v>111</v>
      </c>
      <c r="B203" s="10" t="s">
        <v>133</v>
      </c>
      <c r="C203" s="10" t="s">
        <v>427</v>
      </c>
      <c r="D203" s="10" t="s">
        <v>562</v>
      </c>
    </row>
    <row r="204" customFormat="false" ht="35.05" hidden="false" customHeight="false" outlineLevel="0" collapsed="false">
      <c r="A204" s="10" t="s">
        <v>111</v>
      </c>
      <c r="B204" s="10" t="s">
        <v>133</v>
      </c>
      <c r="C204" s="10" t="s">
        <v>427</v>
      </c>
      <c r="D204" s="10" t="s">
        <v>563</v>
      </c>
    </row>
    <row r="205" customFormat="false" ht="35.05" hidden="false" customHeight="false" outlineLevel="0" collapsed="false">
      <c r="A205" s="10" t="s">
        <v>111</v>
      </c>
      <c r="B205" s="10" t="s">
        <v>133</v>
      </c>
      <c r="C205" s="10" t="s">
        <v>427</v>
      </c>
      <c r="D205" s="10" t="s">
        <v>564</v>
      </c>
    </row>
    <row r="206" customFormat="false" ht="46.25" hidden="false" customHeight="false" outlineLevel="0" collapsed="false">
      <c r="A206" s="10" t="s">
        <v>111</v>
      </c>
      <c r="B206" s="10" t="s">
        <v>133</v>
      </c>
      <c r="C206" s="10" t="s">
        <v>427</v>
      </c>
      <c r="D206" s="10" t="s">
        <v>223</v>
      </c>
    </row>
    <row r="207" customFormat="false" ht="23.85" hidden="false" customHeight="false" outlineLevel="0" collapsed="false">
      <c r="A207" s="10" t="s">
        <v>111</v>
      </c>
      <c r="B207" s="10" t="s">
        <v>133</v>
      </c>
      <c r="C207" s="10" t="s">
        <v>427</v>
      </c>
      <c r="D207" s="10" t="s">
        <v>565</v>
      </c>
    </row>
    <row r="208" customFormat="false" ht="46.25" hidden="false" customHeight="false" outlineLevel="0" collapsed="false">
      <c r="A208" s="10" t="s">
        <v>111</v>
      </c>
      <c r="B208" s="10" t="s">
        <v>133</v>
      </c>
      <c r="C208" s="10" t="s">
        <v>427</v>
      </c>
      <c r="D208" s="10" t="s">
        <v>566</v>
      </c>
    </row>
    <row r="209" customFormat="false" ht="23.85" hidden="false" customHeight="false" outlineLevel="0" collapsed="false">
      <c r="A209" s="10" t="s">
        <v>111</v>
      </c>
      <c r="B209" s="10" t="s">
        <v>133</v>
      </c>
      <c r="C209" s="10" t="s">
        <v>427</v>
      </c>
      <c r="D209" s="10" t="s">
        <v>567</v>
      </c>
    </row>
    <row r="210" customFormat="false" ht="35.05" hidden="false" customHeight="false" outlineLevel="0" collapsed="false">
      <c r="A210" s="10" t="s">
        <v>111</v>
      </c>
      <c r="B210" s="10" t="s">
        <v>133</v>
      </c>
      <c r="C210" s="10" t="s">
        <v>427</v>
      </c>
      <c r="D210" s="10" t="s">
        <v>568</v>
      </c>
    </row>
    <row r="211" customFormat="false" ht="35.05" hidden="false" customHeight="false" outlineLevel="0" collapsed="false">
      <c r="A211" s="10" t="s">
        <v>111</v>
      </c>
      <c r="B211" s="10" t="s">
        <v>150</v>
      </c>
      <c r="C211" s="10" t="s">
        <v>427</v>
      </c>
      <c r="D211" s="10" t="s">
        <v>569</v>
      </c>
    </row>
    <row r="212" customFormat="false" ht="35.05" hidden="false" customHeight="false" outlineLevel="0" collapsed="false">
      <c r="A212" s="10" t="s">
        <v>111</v>
      </c>
      <c r="B212" s="10" t="s">
        <v>150</v>
      </c>
      <c r="C212" s="10" t="s">
        <v>427</v>
      </c>
      <c r="D212" s="10" t="s">
        <v>570</v>
      </c>
    </row>
    <row r="213" customFormat="false" ht="23.85" hidden="false" customHeight="false" outlineLevel="0" collapsed="false">
      <c r="A213" s="10" t="s">
        <v>111</v>
      </c>
      <c r="B213" s="10" t="s">
        <v>150</v>
      </c>
      <c r="C213" s="10" t="s">
        <v>427</v>
      </c>
      <c r="D213" s="10" t="s">
        <v>571</v>
      </c>
    </row>
    <row r="214" customFormat="false" ht="23.85" hidden="false" customHeight="false" outlineLevel="0" collapsed="false">
      <c r="A214" s="10" t="s">
        <v>111</v>
      </c>
      <c r="B214" s="10" t="s">
        <v>116</v>
      </c>
      <c r="C214" s="10" t="s">
        <v>427</v>
      </c>
      <c r="D214" s="10" t="s">
        <v>572</v>
      </c>
    </row>
    <row r="215" customFormat="false" ht="23.85" hidden="false" customHeight="false" outlineLevel="0" collapsed="false">
      <c r="A215" s="10" t="s">
        <v>111</v>
      </c>
      <c r="B215" s="10" t="s">
        <v>116</v>
      </c>
      <c r="C215" s="10" t="s">
        <v>427</v>
      </c>
      <c r="D215" s="10" t="s">
        <v>449</v>
      </c>
    </row>
    <row r="216" customFormat="false" ht="23.85" hidden="false" customHeight="false" outlineLevel="0" collapsed="false">
      <c r="A216" s="10" t="s">
        <v>111</v>
      </c>
      <c r="B216" s="10" t="s">
        <v>116</v>
      </c>
      <c r="C216" s="10" t="s">
        <v>427</v>
      </c>
      <c r="D216" s="10" t="s">
        <v>488</v>
      </c>
    </row>
    <row r="217" customFormat="false" ht="23.85" hidden="false" customHeight="false" outlineLevel="0" collapsed="false">
      <c r="A217" s="10" t="s">
        <v>111</v>
      </c>
      <c r="B217" s="10" t="s">
        <v>116</v>
      </c>
      <c r="C217" s="10" t="s">
        <v>427</v>
      </c>
      <c r="D217" s="10" t="s">
        <v>214</v>
      </c>
    </row>
    <row r="218" customFormat="false" ht="35.05" hidden="false" customHeight="false" outlineLevel="0" collapsed="false">
      <c r="A218" s="10" t="s">
        <v>111</v>
      </c>
      <c r="B218" s="10" t="s">
        <v>116</v>
      </c>
      <c r="C218" s="10" t="s">
        <v>427</v>
      </c>
      <c r="D218" s="10" t="s">
        <v>573</v>
      </c>
    </row>
    <row r="219" customFormat="false" ht="23.85" hidden="false" customHeight="false" outlineLevel="0" collapsed="false">
      <c r="A219" s="10" t="s">
        <v>111</v>
      </c>
      <c r="B219" s="10" t="s">
        <v>116</v>
      </c>
      <c r="C219" s="10" t="s">
        <v>427</v>
      </c>
      <c r="D219" s="10" t="s">
        <v>574</v>
      </c>
    </row>
    <row r="220" customFormat="false" ht="35.05" hidden="false" customHeight="false" outlineLevel="0" collapsed="false">
      <c r="A220" s="10" t="s">
        <v>111</v>
      </c>
      <c r="B220" s="10" t="s">
        <v>116</v>
      </c>
      <c r="C220" s="10" t="s">
        <v>427</v>
      </c>
      <c r="D220" s="10" t="s">
        <v>575</v>
      </c>
    </row>
    <row r="221" customFormat="false" ht="15" hidden="false" customHeight="false" outlineLevel="0" collapsed="false">
      <c r="A221" s="10" t="s">
        <v>111</v>
      </c>
      <c r="B221" s="10" t="s">
        <v>116</v>
      </c>
      <c r="C221" s="10" t="s">
        <v>427</v>
      </c>
      <c r="D221" s="10" t="s">
        <v>576</v>
      </c>
    </row>
    <row r="222" customFormat="false" ht="23.85" hidden="false" customHeight="false" outlineLevel="0" collapsed="false">
      <c r="A222" s="10" t="s">
        <v>111</v>
      </c>
      <c r="B222" s="10" t="s">
        <v>116</v>
      </c>
      <c r="C222" s="10" t="s">
        <v>427</v>
      </c>
      <c r="D222" s="10" t="s">
        <v>577</v>
      </c>
    </row>
    <row r="223" customFormat="false" ht="35.05" hidden="false" customHeight="false" outlineLevel="0" collapsed="false">
      <c r="A223" s="10" t="s">
        <v>111</v>
      </c>
      <c r="B223" s="10" t="s">
        <v>58</v>
      </c>
      <c r="C223" s="10" t="s">
        <v>427</v>
      </c>
      <c r="D223" s="10" t="s">
        <v>113</v>
      </c>
    </row>
    <row r="224" customFormat="false" ht="23.85" hidden="false" customHeight="false" outlineLevel="0" collapsed="false">
      <c r="A224" s="10" t="s">
        <v>227</v>
      </c>
      <c r="B224" s="10" t="s">
        <v>76</v>
      </c>
      <c r="C224" s="10" t="s">
        <v>427</v>
      </c>
      <c r="D224" s="10" t="s">
        <v>541</v>
      </c>
    </row>
    <row r="225" customFormat="false" ht="46.25" hidden="false" customHeight="false" outlineLevel="0" collapsed="false">
      <c r="A225" s="10" t="s">
        <v>227</v>
      </c>
      <c r="B225" s="10" t="s">
        <v>76</v>
      </c>
      <c r="C225" s="10" t="s">
        <v>427</v>
      </c>
      <c r="D225" s="10" t="s">
        <v>498</v>
      </c>
    </row>
    <row r="226" customFormat="false" ht="23.85" hidden="false" customHeight="false" outlineLevel="0" collapsed="false">
      <c r="A226" s="10" t="s">
        <v>227</v>
      </c>
      <c r="B226" s="10" t="s">
        <v>76</v>
      </c>
      <c r="C226" s="10" t="s">
        <v>427</v>
      </c>
      <c r="D226" s="10" t="s">
        <v>578</v>
      </c>
    </row>
    <row r="227" customFormat="false" ht="23.85" hidden="false" customHeight="false" outlineLevel="0" collapsed="false">
      <c r="A227" s="10" t="s">
        <v>227</v>
      </c>
      <c r="B227" s="10" t="s">
        <v>76</v>
      </c>
      <c r="C227" s="10" t="s">
        <v>427</v>
      </c>
      <c r="D227" s="10" t="s">
        <v>543</v>
      </c>
    </row>
    <row r="228" customFormat="false" ht="35.05" hidden="false" customHeight="false" outlineLevel="0" collapsed="false">
      <c r="A228" s="10" t="s">
        <v>227</v>
      </c>
      <c r="B228" s="10" t="s">
        <v>76</v>
      </c>
      <c r="C228" s="10" t="s">
        <v>427</v>
      </c>
      <c r="D228" s="10" t="s">
        <v>550</v>
      </c>
    </row>
    <row r="229" customFormat="false" ht="23.85" hidden="false" customHeight="false" outlineLevel="0" collapsed="false">
      <c r="A229" s="10" t="s">
        <v>227</v>
      </c>
      <c r="B229" s="10" t="s">
        <v>76</v>
      </c>
      <c r="C229" s="10" t="s">
        <v>427</v>
      </c>
      <c r="D229" s="10" t="s">
        <v>552</v>
      </c>
    </row>
    <row r="230" customFormat="false" ht="23.85" hidden="false" customHeight="false" outlineLevel="0" collapsed="false">
      <c r="A230" s="10" t="s">
        <v>227</v>
      </c>
      <c r="B230" s="10" t="s">
        <v>76</v>
      </c>
      <c r="C230" s="10" t="s">
        <v>427</v>
      </c>
      <c r="D230" s="10" t="s">
        <v>553</v>
      </c>
    </row>
    <row r="231" customFormat="false" ht="23.85" hidden="false" customHeight="false" outlineLevel="0" collapsed="false">
      <c r="A231" s="10" t="s">
        <v>227</v>
      </c>
      <c r="B231" s="10" t="s">
        <v>83</v>
      </c>
      <c r="C231" s="10" t="s">
        <v>427</v>
      </c>
      <c r="D231" s="10" t="s">
        <v>245</v>
      </c>
    </row>
    <row r="232" customFormat="false" ht="15" hidden="false" customHeight="false" outlineLevel="0" collapsed="false">
      <c r="A232" s="10" t="s">
        <v>227</v>
      </c>
      <c r="B232" s="10" t="s">
        <v>83</v>
      </c>
      <c r="C232" s="10" t="s">
        <v>427</v>
      </c>
      <c r="D232" s="10" t="s">
        <v>579</v>
      </c>
    </row>
    <row r="233" customFormat="false" ht="23.85" hidden="false" customHeight="false" outlineLevel="0" collapsed="false">
      <c r="A233" s="10" t="s">
        <v>227</v>
      </c>
      <c r="B233" s="10" t="s">
        <v>183</v>
      </c>
      <c r="C233" s="10" t="s">
        <v>427</v>
      </c>
      <c r="D233" s="10" t="s">
        <v>233</v>
      </c>
    </row>
    <row r="234" customFormat="false" ht="23.85" hidden="false" customHeight="false" outlineLevel="0" collapsed="false">
      <c r="A234" s="10" t="s">
        <v>227</v>
      </c>
      <c r="B234" s="10" t="s">
        <v>134</v>
      </c>
      <c r="C234" s="10" t="s">
        <v>427</v>
      </c>
      <c r="D234" s="10" t="s">
        <v>230</v>
      </c>
    </row>
    <row r="235" customFormat="false" ht="15" hidden="false" customHeight="false" outlineLevel="0" collapsed="false">
      <c r="A235" s="10" t="s">
        <v>227</v>
      </c>
      <c r="B235" s="10" t="s">
        <v>134</v>
      </c>
      <c r="C235" s="10" t="s">
        <v>427</v>
      </c>
      <c r="D235" s="10" t="s">
        <v>580</v>
      </c>
    </row>
    <row r="236" customFormat="false" ht="23.85" hidden="false" customHeight="false" outlineLevel="0" collapsed="false">
      <c r="A236" s="10" t="s">
        <v>242</v>
      </c>
      <c r="B236" s="10" t="s">
        <v>57</v>
      </c>
      <c r="C236" s="10" t="s">
        <v>427</v>
      </c>
      <c r="D236" s="10" t="s">
        <v>581</v>
      </c>
    </row>
    <row r="237" customFormat="false" ht="35.05" hidden="false" customHeight="false" outlineLevel="0" collapsed="false">
      <c r="A237" s="10" t="s">
        <v>242</v>
      </c>
      <c r="B237" s="10" t="s">
        <v>90</v>
      </c>
      <c r="C237" s="10" t="s">
        <v>427</v>
      </c>
      <c r="D237" s="10" t="s">
        <v>582</v>
      </c>
    </row>
    <row r="238" customFormat="false" ht="23.85" hidden="false" customHeight="false" outlineLevel="0" collapsed="false">
      <c r="A238" s="10" t="s">
        <v>242</v>
      </c>
      <c r="B238" s="10" t="s">
        <v>83</v>
      </c>
      <c r="C238" s="10" t="s">
        <v>427</v>
      </c>
      <c r="D238" s="10" t="s">
        <v>245</v>
      </c>
    </row>
    <row r="239" customFormat="false" ht="15" hidden="false" customHeight="false" outlineLevel="0" collapsed="false">
      <c r="A239" s="10" t="s">
        <v>242</v>
      </c>
      <c r="B239" s="10" t="s">
        <v>83</v>
      </c>
      <c r="C239" s="10" t="s">
        <v>427</v>
      </c>
      <c r="D239" s="10" t="s">
        <v>583</v>
      </c>
    </row>
    <row r="240" customFormat="false" ht="23.85" hidden="false" customHeight="false" outlineLevel="0" collapsed="false">
      <c r="A240" s="10" t="s">
        <v>81</v>
      </c>
      <c r="B240" s="10" t="s">
        <v>83</v>
      </c>
      <c r="C240" s="10" t="s">
        <v>427</v>
      </c>
      <c r="D240" s="10" t="s">
        <v>584</v>
      </c>
    </row>
    <row r="241" customFormat="false" ht="23.85" hidden="false" customHeight="false" outlineLevel="0" collapsed="false">
      <c r="A241" s="10" t="s">
        <v>81</v>
      </c>
      <c r="B241" s="10" t="s">
        <v>133</v>
      </c>
      <c r="C241" s="10" t="s">
        <v>427</v>
      </c>
      <c r="D241" s="10" t="s">
        <v>201</v>
      </c>
    </row>
    <row r="242" customFormat="false" ht="15" hidden="false" customHeight="false" outlineLevel="0" collapsed="false">
      <c r="A242" s="10" t="s">
        <v>81</v>
      </c>
      <c r="B242" s="10" t="s">
        <v>116</v>
      </c>
      <c r="C242" s="10" t="s">
        <v>427</v>
      </c>
      <c r="D242" s="10" t="s">
        <v>585</v>
      </c>
    </row>
    <row r="243" customFormat="false" ht="23.85" hidden="false" customHeight="false" outlineLevel="0" collapsed="false">
      <c r="A243" s="10" t="s">
        <v>81</v>
      </c>
      <c r="B243" s="10" t="s">
        <v>116</v>
      </c>
      <c r="C243" s="10" t="s">
        <v>427</v>
      </c>
      <c r="D243" s="10" t="s">
        <v>488</v>
      </c>
    </row>
    <row r="244" customFormat="false" ht="23.85" hidden="false" customHeight="false" outlineLevel="0" collapsed="false">
      <c r="A244" s="10" t="s">
        <v>81</v>
      </c>
      <c r="B244" s="10" t="s">
        <v>56</v>
      </c>
      <c r="C244" s="10" t="s">
        <v>427</v>
      </c>
      <c r="D244" s="10" t="s">
        <v>80</v>
      </c>
    </row>
    <row r="245" customFormat="false" ht="23.85" hidden="false" customHeight="false" outlineLevel="0" collapsed="false">
      <c r="A245" s="10" t="s">
        <v>152</v>
      </c>
      <c r="B245" s="10" t="s">
        <v>71</v>
      </c>
      <c r="C245" s="10" t="s">
        <v>427</v>
      </c>
      <c r="D245" s="10" t="s">
        <v>172</v>
      </c>
    </row>
    <row r="246" customFormat="false" ht="23.85" hidden="false" customHeight="false" outlineLevel="0" collapsed="false">
      <c r="A246" s="10" t="s">
        <v>152</v>
      </c>
      <c r="B246" s="10" t="s">
        <v>71</v>
      </c>
      <c r="C246" s="10" t="s">
        <v>427</v>
      </c>
      <c r="D246" s="10" t="s">
        <v>586</v>
      </c>
    </row>
    <row r="247" customFormat="false" ht="35.05" hidden="false" customHeight="false" outlineLevel="0" collapsed="false">
      <c r="A247" s="10" t="s">
        <v>152</v>
      </c>
      <c r="B247" s="10" t="s">
        <v>71</v>
      </c>
      <c r="C247" s="10" t="s">
        <v>427</v>
      </c>
      <c r="D247" s="10" t="s">
        <v>154</v>
      </c>
    </row>
    <row r="248" customFormat="false" ht="247.75" hidden="false" customHeight="false" outlineLevel="0" collapsed="false">
      <c r="A248" s="10" t="s">
        <v>152</v>
      </c>
      <c r="B248" s="10" t="s">
        <v>71</v>
      </c>
      <c r="C248" s="10" t="s">
        <v>439</v>
      </c>
      <c r="D248" s="10" t="s">
        <v>440</v>
      </c>
    </row>
    <row r="249" customFormat="false" ht="35.05" hidden="false" customHeight="false" outlineLevel="0" collapsed="false">
      <c r="A249" s="10" t="s">
        <v>393</v>
      </c>
      <c r="B249" s="10" t="s">
        <v>58</v>
      </c>
      <c r="C249" s="10" t="s">
        <v>427</v>
      </c>
      <c r="D249" s="10" t="s">
        <v>587</v>
      </c>
    </row>
    <row r="250" customFormat="false" ht="15" hidden="false" customHeight="false" outlineLevel="0" collapsed="false">
      <c r="A250" s="10" t="s">
        <v>393</v>
      </c>
      <c r="B250" s="10" t="s">
        <v>58</v>
      </c>
      <c r="C250" s="10" t="s">
        <v>427</v>
      </c>
      <c r="D250" s="10" t="s">
        <v>588</v>
      </c>
    </row>
    <row r="251" customFormat="false" ht="23.85" hidden="false" customHeight="false" outlineLevel="0" collapsed="false">
      <c r="A251" s="10" t="s">
        <v>393</v>
      </c>
      <c r="B251" s="10" t="s">
        <v>58</v>
      </c>
      <c r="C251" s="10" t="s">
        <v>427</v>
      </c>
      <c r="D251" s="10" t="s">
        <v>396</v>
      </c>
    </row>
    <row r="252" customFormat="false" ht="68.65" hidden="false" customHeight="false" outlineLevel="0" collapsed="false">
      <c r="A252" s="10" t="s">
        <v>397</v>
      </c>
      <c r="B252" s="10" t="s">
        <v>183</v>
      </c>
      <c r="C252" s="10" t="s">
        <v>427</v>
      </c>
      <c r="D252" s="10" t="s">
        <v>184</v>
      </c>
    </row>
    <row r="253" customFormat="false" ht="23.85" hidden="false" customHeight="false" outlineLevel="0" collapsed="false">
      <c r="A253" s="10" t="s">
        <v>397</v>
      </c>
      <c r="B253" s="10" t="s">
        <v>183</v>
      </c>
      <c r="C253" s="10" t="s">
        <v>427</v>
      </c>
      <c r="D253" s="10" t="s">
        <v>196</v>
      </c>
    </row>
    <row r="254" customFormat="false" ht="15" hidden="false" customHeight="false" outlineLevel="0" collapsed="false">
      <c r="A254" s="10" t="s">
        <v>397</v>
      </c>
      <c r="B254" s="10" t="s">
        <v>134</v>
      </c>
      <c r="C254" s="10" t="s">
        <v>427</v>
      </c>
      <c r="D254" s="10" t="s">
        <v>589</v>
      </c>
    </row>
    <row r="255" customFormat="false" ht="23.85" hidden="false" customHeight="false" outlineLevel="0" collapsed="false">
      <c r="A255" s="10" t="s">
        <v>264</v>
      </c>
      <c r="B255" s="10" t="s">
        <v>76</v>
      </c>
      <c r="C255" s="10" t="s">
        <v>427</v>
      </c>
      <c r="D255" s="10" t="s">
        <v>590</v>
      </c>
    </row>
    <row r="256" customFormat="false" ht="23.85" hidden="false" customHeight="false" outlineLevel="0" collapsed="false">
      <c r="A256" s="10" t="s">
        <v>264</v>
      </c>
      <c r="B256" s="10" t="s">
        <v>76</v>
      </c>
      <c r="C256" s="10" t="s">
        <v>427</v>
      </c>
      <c r="D256" s="10" t="s">
        <v>591</v>
      </c>
    </row>
    <row r="257" customFormat="false" ht="35.05" hidden="false" customHeight="false" outlineLevel="0" collapsed="false">
      <c r="A257" s="10" t="s">
        <v>264</v>
      </c>
      <c r="B257" s="10" t="s">
        <v>76</v>
      </c>
      <c r="C257" s="10" t="s">
        <v>427</v>
      </c>
      <c r="D257" s="10" t="s">
        <v>592</v>
      </c>
    </row>
    <row r="258" customFormat="false" ht="57.45" hidden="false" customHeight="false" outlineLevel="0" collapsed="false">
      <c r="A258" s="10" t="s">
        <v>264</v>
      </c>
      <c r="B258" s="10" t="s">
        <v>76</v>
      </c>
      <c r="C258" s="10" t="s">
        <v>427</v>
      </c>
      <c r="D258" s="10" t="s">
        <v>593</v>
      </c>
    </row>
    <row r="259" customFormat="false" ht="23.85" hidden="false" customHeight="false" outlineLevel="0" collapsed="false">
      <c r="A259" s="10" t="s">
        <v>264</v>
      </c>
      <c r="B259" s="10" t="s">
        <v>76</v>
      </c>
      <c r="C259" s="10" t="s">
        <v>427</v>
      </c>
      <c r="D259" s="10" t="s">
        <v>594</v>
      </c>
    </row>
    <row r="260" customFormat="false" ht="15" hidden="false" customHeight="false" outlineLevel="0" collapsed="false">
      <c r="A260" s="10" t="s">
        <v>264</v>
      </c>
      <c r="B260" s="10" t="s">
        <v>90</v>
      </c>
      <c r="C260" s="10" t="s">
        <v>427</v>
      </c>
      <c r="D260" s="10" t="s">
        <v>595</v>
      </c>
    </row>
    <row r="261" customFormat="false" ht="35.05" hidden="false" customHeight="false" outlineLevel="0" collapsed="false">
      <c r="A261" s="10" t="s">
        <v>264</v>
      </c>
      <c r="B261" s="10" t="s">
        <v>90</v>
      </c>
      <c r="C261" s="10" t="s">
        <v>427</v>
      </c>
      <c r="D261" s="10" t="s">
        <v>596</v>
      </c>
    </row>
    <row r="262" customFormat="false" ht="23.85" hidden="false" customHeight="false" outlineLevel="0" collapsed="false">
      <c r="A262" s="10" t="s">
        <v>264</v>
      </c>
      <c r="B262" s="10" t="s">
        <v>90</v>
      </c>
      <c r="C262" s="10" t="s">
        <v>427</v>
      </c>
      <c r="D262" s="10" t="s">
        <v>597</v>
      </c>
    </row>
    <row r="263" customFormat="false" ht="35.05" hidden="false" customHeight="false" outlineLevel="0" collapsed="false">
      <c r="A263" s="10" t="s">
        <v>264</v>
      </c>
      <c r="B263" s="10" t="s">
        <v>90</v>
      </c>
      <c r="C263" s="10" t="s">
        <v>427</v>
      </c>
      <c r="D263" s="10" t="s">
        <v>429</v>
      </c>
    </row>
    <row r="264" customFormat="false" ht="23.85" hidden="false" customHeight="false" outlineLevel="0" collapsed="false">
      <c r="A264" s="10" t="s">
        <v>264</v>
      </c>
      <c r="B264" s="10" t="s">
        <v>90</v>
      </c>
      <c r="C264" s="10" t="s">
        <v>427</v>
      </c>
      <c r="D264" s="10" t="s">
        <v>598</v>
      </c>
    </row>
    <row r="265" customFormat="false" ht="35.05" hidden="false" customHeight="false" outlineLevel="0" collapsed="false">
      <c r="A265" s="10" t="s">
        <v>264</v>
      </c>
      <c r="B265" s="10" t="s">
        <v>90</v>
      </c>
      <c r="C265" s="10" t="s">
        <v>427</v>
      </c>
      <c r="D265" s="10" t="s">
        <v>582</v>
      </c>
    </row>
    <row r="266" customFormat="false" ht="23.85" hidden="false" customHeight="false" outlineLevel="0" collapsed="false">
      <c r="A266" s="10" t="s">
        <v>264</v>
      </c>
      <c r="B266" s="10" t="s">
        <v>116</v>
      </c>
      <c r="C266" s="10" t="s">
        <v>427</v>
      </c>
      <c r="D266" s="10" t="s">
        <v>266</v>
      </c>
    </row>
    <row r="267" customFormat="false" ht="35.05" hidden="false" customHeight="false" outlineLevel="0" collapsed="false">
      <c r="A267" s="10" t="s">
        <v>264</v>
      </c>
      <c r="B267" s="10" t="s">
        <v>71</v>
      </c>
      <c r="C267" s="10" t="s">
        <v>599</v>
      </c>
      <c r="D267" s="10" t="s">
        <v>600</v>
      </c>
    </row>
    <row r="268" customFormat="false" ht="23.85" hidden="false" customHeight="false" outlineLevel="0" collapsed="false">
      <c r="A268" s="10" t="s">
        <v>399</v>
      </c>
      <c r="B268" s="10" t="s">
        <v>56</v>
      </c>
      <c r="C268" s="10" t="s">
        <v>427</v>
      </c>
      <c r="D268" s="10" t="s">
        <v>204</v>
      </c>
    </row>
    <row r="269" customFormat="false" ht="15" hidden="false" customHeight="false" outlineLevel="0" collapsed="false">
      <c r="A269" s="10" t="s">
        <v>399</v>
      </c>
      <c r="B269" s="10" t="s">
        <v>56</v>
      </c>
      <c r="C269" s="10" t="s">
        <v>427</v>
      </c>
      <c r="D269" s="10" t="s">
        <v>601</v>
      </c>
    </row>
    <row r="270" customFormat="false" ht="23.85" hidden="false" customHeight="false" outlineLevel="0" collapsed="false">
      <c r="A270" s="10" t="s">
        <v>208</v>
      </c>
      <c r="B270" s="10" t="s">
        <v>76</v>
      </c>
      <c r="C270" s="10" t="s">
        <v>427</v>
      </c>
      <c r="D270" s="10" t="s">
        <v>211</v>
      </c>
    </row>
    <row r="271" customFormat="false" ht="23.85" hidden="false" customHeight="false" outlineLevel="0" collapsed="false">
      <c r="A271" s="10" t="s">
        <v>315</v>
      </c>
      <c r="B271" s="10" t="s">
        <v>183</v>
      </c>
      <c r="C271" s="10" t="s">
        <v>427</v>
      </c>
      <c r="D271" s="10" t="s">
        <v>434</v>
      </c>
    </row>
    <row r="272" customFormat="false" ht="15" hidden="false" customHeight="false" outlineLevel="0" collapsed="false">
      <c r="A272" s="10" t="s">
        <v>315</v>
      </c>
      <c r="B272" s="10" t="s">
        <v>183</v>
      </c>
      <c r="C272" s="10" t="s">
        <v>427</v>
      </c>
      <c r="D272" s="10" t="s">
        <v>530</v>
      </c>
    </row>
    <row r="273" customFormat="false" ht="15" hidden="false" customHeight="false" outlineLevel="0" collapsed="false">
      <c r="A273" s="10" t="s">
        <v>315</v>
      </c>
      <c r="B273" s="10" t="s">
        <v>183</v>
      </c>
      <c r="C273" s="10" t="s">
        <v>427</v>
      </c>
      <c r="D273" s="10" t="s">
        <v>602</v>
      </c>
    </row>
    <row r="274" customFormat="false" ht="57.45" hidden="false" customHeight="false" outlineLevel="0" collapsed="false">
      <c r="A274" s="10" t="s">
        <v>315</v>
      </c>
      <c r="B274" s="10" t="s">
        <v>183</v>
      </c>
      <c r="C274" s="10" t="s">
        <v>427</v>
      </c>
      <c r="D274" s="10" t="s">
        <v>409</v>
      </c>
    </row>
    <row r="275" customFormat="false" ht="35.05" hidden="false" customHeight="false" outlineLevel="0" collapsed="false">
      <c r="A275" s="10" t="s">
        <v>315</v>
      </c>
      <c r="B275" s="10" t="s">
        <v>183</v>
      </c>
      <c r="C275" s="10" t="s">
        <v>427</v>
      </c>
      <c r="D275" s="10" t="s">
        <v>531</v>
      </c>
    </row>
    <row r="276" customFormat="false" ht="35.05" hidden="false" customHeight="false" outlineLevel="0" collapsed="false">
      <c r="A276" s="10" t="s">
        <v>315</v>
      </c>
      <c r="B276" s="10" t="s">
        <v>71</v>
      </c>
      <c r="C276" s="10" t="s">
        <v>427</v>
      </c>
      <c r="D276" s="10" t="s">
        <v>317</v>
      </c>
    </row>
    <row r="277" customFormat="false" ht="35.05" hidden="false" customHeight="false" outlineLevel="0" collapsed="false">
      <c r="A277" s="10" t="s">
        <v>155</v>
      </c>
      <c r="B277" s="10" t="s">
        <v>56</v>
      </c>
      <c r="C277" s="10" t="s">
        <v>427</v>
      </c>
      <c r="D277" s="10" t="s">
        <v>68</v>
      </c>
    </row>
    <row r="278" customFormat="false" ht="35.05" hidden="false" customHeight="false" outlineLevel="0" collapsed="false">
      <c r="A278" s="10" t="s">
        <v>155</v>
      </c>
      <c r="B278" s="10" t="s">
        <v>56</v>
      </c>
      <c r="C278" s="10" t="s">
        <v>427</v>
      </c>
      <c r="D278" s="10" t="s">
        <v>438</v>
      </c>
    </row>
    <row r="279" customFormat="false" ht="46.25" hidden="false" customHeight="false" outlineLevel="0" collapsed="false">
      <c r="A279" s="10" t="s">
        <v>155</v>
      </c>
      <c r="B279" s="10" t="s">
        <v>56</v>
      </c>
      <c r="C279" s="10" t="s">
        <v>427</v>
      </c>
      <c r="D279" s="10" t="s">
        <v>603</v>
      </c>
    </row>
    <row r="280" customFormat="false" ht="23.85" hidden="false" customHeight="false" outlineLevel="0" collapsed="false">
      <c r="A280" s="10" t="s">
        <v>155</v>
      </c>
      <c r="B280" s="10" t="s">
        <v>71</v>
      </c>
      <c r="C280" s="10" t="s">
        <v>427</v>
      </c>
      <c r="D280" s="10" t="s">
        <v>172</v>
      </c>
    </row>
    <row r="281" customFormat="false" ht="35.05" hidden="false" customHeight="false" outlineLevel="0" collapsed="false">
      <c r="A281" s="10" t="s">
        <v>155</v>
      </c>
      <c r="B281" s="10" t="s">
        <v>71</v>
      </c>
      <c r="C281" s="10" t="s">
        <v>427</v>
      </c>
      <c r="D281" s="10" t="s">
        <v>604</v>
      </c>
    </row>
    <row r="282" customFormat="false" ht="35.05" hidden="false" customHeight="false" outlineLevel="0" collapsed="false">
      <c r="A282" s="10" t="s">
        <v>155</v>
      </c>
      <c r="B282" s="10" t="s">
        <v>71</v>
      </c>
      <c r="C282" s="10" t="s">
        <v>427</v>
      </c>
      <c r="D282" s="10" t="s">
        <v>154</v>
      </c>
    </row>
    <row r="283" customFormat="false" ht="35.05" hidden="false" customHeight="false" outlineLevel="0" collapsed="false">
      <c r="A283" s="10" t="s">
        <v>155</v>
      </c>
      <c r="B283" s="10" t="s">
        <v>71</v>
      </c>
      <c r="C283" s="10" t="s">
        <v>427</v>
      </c>
      <c r="D283" s="10" t="s">
        <v>157</v>
      </c>
    </row>
    <row r="284" customFormat="false" ht="247.75" hidden="false" customHeight="false" outlineLevel="0" collapsed="false">
      <c r="A284" s="10" t="s">
        <v>155</v>
      </c>
      <c r="B284" s="10" t="s">
        <v>71</v>
      </c>
      <c r="C284" s="10" t="s">
        <v>439</v>
      </c>
      <c r="D284" s="10" t="s">
        <v>440</v>
      </c>
    </row>
    <row r="285" customFormat="false" ht="35.05" hidden="false" customHeight="false" outlineLevel="0" collapsed="false">
      <c r="A285" s="10" t="s">
        <v>342</v>
      </c>
      <c r="B285" s="10" t="s">
        <v>183</v>
      </c>
      <c r="C285" s="10" t="s">
        <v>427</v>
      </c>
      <c r="D285" s="10" t="s">
        <v>341</v>
      </c>
    </row>
    <row r="286" customFormat="false" ht="35.05" hidden="false" customHeight="false" outlineLevel="0" collapsed="false">
      <c r="A286" s="10" t="s">
        <v>342</v>
      </c>
      <c r="B286" s="10" t="s">
        <v>116</v>
      </c>
      <c r="C286" s="10" t="s">
        <v>427</v>
      </c>
      <c r="D286" s="10" t="s">
        <v>117</v>
      </c>
    </row>
    <row r="287" customFormat="false" ht="35.05" hidden="false" customHeight="false" outlineLevel="0" collapsed="false">
      <c r="A287" s="10" t="s">
        <v>342</v>
      </c>
      <c r="B287" s="10" t="s">
        <v>116</v>
      </c>
      <c r="C287" s="10" t="s">
        <v>427</v>
      </c>
      <c r="D287" s="10" t="s">
        <v>513</v>
      </c>
    </row>
    <row r="288" customFormat="false" ht="23.85" hidden="false" customHeight="false" outlineLevel="0" collapsed="false">
      <c r="A288" s="10" t="s">
        <v>342</v>
      </c>
      <c r="B288" s="10" t="s">
        <v>116</v>
      </c>
      <c r="C288" s="10" t="s">
        <v>427</v>
      </c>
      <c r="D288" s="10" t="s">
        <v>605</v>
      </c>
    </row>
    <row r="289" customFormat="false" ht="23.85" hidden="false" customHeight="false" outlineLevel="0" collapsed="false">
      <c r="A289" s="10" t="s">
        <v>342</v>
      </c>
      <c r="B289" s="10" t="s">
        <v>116</v>
      </c>
      <c r="C289" s="10" t="s">
        <v>427</v>
      </c>
      <c r="D289" s="10" t="s">
        <v>606</v>
      </c>
    </row>
    <row r="290" customFormat="false" ht="23.85" hidden="false" customHeight="false" outlineLevel="0" collapsed="false">
      <c r="A290" s="10" t="s">
        <v>342</v>
      </c>
      <c r="B290" s="10" t="s">
        <v>116</v>
      </c>
      <c r="C290" s="10" t="s">
        <v>427</v>
      </c>
      <c r="D290" s="10" t="s">
        <v>193</v>
      </c>
    </row>
    <row r="291" customFormat="false" ht="23.85" hidden="false" customHeight="false" outlineLevel="0" collapsed="false">
      <c r="A291" s="10" t="s">
        <v>342</v>
      </c>
      <c r="B291" s="10" t="s">
        <v>116</v>
      </c>
      <c r="C291" s="10" t="s">
        <v>450</v>
      </c>
      <c r="D291" s="10" t="s">
        <v>451</v>
      </c>
    </row>
    <row r="292" customFormat="false" ht="23.85" hidden="false" customHeight="false" outlineLevel="0" collapsed="false">
      <c r="A292" s="10" t="s">
        <v>342</v>
      </c>
      <c r="B292" s="10" t="s">
        <v>134</v>
      </c>
      <c r="C292" s="10" t="s">
        <v>427</v>
      </c>
      <c r="D292" s="10" t="s">
        <v>607</v>
      </c>
    </row>
    <row r="293" customFormat="false" ht="23.85" hidden="false" customHeight="false" outlineLevel="0" collapsed="false">
      <c r="A293" s="10" t="s">
        <v>342</v>
      </c>
      <c r="B293" s="10" t="s">
        <v>134</v>
      </c>
      <c r="C293" s="10" t="s">
        <v>427</v>
      </c>
      <c r="D293" s="10" t="s">
        <v>608</v>
      </c>
    </row>
    <row r="294" customFormat="false" ht="46.25" hidden="false" customHeight="false" outlineLevel="0" collapsed="false">
      <c r="A294" s="10" t="s">
        <v>342</v>
      </c>
      <c r="B294" s="10" t="s">
        <v>134</v>
      </c>
      <c r="C294" s="10" t="s">
        <v>427</v>
      </c>
      <c r="D294" s="10" t="s">
        <v>344</v>
      </c>
    </row>
    <row r="295" customFormat="false" ht="23.85" hidden="false" customHeight="false" outlineLevel="0" collapsed="false">
      <c r="A295" s="10" t="s">
        <v>318</v>
      </c>
      <c r="B295" s="10" t="s">
        <v>150</v>
      </c>
      <c r="C295" s="10" t="s">
        <v>427</v>
      </c>
      <c r="D295" s="10" t="s">
        <v>609</v>
      </c>
    </row>
    <row r="296" customFormat="false" ht="23.85" hidden="false" customHeight="false" outlineLevel="0" collapsed="false">
      <c r="A296" s="10" t="s">
        <v>318</v>
      </c>
      <c r="B296" s="10" t="s">
        <v>116</v>
      </c>
      <c r="C296" s="10" t="s">
        <v>427</v>
      </c>
      <c r="D296" s="10" t="s">
        <v>574</v>
      </c>
    </row>
    <row r="297" customFormat="false" ht="35.05" hidden="false" customHeight="false" outlineLevel="0" collapsed="false">
      <c r="A297" s="10" t="s">
        <v>318</v>
      </c>
      <c r="B297" s="10" t="s">
        <v>86</v>
      </c>
      <c r="C297" s="10" t="s">
        <v>427</v>
      </c>
      <c r="D297" s="10" t="s">
        <v>610</v>
      </c>
    </row>
    <row r="298" customFormat="false" ht="15" hidden="false" customHeight="false" outlineLevel="0" collapsed="false">
      <c r="A298" s="10" t="s">
        <v>318</v>
      </c>
      <c r="B298" s="10" t="s">
        <v>86</v>
      </c>
      <c r="C298" s="10" t="s">
        <v>427</v>
      </c>
      <c r="D298" s="10" t="s">
        <v>611</v>
      </c>
    </row>
    <row r="299" customFormat="false" ht="23.85" hidden="false" customHeight="false" outlineLevel="0" collapsed="false">
      <c r="A299" s="10" t="s">
        <v>318</v>
      </c>
      <c r="B299" s="10" t="s">
        <v>71</v>
      </c>
      <c r="C299" s="10" t="s">
        <v>427</v>
      </c>
      <c r="D299" s="10" t="s">
        <v>612</v>
      </c>
    </row>
    <row r="300" customFormat="false" ht="35.05" hidden="false" customHeight="false" outlineLevel="0" collapsed="false">
      <c r="A300" s="10" t="s">
        <v>318</v>
      </c>
      <c r="B300" s="10" t="s">
        <v>71</v>
      </c>
      <c r="C300" s="10" t="s">
        <v>427</v>
      </c>
      <c r="D300" s="10" t="s">
        <v>613</v>
      </c>
    </row>
    <row r="301" customFormat="false" ht="15" hidden="false" customHeight="false" outlineLevel="0" collapsed="false">
      <c r="A301" s="10" t="s">
        <v>318</v>
      </c>
      <c r="B301" s="10" t="s">
        <v>71</v>
      </c>
      <c r="C301" s="10" t="s">
        <v>427</v>
      </c>
      <c r="D301" s="10" t="s">
        <v>497</v>
      </c>
    </row>
    <row r="302" customFormat="false" ht="35.05" hidden="false" customHeight="false" outlineLevel="0" collapsed="false">
      <c r="A302" s="10" t="s">
        <v>318</v>
      </c>
      <c r="B302" s="10" t="s">
        <v>71</v>
      </c>
      <c r="C302" s="10" t="s">
        <v>427</v>
      </c>
      <c r="D302" s="10" t="s">
        <v>317</v>
      </c>
    </row>
    <row r="303" customFormat="false" ht="15" hidden="false" customHeight="false" outlineLevel="0" collapsed="false">
      <c r="A303" s="10" t="s">
        <v>318</v>
      </c>
      <c r="B303" s="10" t="s">
        <v>71</v>
      </c>
      <c r="C303" s="10" t="s">
        <v>427</v>
      </c>
      <c r="D303" s="10" t="s">
        <v>614</v>
      </c>
    </row>
    <row r="304" customFormat="false" ht="68.65" hidden="false" customHeight="false" outlineLevel="0" collapsed="false">
      <c r="A304" s="10" t="s">
        <v>318</v>
      </c>
      <c r="B304" s="10" t="s">
        <v>71</v>
      </c>
      <c r="C304" s="10" t="s">
        <v>457</v>
      </c>
      <c r="D304" s="10" t="s">
        <v>458</v>
      </c>
    </row>
    <row r="305" customFormat="false" ht="79.85" hidden="false" customHeight="false" outlineLevel="0" collapsed="false">
      <c r="A305" s="10" t="s">
        <v>318</v>
      </c>
      <c r="B305" s="10" t="s">
        <v>71</v>
      </c>
      <c r="C305" s="10" t="s">
        <v>473</v>
      </c>
      <c r="D305" s="10" t="s">
        <v>474</v>
      </c>
    </row>
    <row r="306" customFormat="false" ht="35.05" hidden="false" customHeight="false" outlineLevel="0" collapsed="false">
      <c r="A306" s="10" t="s">
        <v>318</v>
      </c>
      <c r="B306" s="10" t="s">
        <v>71</v>
      </c>
      <c r="C306" s="10" t="s">
        <v>475</v>
      </c>
      <c r="D306" s="10" t="s">
        <v>476</v>
      </c>
    </row>
    <row r="307" customFormat="false" ht="46.25" hidden="false" customHeight="false" outlineLevel="0" collapsed="false">
      <c r="A307" s="10" t="s">
        <v>158</v>
      </c>
      <c r="B307" s="10" t="s">
        <v>76</v>
      </c>
      <c r="C307" s="10" t="s">
        <v>427</v>
      </c>
      <c r="D307" s="10" t="s">
        <v>482</v>
      </c>
    </row>
    <row r="308" customFormat="false" ht="46.25" hidden="false" customHeight="false" outlineLevel="0" collapsed="false">
      <c r="A308" s="10" t="s">
        <v>158</v>
      </c>
      <c r="B308" s="10" t="s">
        <v>76</v>
      </c>
      <c r="C308" s="10" t="s">
        <v>427</v>
      </c>
      <c r="D308" s="10" t="s">
        <v>483</v>
      </c>
    </row>
    <row r="309" customFormat="false" ht="15" hidden="false" customHeight="false" outlineLevel="0" collapsed="false">
      <c r="A309" s="10" t="s">
        <v>158</v>
      </c>
      <c r="B309" s="10" t="s">
        <v>90</v>
      </c>
      <c r="C309" s="10" t="s">
        <v>427</v>
      </c>
      <c r="D309" s="10" t="s">
        <v>615</v>
      </c>
    </row>
    <row r="310" customFormat="false" ht="35.05" hidden="false" customHeight="false" outlineLevel="0" collapsed="false">
      <c r="A310" s="10" t="s">
        <v>158</v>
      </c>
      <c r="B310" s="10" t="s">
        <v>90</v>
      </c>
      <c r="C310" s="10" t="s">
        <v>427</v>
      </c>
      <c r="D310" s="10" t="s">
        <v>507</v>
      </c>
    </row>
    <row r="311" customFormat="false" ht="91" hidden="false" customHeight="false" outlineLevel="0" collapsed="false">
      <c r="A311" s="10" t="s">
        <v>158</v>
      </c>
      <c r="B311" s="10" t="s">
        <v>90</v>
      </c>
      <c r="C311" s="10" t="s">
        <v>427</v>
      </c>
      <c r="D311" s="10" t="s">
        <v>508</v>
      </c>
    </row>
    <row r="312" customFormat="false" ht="46.25" hidden="false" customHeight="false" outlineLevel="0" collapsed="false">
      <c r="A312" s="10" t="s">
        <v>158</v>
      </c>
      <c r="B312" s="10" t="s">
        <v>83</v>
      </c>
      <c r="C312" s="10" t="s">
        <v>427</v>
      </c>
      <c r="D312" s="10" t="s">
        <v>91</v>
      </c>
    </row>
    <row r="313" customFormat="false" ht="23.85" hidden="false" customHeight="false" outlineLevel="0" collapsed="false">
      <c r="A313" s="10" t="s">
        <v>158</v>
      </c>
      <c r="B313" s="10" t="s">
        <v>133</v>
      </c>
      <c r="C313" s="10" t="s">
        <v>427</v>
      </c>
      <c r="D313" s="10" t="s">
        <v>201</v>
      </c>
    </row>
    <row r="314" customFormat="false" ht="35.05" hidden="false" customHeight="false" outlineLevel="0" collapsed="false">
      <c r="A314" s="10" t="s">
        <v>158</v>
      </c>
      <c r="B314" s="10" t="s">
        <v>133</v>
      </c>
      <c r="C314" s="10" t="s">
        <v>427</v>
      </c>
      <c r="D314" s="10" t="s">
        <v>484</v>
      </c>
    </row>
    <row r="315" customFormat="false" ht="23.85" hidden="false" customHeight="false" outlineLevel="0" collapsed="false">
      <c r="A315" s="10" t="s">
        <v>158</v>
      </c>
      <c r="B315" s="10" t="s">
        <v>133</v>
      </c>
      <c r="C315" s="10" t="s">
        <v>427</v>
      </c>
      <c r="D315" s="10" t="s">
        <v>144</v>
      </c>
    </row>
    <row r="316" customFormat="false" ht="15" hidden="false" customHeight="false" outlineLevel="0" collapsed="false">
      <c r="A316" s="10" t="s">
        <v>158</v>
      </c>
      <c r="B316" s="10" t="s">
        <v>116</v>
      </c>
      <c r="C316" s="10" t="s">
        <v>427</v>
      </c>
      <c r="D316" s="10" t="s">
        <v>466</v>
      </c>
    </row>
    <row r="317" customFormat="false" ht="15" hidden="false" customHeight="false" outlineLevel="0" collapsed="false">
      <c r="A317" s="10" t="s">
        <v>267</v>
      </c>
      <c r="B317" s="10" t="s">
        <v>76</v>
      </c>
      <c r="C317" s="10" t="s">
        <v>427</v>
      </c>
      <c r="D317" s="10" t="s">
        <v>616</v>
      </c>
    </row>
    <row r="318" customFormat="false" ht="23.85" hidden="false" customHeight="false" outlineLevel="0" collapsed="false">
      <c r="A318" s="10" t="s">
        <v>267</v>
      </c>
      <c r="B318" s="10" t="s">
        <v>76</v>
      </c>
      <c r="C318" s="10" t="s">
        <v>427</v>
      </c>
      <c r="D318" s="10" t="s">
        <v>617</v>
      </c>
    </row>
    <row r="319" customFormat="false" ht="35.05" hidden="false" customHeight="false" outlineLevel="0" collapsed="false">
      <c r="A319" s="10" t="s">
        <v>267</v>
      </c>
      <c r="B319" s="10" t="s">
        <v>133</v>
      </c>
      <c r="C319" s="10" t="s">
        <v>427</v>
      </c>
      <c r="D319" s="10" t="s">
        <v>618</v>
      </c>
    </row>
    <row r="320" customFormat="false" ht="23.85" hidden="false" customHeight="false" outlineLevel="0" collapsed="false">
      <c r="A320" s="10" t="s">
        <v>267</v>
      </c>
      <c r="B320" s="10" t="s">
        <v>133</v>
      </c>
      <c r="C320" s="10" t="s">
        <v>427</v>
      </c>
      <c r="D320" s="10" t="s">
        <v>619</v>
      </c>
    </row>
    <row r="321" customFormat="false" ht="15" hidden="false" customHeight="false" outlineLevel="0" collapsed="false">
      <c r="A321" s="10" t="s">
        <v>267</v>
      </c>
      <c r="B321" s="10" t="s">
        <v>133</v>
      </c>
      <c r="C321" s="10" t="s">
        <v>427</v>
      </c>
      <c r="D321" s="10" t="s">
        <v>620</v>
      </c>
    </row>
    <row r="322" customFormat="false" ht="23.85" hidden="false" customHeight="false" outlineLevel="0" collapsed="false">
      <c r="A322" s="10" t="s">
        <v>267</v>
      </c>
      <c r="B322" s="10" t="s">
        <v>150</v>
      </c>
      <c r="C322" s="10" t="s">
        <v>427</v>
      </c>
      <c r="D322" s="10" t="s">
        <v>239</v>
      </c>
    </row>
    <row r="323" customFormat="false" ht="23.85" hidden="false" customHeight="false" outlineLevel="0" collapsed="false">
      <c r="A323" s="10" t="s">
        <v>267</v>
      </c>
      <c r="B323" s="10" t="s">
        <v>116</v>
      </c>
      <c r="C323" s="10" t="s">
        <v>427</v>
      </c>
      <c r="D323" s="10" t="s">
        <v>605</v>
      </c>
    </row>
    <row r="324" customFormat="false" ht="23.85" hidden="false" customHeight="false" outlineLevel="0" collapsed="false">
      <c r="A324" s="10" t="s">
        <v>267</v>
      </c>
      <c r="B324" s="10" t="s">
        <v>86</v>
      </c>
      <c r="C324" s="10" t="s">
        <v>427</v>
      </c>
      <c r="D324" s="10" t="s">
        <v>621</v>
      </c>
    </row>
    <row r="325" customFormat="false" ht="15" hidden="false" customHeight="false" outlineLevel="0" collapsed="false">
      <c r="A325" s="10" t="s">
        <v>267</v>
      </c>
      <c r="B325" s="10" t="s">
        <v>71</v>
      </c>
      <c r="C325" s="10" t="s">
        <v>427</v>
      </c>
      <c r="D325" s="10" t="s">
        <v>622</v>
      </c>
    </row>
    <row r="326" customFormat="false" ht="35.05" hidden="false" customHeight="false" outlineLevel="0" collapsed="false">
      <c r="A326" s="10" t="s">
        <v>267</v>
      </c>
      <c r="B326" s="10" t="s">
        <v>71</v>
      </c>
      <c r="C326" s="10" t="s">
        <v>427</v>
      </c>
      <c r="D326" s="10" t="s">
        <v>623</v>
      </c>
    </row>
    <row r="327" customFormat="false" ht="15" hidden="false" customHeight="false" outlineLevel="0" collapsed="false">
      <c r="A327" s="10" t="s">
        <v>267</v>
      </c>
      <c r="B327" s="10" t="s">
        <v>71</v>
      </c>
      <c r="C327" s="10" t="s">
        <v>427</v>
      </c>
      <c r="D327" s="10" t="s">
        <v>624</v>
      </c>
    </row>
    <row r="328" customFormat="false" ht="46.25" hidden="false" customHeight="false" outlineLevel="0" collapsed="false">
      <c r="A328" s="10" t="s">
        <v>267</v>
      </c>
      <c r="B328" s="10" t="s">
        <v>71</v>
      </c>
      <c r="C328" s="10" t="s">
        <v>427</v>
      </c>
      <c r="D328" s="10" t="s">
        <v>263</v>
      </c>
    </row>
    <row r="329" customFormat="false" ht="35.05" hidden="false" customHeight="false" outlineLevel="0" collapsed="false">
      <c r="A329" s="10" t="s">
        <v>267</v>
      </c>
      <c r="B329" s="10" t="s">
        <v>71</v>
      </c>
      <c r="C329" s="10" t="s">
        <v>427</v>
      </c>
      <c r="D329" s="10" t="s">
        <v>625</v>
      </c>
    </row>
    <row r="330" customFormat="false" ht="15" hidden="false" customHeight="false" outlineLevel="0" collapsed="false">
      <c r="A330" s="10" t="s">
        <v>267</v>
      </c>
      <c r="B330" s="10" t="s">
        <v>71</v>
      </c>
      <c r="C330" s="10" t="s">
        <v>427</v>
      </c>
      <c r="D330" s="10" t="s">
        <v>626</v>
      </c>
    </row>
    <row r="331" customFormat="false" ht="23.85" hidden="false" customHeight="false" outlineLevel="0" collapsed="false">
      <c r="A331" s="10" t="s">
        <v>267</v>
      </c>
      <c r="B331" s="10" t="s">
        <v>71</v>
      </c>
      <c r="C331" s="10" t="s">
        <v>427</v>
      </c>
      <c r="D331" s="10" t="s">
        <v>455</v>
      </c>
    </row>
    <row r="332" customFormat="false" ht="23.85" hidden="false" customHeight="false" outlineLevel="0" collapsed="false">
      <c r="A332" s="10" t="s">
        <v>267</v>
      </c>
      <c r="B332" s="10" t="s">
        <v>71</v>
      </c>
      <c r="C332" s="10" t="s">
        <v>427</v>
      </c>
      <c r="D332" s="10" t="s">
        <v>627</v>
      </c>
    </row>
    <row r="333" customFormat="false" ht="35.05" hidden="false" customHeight="false" outlineLevel="0" collapsed="false">
      <c r="A333" s="10" t="s">
        <v>267</v>
      </c>
      <c r="B333" s="10" t="s">
        <v>71</v>
      </c>
      <c r="C333" s="10" t="s">
        <v>427</v>
      </c>
      <c r="D333" s="10" t="s">
        <v>260</v>
      </c>
    </row>
    <row r="334" customFormat="false" ht="23.85" hidden="false" customHeight="false" outlineLevel="0" collapsed="false">
      <c r="A334" s="10" t="s">
        <v>267</v>
      </c>
      <c r="B334" s="10" t="s">
        <v>71</v>
      </c>
      <c r="C334" s="10" t="s">
        <v>427</v>
      </c>
      <c r="D334" s="10" t="s">
        <v>269</v>
      </c>
    </row>
    <row r="335" customFormat="false" ht="79.85" hidden="false" customHeight="false" outlineLevel="0" collapsed="false">
      <c r="A335" s="10" t="s">
        <v>267</v>
      </c>
      <c r="B335" s="10" t="s">
        <v>71</v>
      </c>
      <c r="C335" s="10" t="s">
        <v>628</v>
      </c>
      <c r="D335" s="10" t="s">
        <v>629</v>
      </c>
    </row>
    <row r="336" customFormat="false" ht="35.05" hidden="false" customHeight="false" outlineLevel="0" collapsed="false">
      <c r="A336" s="10" t="s">
        <v>267</v>
      </c>
      <c r="B336" s="10" t="s">
        <v>71</v>
      </c>
      <c r="C336" s="10" t="s">
        <v>599</v>
      </c>
      <c r="D336" s="10" t="s">
        <v>600</v>
      </c>
    </row>
    <row r="337" customFormat="false" ht="23.85" hidden="false" customHeight="false" outlineLevel="0" collapsed="false">
      <c r="A337" s="10" t="s">
        <v>376</v>
      </c>
      <c r="B337" s="10" t="s">
        <v>57</v>
      </c>
      <c r="C337" s="10" t="s">
        <v>427</v>
      </c>
      <c r="D337" s="10" t="s">
        <v>630</v>
      </c>
    </row>
    <row r="338" customFormat="false" ht="15" hidden="false" customHeight="false" outlineLevel="0" collapsed="false">
      <c r="A338" s="10" t="s">
        <v>376</v>
      </c>
      <c r="B338" s="10" t="s">
        <v>57</v>
      </c>
      <c r="C338" s="10" t="s">
        <v>427</v>
      </c>
      <c r="D338" s="10" t="s">
        <v>485</v>
      </c>
    </row>
    <row r="339" customFormat="false" ht="15" hidden="false" customHeight="false" outlineLevel="0" collapsed="false">
      <c r="A339" s="10" t="s">
        <v>376</v>
      </c>
      <c r="B339" s="10" t="s">
        <v>76</v>
      </c>
      <c r="C339" s="10" t="s">
        <v>427</v>
      </c>
      <c r="D339" s="10" t="s">
        <v>631</v>
      </c>
    </row>
    <row r="340" customFormat="false" ht="23.85" hidden="false" customHeight="false" outlineLevel="0" collapsed="false">
      <c r="A340" s="10" t="s">
        <v>376</v>
      </c>
      <c r="B340" s="10" t="s">
        <v>76</v>
      </c>
      <c r="C340" s="10" t="s">
        <v>427</v>
      </c>
      <c r="D340" s="10" t="s">
        <v>632</v>
      </c>
    </row>
    <row r="341" customFormat="false" ht="15" hidden="false" customHeight="false" outlineLevel="0" collapsed="false">
      <c r="A341" s="10" t="s">
        <v>376</v>
      </c>
      <c r="B341" s="10" t="s">
        <v>90</v>
      </c>
      <c r="C341" s="10" t="s">
        <v>427</v>
      </c>
      <c r="D341" s="10" t="s">
        <v>431</v>
      </c>
    </row>
    <row r="342" customFormat="false" ht="23.85" hidden="false" customHeight="false" outlineLevel="0" collapsed="false">
      <c r="A342" s="10" t="s">
        <v>376</v>
      </c>
      <c r="B342" s="10" t="s">
        <v>90</v>
      </c>
      <c r="C342" s="10" t="s">
        <v>427</v>
      </c>
      <c r="D342" s="10" t="s">
        <v>633</v>
      </c>
    </row>
    <row r="343" customFormat="false" ht="35.05" hidden="false" customHeight="false" outlineLevel="0" collapsed="false">
      <c r="A343" s="10" t="s">
        <v>376</v>
      </c>
      <c r="B343" s="10" t="s">
        <v>90</v>
      </c>
      <c r="C343" s="10" t="s">
        <v>427</v>
      </c>
      <c r="D343" s="10" t="s">
        <v>634</v>
      </c>
    </row>
    <row r="344" customFormat="false" ht="46.25" hidden="false" customHeight="false" outlineLevel="0" collapsed="false">
      <c r="A344" s="10" t="s">
        <v>376</v>
      </c>
      <c r="B344" s="10" t="s">
        <v>147</v>
      </c>
      <c r="C344" s="10" t="s">
        <v>427</v>
      </c>
      <c r="D344" s="10" t="s">
        <v>522</v>
      </c>
    </row>
    <row r="345" customFormat="false" ht="23.85" hidden="false" customHeight="false" outlineLevel="0" collapsed="false">
      <c r="A345" s="10" t="s">
        <v>376</v>
      </c>
      <c r="B345" s="10" t="s">
        <v>147</v>
      </c>
      <c r="C345" s="10" t="s">
        <v>427</v>
      </c>
      <c r="D345" s="10" t="s">
        <v>523</v>
      </c>
    </row>
    <row r="346" customFormat="false" ht="35.05" hidden="false" customHeight="false" outlineLevel="0" collapsed="false">
      <c r="A346" s="10" t="s">
        <v>376</v>
      </c>
      <c r="B346" s="10" t="s">
        <v>147</v>
      </c>
      <c r="C346" s="10" t="s">
        <v>427</v>
      </c>
      <c r="D346" s="10" t="s">
        <v>524</v>
      </c>
    </row>
    <row r="347" customFormat="false" ht="15" hidden="false" customHeight="false" outlineLevel="0" collapsed="false">
      <c r="A347" s="10" t="s">
        <v>376</v>
      </c>
      <c r="B347" s="10" t="s">
        <v>183</v>
      </c>
      <c r="C347" s="10" t="s">
        <v>427</v>
      </c>
      <c r="D347" s="10" t="s">
        <v>635</v>
      </c>
    </row>
    <row r="348" customFormat="false" ht="15" hidden="false" customHeight="false" outlineLevel="0" collapsed="false">
      <c r="A348" s="10" t="s">
        <v>376</v>
      </c>
      <c r="B348" s="10" t="s">
        <v>183</v>
      </c>
      <c r="C348" s="10" t="s">
        <v>427</v>
      </c>
      <c r="D348" s="10" t="s">
        <v>636</v>
      </c>
    </row>
    <row r="349" customFormat="false" ht="23.85" hidden="false" customHeight="false" outlineLevel="0" collapsed="false">
      <c r="A349" s="10" t="s">
        <v>376</v>
      </c>
      <c r="B349" s="10" t="s">
        <v>183</v>
      </c>
      <c r="C349" s="10" t="s">
        <v>427</v>
      </c>
      <c r="D349" s="10" t="s">
        <v>637</v>
      </c>
    </row>
    <row r="350" customFormat="false" ht="35.05" hidden="false" customHeight="false" outlineLevel="0" collapsed="false">
      <c r="A350" s="10" t="s">
        <v>376</v>
      </c>
      <c r="B350" s="10" t="s">
        <v>183</v>
      </c>
      <c r="C350" s="10" t="s">
        <v>427</v>
      </c>
      <c r="D350" s="10" t="s">
        <v>387</v>
      </c>
    </row>
    <row r="351" customFormat="false" ht="46.25" hidden="false" customHeight="false" outlineLevel="0" collapsed="false">
      <c r="A351" s="10" t="s">
        <v>376</v>
      </c>
      <c r="B351" s="10" t="s">
        <v>58</v>
      </c>
      <c r="C351" s="10" t="s">
        <v>427</v>
      </c>
      <c r="D351" s="10" t="s">
        <v>226</v>
      </c>
    </row>
    <row r="352" customFormat="false" ht="23.85" hidden="false" customHeight="false" outlineLevel="0" collapsed="false">
      <c r="A352" s="10" t="s">
        <v>320</v>
      </c>
      <c r="B352" s="10" t="s">
        <v>57</v>
      </c>
      <c r="C352" s="10" t="s">
        <v>427</v>
      </c>
      <c r="D352" s="10" t="s">
        <v>638</v>
      </c>
    </row>
    <row r="353" customFormat="false" ht="23.85" hidden="false" customHeight="false" outlineLevel="0" collapsed="false">
      <c r="A353" s="10" t="s">
        <v>320</v>
      </c>
      <c r="B353" s="10" t="s">
        <v>57</v>
      </c>
      <c r="C353" s="10" t="s">
        <v>427</v>
      </c>
      <c r="D353" s="10" t="s">
        <v>630</v>
      </c>
    </row>
    <row r="354" customFormat="false" ht="68.65" hidden="false" customHeight="false" outlineLevel="0" collapsed="false">
      <c r="A354" s="10" t="s">
        <v>320</v>
      </c>
      <c r="B354" s="10" t="s">
        <v>90</v>
      </c>
      <c r="C354" s="10" t="s">
        <v>427</v>
      </c>
      <c r="D354" s="10" t="s">
        <v>639</v>
      </c>
    </row>
    <row r="355" customFormat="false" ht="46.25" hidden="false" customHeight="false" outlineLevel="0" collapsed="false">
      <c r="A355" s="10" t="s">
        <v>320</v>
      </c>
      <c r="B355" s="10" t="s">
        <v>83</v>
      </c>
      <c r="C355" s="10" t="s">
        <v>427</v>
      </c>
      <c r="D355" s="10" t="s">
        <v>640</v>
      </c>
    </row>
    <row r="356" customFormat="false" ht="23.85" hidden="false" customHeight="false" outlineLevel="0" collapsed="false">
      <c r="A356" s="10" t="s">
        <v>320</v>
      </c>
      <c r="B356" s="10" t="s">
        <v>183</v>
      </c>
      <c r="C356" s="10" t="s">
        <v>427</v>
      </c>
      <c r="D356" s="10" t="s">
        <v>434</v>
      </c>
    </row>
    <row r="357" customFormat="false" ht="15" hidden="false" customHeight="false" outlineLevel="0" collapsed="false">
      <c r="A357" s="10" t="s">
        <v>320</v>
      </c>
      <c r="B357" s="10" t="s">
        <v>183</v>
      </c>
      <c r="C357" s="10" t="s">
        <v>427</v>
      </c>
      <c r="D357" s="10" t="s">
        <v>530</v>
      </c>
    </row>
    <row r="358" customFormat="false" ht="57.45" hidden="false" customHeight="false" outlineLevel="0" collapsed="false">
      <c r="A358" s="10" t="s">
        <v>320</v>
      </c>
      <c r="B358" s="10" t="s">
        <v>183</v>
      </c>
      <c r="C358" s="10" t="s">
        <v>427</v>
      </c>
      <c r="D358" s="10" t="s">
        <v>409</v>
      </c>
    </row>
    <row r="359" customFormat="false" ht="35.05" hidden="false" customHeight="false" outlineLevel="0" collapsed="false">
      <c r="A359" s="10" t="s">
        <v>320</v>
      </c>
      <c r="B359" s="10" t="s">
        <v>116</v>
      </c>
      <c r="C359" s="10" t="s">
        <v>427</v>
      </c>
      <c r="D359" s="10" t="s">
        <v>127</v>
      </c>
    </row>
    <row r="360" customFormat="false" ht="35.05" hidden="false" customHeight="false" outlineLevel="0" collapsed="false">
      <c r="A360" s="10" t="s">
        <v>320</v>
      </c>
      <c r="B360" s="10" t="s">
        <v>71</v>
      </c>
      <c r="C360" s="10" t="s">
        <v>427</v>
      </c>
      <c r="D360" s="10" t="s">
        <v>317</v>
      </c>
    </row>
    <row r="361" customFormat="false" ht="23.85" hidden="false" customHeight="false" outlineLevel="0" collapsed="false">
      <c r="A361" s="10" t="s">
        <v>270</v>
      </c>
      <c r="B361" s="10" t="s">
        <v>259</v>
      </c>
      <c r="C361" s="10" t="s">
        <v>427</v>
      </c>
      <c r="D361" s="10" t="s">
        <v>275</v>
      </c>
    </row>
    <row r="362" customFormat="false" ht="23.85" hidden="false" customHeight="false" outlineLevel="0" collapsed="false">
      <c r="A362" s="10" t="s">
        <v>270</v>
      </c>
      <c r="B362" s="10" t="s">
        <v>71</v>
      </c>
      <c r="C362" s="10" t="s">
        <v>427</v>
      </c>
      <c r="D362" s="10" t="s">
        <v>641</v>
      </c>
    </row>
    <row r="363" customFormat="false" ht="15" hidden="false" customHeight="false" outlineLevel="0" collapsed="false">
      <c r="A363" s="10" t="s">
        <v>270</v>
      </c>
      <c r="B363" s="10" t="s">
        <v>71</v>
      </c>
      <c r="C363" s="10" t="s">
        <v>427</v>
      </c>
      <c r="D363" s="10" t="s">
        <v>642</v>
      </c>
    </row>
    <row r="364" customFormat="false" ht="15" hidden="false" customHeight="false" outlineLevel="0" collapsed="false">
      <c r="A364" s="10" t="s">
        <v>270</v>
      </c>
      <c r="B364" s="10" t="s">
        <v>71</v>
      </c>
      <c r="C364" s="10" t="s">
        <v>427</v>
      </c>
      <c r="D364" s="10" t="s">
        <v>643</v>
      </c>
    </row>
    <row r="365" customFormat="false" ht="23.85" hidden="false" customHeight="false" outlineLevel="0" collapsed="false">
      <c r="A365" s="10" t="s">
        <v>270</v>
      </c>
      <c r="B365" s="10" t="s">
        <v>71</v>
      </c>
      <c r="C365" s="10" t="s">
        <v>427</v>
      </c>
      <c r="D365" s="10" t="s">
        <v>644</v>
      </c>
    </row>
    <row r="366" customFormat="false" ht="35.05" hidden="false" customHeight="false" outlineLevel="0" collapsed="false">
      <c r="A366" s="10" t="s">
        <v>270</v>
      </c>
      <c r="B366" s="10" t="s">
        <v>71</v>
      </c>
      <c r="C366" s="10" t="s">
        <v>427</v>
      </c>
      <c r="D366" s="10" t="s">
        <v>645</v>
      </c>
    </row>
    <row r="367" customFormat="false" ht="57.45" hidden="false" customHeight="false" outlineLevel="0" collapsed="false">
      <c r="A367" s="10" t="s">
        <v>270</v>
      </c>
      <c r="B367" s="10" t="s">
        <v>71</v>
      </c>
      <c r="C367" s="10" t="s">
        <v>427</v>
      </c>
      <c r="D367" s="10" t="s">
        <v>646</v>
      </c>
    </row>
    <row r="368" customFormat="false" ht="23.85" hidden="false" customHeight="false" outlineLevel="0" collapsed="false">
      <c r="A368" s="10" t="s">
        <v>270</v>
      </c>
      <c r="B368" s="10" t="s">
        <v>71</v>
      </c>
      <c r="C368" s="10" t="s">
        <v>427</v>
      </c>
      <c r="D368" s="10" t="s">
        <v>647</v>
      </c>
    </row>
    <row r="369" customFormat="false" ht="23.85" hidden="false" customHeight="false" outlineLevel="0" collapsed="false">
      <c r="A369" s="10" t="s">
        <v>270</v>
      </c>
      <c r="B369" s="10" t="s">
        <v>71</v>
      </c>
      <c r="C369" s="10" t="s">
        <v>427</v>
      </c>
      <c r="D369" s="10" t="s">
        <v>648</v>
      </c>
    </row>
    <row r="370" customFormat="false" ht="35.05" hidden="false" customHeight="false" outlineLevel="0" collapsed="false">
      <c r="A370" s="10" t="s">
        <v>270</v>
      </c>
      <c r="B370" s="10" t="s">
        <v>71</v>
      </c>
      <c r="C370" s="10" t="s">
        <v>427</v>
      </c>
      <c r="D370" s="10" t="s">
        <v>272</v>
      </c>
    </row>
    <row r="371" customFormat="false" ht="135.8" hidden="false" customHeight="false" outlineLevel="0" collapsed="false">
      <c r="A371" s="10" t="s">
        <v>270</v>
      </c>
      <c r="B371" s="10" t="s">
        <v>71</v>
      </c>
      <c r="C371" s="10" t="s">
        <v>480</v>
      </c>
      <c r="D371" s="10" t="s">
        <v>481</v>
      </c>
    </row>
    <row r="372" customFormat="false" ht="23.85" hidden="false" customHeight="false" outlineLevel="0" collapsed="false">
      <c r="A372" s="10" t="s">
        <v>322</v>
      </c>
      <c r="B372" s="10" t="s">
        <v>76</v>
      </c>
      <c r="C372" s="10" t="s">
        <v>427</v>
      </c>
      <c r="D372" s="10" t="s">
        <v>649</v>
      </c>
    </row>
    <row r="373" customFormat="false" ht="23.85" hidden="false" customHeight="false" outlineLevel="0" collapsed="false">
      <c r="A373" s="10" t="s">
        <v>322</v>
      </c>
      <c r="B373" s="10" t="s">
        <v>183</v>
      </c>
      <c r="C373" s="10" t="s">
        <v>427</v>
      </c>
      <c r="D373" s="10" t="s">
        <v>650</v>
      </c>
    </row>
    <row r="374" customFormat="false" ht="15" hidden="false" customHeight="false" outlineLevel="0" collapsed="false">
      <c r="A374" s="10" t="s">
        <v>322</v>
      </c>
      <c r="B374" s="10" t="s">
        <v>183</v>
      </c>
      <c r="C374" s="10" t="s">
        <v>427</v>
      </c>
      <c r="D374" s="10" t="s">
        <v>651</v>
      </c>
    </row>
    <row r="375" customFormat="false" ht="23.85" hidden="false" customHeight="false" outlineLevel="0" collapsed="false">
      <c r="A375" s="10" t="s">
        <v>322</v>
      </c>
      <c r="B375" s="10" t="s">
        <v>183</v>
      </c>
      <c r="C375" s="10" t="s">
        <v>427</v>
      </c>
      <c r="D375" s="10" t="s">
        <v>652</v>
      </c>
    </row>
    <row r="376" customFormat="false" ht="35.05" hidden="false" customHeight="false" outlineLevel="0" collapsed="false">
      <c r="A376" s="10" t="s">
        <v>322</v>
      </c>
      <c r="B376" s="10" t="s">
        <v>183</v>
      </c>
      <c r="C376" s="10" t="s">
        <v>427</v>
      </c>
      <c r="D376" s="10" t="s">
        <v>653</v>
      </c>
    </row>
    <row r="377" customFormat="false" ht="46.25" hidden="false" customHeight="false" outlineLevel="0" collapsed="false">
      <c r="A377" s="10" t="s">
        <v>322</v>
      </c>
      <c r="B377" s="10" t="s">
        <v>183</v>
      </c>
      <c r="C377" s="10" t="s">
        <v>427</v>
      </c>
      <c r="D377" s="10" t="s">
        <v>654</v>
      </c>
    </row>
    <row r="378" customFormat="false" ht="23.85" hidden="false" customHeight="false" outlineLevel="0" collapsed="false">
      <c r="A378" s="10" t="s">
        <v>322</v>
      </c>
      <c r="B378" s="10" t="s">
        <v>183</v>
      </c>
      <c r="C378" s="10" t="s">
        <v>427</v>
      </c>
      <c r="D378" s="10" t="s">
        <v>655</v>
      </c>
    </row>
    <row r="379" customFormat="false" ht="23.85" hidden="false" customHeight="false" outlineLevel="0" collapsed="false">
      <c r="A379" s="10" t="s">
        <v>322</v>
      </c>
      <c r="B379" s="10" t="s">
        <v>116</v>
      </c>
      <c r="C379" s="10" t="s">
        <v>427</v>
      </c>
      <c r="D379" s="10" t="s">
        <v>326</v>
      </c>
    </row>
    <row r="380" customFormat="false" ht="23.85" hidden="false" customHeight="false" outlineLevel="0" collapsed="false">
      <c r="A380" s="10" t="s">
        <v>322</v>
      </c>
      <c r="B380" s="10" t="s">
        <v>134</v>
      </c>
      <c r="C380" s="10" t="s">
        <v>427</v>
      </c>
      <c r="D380" s="10" t="s">
        <v>135</v>
      </c>
    </row>
    <row r="381" customFormat="false" ht="35.05" hidden="false" customHeight="false" outlineLevel="0" collapsed="false">
      <c r="A381" s="10" t="s">
        <v>322</v>
      </c>
      <c r="B381" s="10" t="s">
        <v>134</v>
      </c>
      <c r="C381" s="10" t="s">
        <v>427</v>
      </c>
      <c r="D381" s="10" t="s">
        <v>468</v>
      </c>
    </row>
    <row r="382" customFormat="false" ht="23.85" hidden="false" customHeight="false" outlineLevel="0" collapsed="false">
      <c r="A382" s="10" t="s">
        <v>322</v>
      </c>
      <c r="B382" s="10" t="s">
        <v>86</v>
      </c>
      <c r="C382" s="10" t="s">
        <v>427</v>
      </c>
      <c r="D382" s="10" t="s">
        <v>437</v>
      </c>
    </row>
    <row r="383" customFormat="false" ht="23.85" hidden="false" customHeight="false" outlineLevel="0" collapsed="false">
      <c r="A383" s="10" t="s">
        <v>322</v>
      </c>
      <c r="B383" s="10" t="s">
        <v>86</v>
      </c>
      <c r="C383" s="10" t="s">
        <v>469</v>
      </c>
      <c r="D383" s="10" t="s">
        <v>470</v>
      </c>
    </row>
    <row r="384" customFormat="false" ht="23.85" hidden="false" customHeight="false" outlineLevel="0" collapsed="false">
      <c r="A384" s="10" t="s">
        <v>322</v>
      </c>
      <c r="B384" s="10" t="s">
        <v>71</v>
      </c>
      <c r="C384" s="10" t="s">
        <v>427</v>
      </c>
      <c r="D384" s="10" t="s">
        <v>104</v>
      </c>
    </row>
    <row r="385" customFormat="false" ht="68.65" hidden="false" customHeight="false" outlineLevel="0" collapsed="false">
      <c r="A385" s="10" t="s">
        <v>181</v>
      </c>
      <c r="B385" s="10" t="s">
        <v>183</v>
      </c>
      <c r="C385" s="10" t="s">
        <v>427</v>
      </c>
      <c r="D385" s="10" t="s">
        <v>184</v>
      </c>
    </row>
    <row r="386" customFormat="false" ht="23.85" hidden="false" customHeight="false" outlineLevel="0" collapsed="false">
      <c r="A386" s="10" t="s">
        <v>185</v>
      </c>
      <c r="B386" s="10" t="s">
        <v>76</v>
      </c>
      <c r="C386" s="10" t="s">
        <v>427</v>
      </c>
      <c r="D386" s="10" t="s">
        <v>541</v>
      </c>
    </row>
    <row r="387" customFormat="false" ht="23.85" hidden="false" customHeight="false" outlineLevel="0" collapsed="false">
      <c r="A387" s="10" t="s">
        <v>185</v>
      </c>
      <c r="B387" s="10" t="s">
        <v>76</v>
      </c>
      <c r="C387" s="10" t="s">
        <v>427</v>
      </c>
      <c r="D387" s="10" t="s">
        <v>656</v>
      </c>
    </row>
    <row r="388" customFormat="false" ht="46.25" hidden="false" customHeight="false" outlineLevel="0" collapsed="false">
      <c r="A388" s="10" t="s">
        <v>185</v>
      </c>
      <c r="B388" s="10" t="s">
        <v>183</v>
      </c>
      <c r="C388" s="10" t="s">
        <v>427</v>
      </c>
      <c r="D388" s="10" t="s">
        <v>657</v>
      </c>
    </row>
    <row r="389" customFormat="false" ht="23.85" hidden="false" customHeight="false" outlineLevel="0" collapsed="false">
      <c r="A389" s="10" t="s">
        <v>185</v>
      </c>
      <c r="B389" s="10" t="s">
        <v>116</v>
      </c>
      <c r="C389" s="10" t="s">
        <v>427</v>
      </c>
      <c r="D389" s="10" t="s">
        <v>292</v>
      </c>
    </row>
    <row r="390" customFormat="false" ht="35.05" hidden="false" customHeight="false" outlineLevel="0" collapsed="false">
      <c r="A390" s="10" t="s">
        <v>185</v>
      </c>
      <c r="B390" s="10" t="s">
        <v>134</v>
      </c>
      <c r="C390" s="10" t="s">
        <v>427</v>
      </c>
      <c r="D390" s="10" t="s">
        <v>658</v>
      </c>
    </row>
    <row r="391" customFormat="false" ht="23.85" hidden="false" customHeight="false" outlineLevel="0" collapsed="false">
      <c r="A391" s="10" t="s">
        <v>185</v>
      </c>
      <c r="B391" s="10" t="s">
        <v>134</v>
      </c>
      <c r="C391" s="10" t="s">
        <v>555</v>
      </c>
      <c r="D391" s="10" t="s">
        <v>556</v>
      </c>
    </row>
    <row r="392" customFormat="false" ht="23.85" hidden="false" customHeight="false" outlineLevel="0" collapsed="false">
      <c r="A392" s="10" t="s">
        <v>185</v>
      </c>
      <c r="B392" s="10" t="s">
        <v>86</v>
      </c>
      <c r="C392" s="10" t="s">
        <v>427</v>
      </c>
      <c r="D392" s="10" t="s">
        <v>187</v>
      </c>
    </row>
    <row r="393" customFormat="false" ht="15" hidden="false" customHeight="false" outlineLevel="0" collapsed="false">
      <c r="A393" s="10" t="s">
        <v>410</v>
      </c>
      <c r="B393" s="10" t="s">
        <v>90</v>
      </c>
      <c r="C393" s="10" t="s">
        <v>427</v>
      </c>
      <c r="D393" s="10" t="s">
        <v>659</v>
      </c>
    </row>
    <row r="394" customFormat="false" ht="23.85" hidden="false" customHeight="false" outlineLevel="0" collapsed="false">
      <c r="A394" s="10" t="s">
        <v>410</v>
      </c>
      <c r="B394" s="10" t="s">
        <v>133</v>
      </c>
      <c r="C394" s="10" t="s">
        <v>427</v>
      </c>
      <c r="D394" s="10" t="s">
        <v>562</v>
      </c>
    </row>
    <row r="395" customFormat="false" ht="35.05" hidden="false" customHeight="false" outlineLevel="0" collapsed="false">
      <c r="A395" s="10" t="s">
        <v>410</v>
      </c>
      <c r="B395" s="10" t="s">
        <v>133</v>
      </c>
      <c r="C395" s="10" t="s">
        <v>427</v>
      </c>
      <c r="D395" s="10" t="s">
        <v>563</v>
      </c>
    </row>
    <row r="396" customFormat="false" ht="23.85" hidden="false" customHeight="false" outlineLevel="0" collapsed="false">
      <c r="A396" s="10" t="s">
        <v>410</v>
      </c>
      <c r="B396" s="10" t="s">
        <v>116</v>
      </c>
      <c r="C396" s="10" t="s">
        <v>427</v>
      </c>
      <c r="D396" s="10" t="s">
        <v>660</v>
      </c>
    </row>
    <row r="397" customFormat="false" ht="23.85" hidden="false" customHeight="false" outlineLevel="0" collapsed="false">
      <c r="A397" s="10" t="s">
        <v>410</v>
      </c>
      <c r="B397" s="10" t="s">
        <v>116</v>
      </c>
      <c r="C397" s="10" t="s">
        <v>427</v>
      </c>
      <c r="D397" s="10" t="s">
        <v>661</v>
      </c>
    </row>
    <row r="398" customFormat="false" ht="15" hidden="false" customHeight="false" outlineLevel="0" collapsed="false">
      <c r="A398" s="10" t="s">
        <v>410</v>
      </c>
      <c r="B398" s="10" t="s">
        <v>134</v>
      </c>
      <c r="C398" s="10" t="s">
        <v>427</v>
      </c>
      <c r="D398" s="10" t="s">
        <v>589</v>
      </c>
    </row>
    <row r="399" customFormat="false" ht="23.85" hidden="false" customHeight="false" outlineLevel="0" collapsed="false">
      <c r="A399" s="10" t="s">
        <v>410</v>
      </c>
      <c r="B399" s="10" t="s">
        <v>58</v>
      </c>
      <c r="C399" s="10" t="s">
        <v>427</v>
      </c>
      <c r="D399" s="10" t="s">
        <v>662</v>
      </c>
    </row>
    <row r="400" customFormat="false" ht="35.05" hidden="false" customHeight="false" outlineLevel="0" collapsed="false">
      <c r="A400" s="10" t="s">
        <v>410</v>
      </c>
      <c r="B400" s="10" t="s">
        <v>56</v>
      </c>
      <c r="C400" s="10" t="s">
        <v>427</v>
      </c>
      <c r="D400" s="10" t="s">
        <v>413</v>
      </c>
    </row>
    <row r="401" customFormat="false" ht="23.85" hidden="false" customHeight="false" outlineLevel="0" collapsed="false">
      <c r="A401" s="10" t="s">
        <v>345</v>
      </c>
      <c r="B401" s="10" t="s">
        <v>183</v>
      </c>
      <c r="C401" s="10" t="s">
        <v>427</v>
      </c>
      <c r="D401" s="10" t="s">
        <v>663</v>
      </c>
    </row>
    <row r="402" customFormat="false" ht="15" hidden="false" customHeight="false" outlineLevel="0" collapsed="false">
      <c r="A402" s="10" t="s">
        <v>345</v>
      </c>
      <c r="B402" s="10" t="s">
        <v>183</v>
      </c>
      <c r="C402" s="10" t="s">
        <v>427</v>
      </c>
      <c r="D402" s="10" t="s">
        <v>664</v>
      </c>
    </row>
    <row r="403" customFormat="false" ht="23.85" hidden="false" customHeight="false" outlineLevel="0" collapsed="false">
      <c r="A403" s="10" t="s">
        <v>345</v>
      </c>
      <c r="B403" s="10" t="s">
        <v>133</v>
      </c>
      <c r="C403" s="10" t="s">
        <v>427</v>
      </c>
      <c r="D403" s="10" t="s">
        <v>347</v>
      </c>
    </row>
    <row r="404" customFormat="false" ht="15" hidden="false" customHeight="false" outlineLevel="0" collapsed="false">
      <c r="A404" s="10" t="s">
        <v>188</v>
      </c>
      <c r="B404" s="10" t="s">
        <v>71</v>
      </c>
      <c r="C404" s="10" t="s">
        <v>427</v>
      </c>
      <c r="D404" s="10" t="s">
        <v>665</v>
      </c>
    </row>
    <row r="405" customFormat="false" ht="15" hidden="false" customHeight="false" outlineLevel="0" collapsed="false">
      <c r="A405" s="10" t="s">
        <v>188</v>
      </c>
      <c r="B405" s="10" t="s">
        <v>71</v>
      </c>
      <c r="C405" s="10" t="s">
        <v>427</v>
      </c>
      <c r="D405" s="10" t="s">
        <v>666</v>
      </c>
    </row>
    <row r="406" customFormat="false" ht="15" hidden="false" customHeight="false" outlineLevel="0" collapsed="false">
      <c r="A406" s="10" t="s">
        <v>188</v>
      </c>
      <c r="B406" s="10" t="s">
        <v>71</v>
      </c>
      <c r="C406" s="10" t="s">
        <v>427</v>
      </c>
      <c r="D406" s="10" t="s">
        <v>667</v>
      </c>
    </row>
    <row r="407" customFormat="false" ht="15" hidden="false" customHeight="false" outlineLevel="0" collapsed="false">
      <c r="A407" s="10" t="s">
        <v>188</v>
      </c>
      <c r="B407" s="10" t="s">
        <v>71</v>
      </c>
      <c r="C407" s="10" t="s">
        <v>427</v>
      </c>
      <c r="D407" s="10" t="s">
        <v>190</v>
      </c>
    </row>
    <row r="408" customFormat="false" ht="135.8" hidden="false" customHeight="false" outlineLevel="0" collapsed="false">
      <c r="A408" s="10" t="s">
        <v>188</v>
      </c>
      <c r="B408" s="10" t="s">
        <v>71</v>
      </c>
      <c r="C408" s="10" t="s">
        <v>480</v>
      </c>
      <c r="D408" s="10" t="s">
        <v>481</v>
      </c>
    </row>
    <row r="409" customFormat="false" ht="247.75" hidden="false" customHeight="false" outlineLevel="0" collapsed="false">
      <c r="A409" s="10" t="s">
        <v>188</v>
      </c>
      <c r="B409" s="10" t="s">
        <v>71</v>
      </c>
      <c r="C409" s="10" t="s">
        <v>439</v>
      </c>
      <c r="D409" s="10" t="s">
        <v>440</v>
      </c>
    </row>
    <row r="410" customFormat="false" ht="35.05" hidden="false" customHeight="false" outlineLevel="0" collapsed="false">
      <c r="A410" s="10" t="s">
        <v>160</v>
      </c>
      <c r="B410" s="10" t="s">
        <v>76</v>
      </c>
      <c r="C410" s="10" t="s">
        <v>427</v>
      </c>
      <c r="D410" s="10" t="s">
        <v>668</v>
      </c>
    </row>
    <row r="411" customFormat="false" ht="46.25" hidden="false" customHeight="false" outlineLevel="0" collapsed="false">
      <c r="A411" s="10" t="s">
        <v>160</v>
      </c>
      <c r="B411" s="10" t="s">
        <v>76</v>
      </c>
      <c r="C411" s="10" t="s">
        <v>427</v>
      </c>
      <c r="D411" s="10" t="s">
        <v>669</v>
      </c>
    </row>
    <row r="412" customFormat="false" ht="46.25" hidden="false" customHeight="false" outlineLevel="0" collapsed="false">
      <c r="A412" s="10" t="s">
        <v>160</v>
      </c>
      <c r="B412" s="10" t="s">
        <v>90</v>
      </c>
      <c r="C412" s="10" t="s">
        <v>427</v>
      </c>
      <c r="D412" s="10" t="s">
        <v>164</v>
      </c>
    </row>
    <row r="413" customFormat="false" ht="23.85" hidden="false" customHeight="false" outlineLevel="0" collapsed="false">
      <c r="A413" s="10" t="s">
        <v>160</v>
      </c>
      <c r="B413" s="10" t="s">
        <v>134</v>
      </c>
      <c r="C413" s="10" t="s">
        <v>555</v>
      </c>
      <c r="D413" s="10" t="s">
        <v>556</v>
      </c>
    </row>
    <row r="414" customFormat="false" ht="35.05" hidden="false" customHeight="false" outlineLevel="0" collapsed="false">
      <c r="A414" s="10" t="s">
        <v>160</v>
      </c>
      <c r="B414" s="10" t="s">
        <v>56</v>
      </c>
      <c r="C414" s="10" t="s">
        <v>427</v>
      </c>
      <c r="D414" s="10" t="s">
        <v>68</v>
      </c>
    </row>
    <row r="415" customFormat="false" ht="35.05" hidden="false" customHeight="false" outlineLevel="0" collapsed="false">
      <c r="A415" s="10" t="s">
        <v>160</v>
      </c>
      <c r="B415" s="10" t="s">
        <v>56</v>
      </c>
      <c r="C415" s="10" t="s">
        <v>427</v>
      </c>
      <c r="D415" s="10" t="s">
        <v>438</v>
      </c>
    </row>
    <row r="416" customFormat="false" ht="23.85" hidden="false" customHeight="false" outlineLevel="0" collapsed="false">
      <c r="A416" s="10" t="s">
        <v>160</v>
      </c>
      <c r="B416" s="10" t="s">
        <v>56</v>
      </c>
      <c r="C416" s="10" t="s">
        <v>427</v>
      </c>
      <c r="D416" s="10" t="s">
        <v>80</v>
      </c>
    </row>
    <row r="417" customFormat="false" ht="15" hidden="false" customHeight="false" outlineLevel="0" collapsed="false">
      <c r="A417" s="10" t="s">
        <v>379</v>
      </c>
      <c r="B417" s="10" t="s">
        <v>183</v>
      </c>
      <c r="C417" s="10" t="s">
        <v>427</v>
      </c>
      <c r="D417" s="10" t="s">
        <v>635</v>
      </c>
    </row>
    <row r="418" customFormat="false" ht="15" hidden="false" customHeight="false" outlineLevel="0" collapsed="false">
      <c r="A418" s="10" t="s">
        <v>379</v>
      </c>
      <c r="B418" s="10" t="s">
        <v>183</v>
      </c>
      <c r="C418" s="10" t="s">
        <v>427</v>
      </c>
      <c r="D418" s="10" t="s">
        <v>636</v>
      </c>
    </row>
    <row r="419" customFormat="false" ht="23.85" hidden="false" customHeight="false" outlineLevel="0" collapsed="false">
      <c r="A419" s="10" t="s">
        <v>379</v>
      </c>
      <c r="B419" s="10" t="s">
        <v>183</v>
      </c>
      <c r="C419" s="10" t="s">
        <v>427</v>
      </c>
      <c r="D419" s="10" t="s">
        <v>670</v>
      </c>
    </row>
    <row r="420" customFormat="false" ht="23.85" hidden="false" customHeight="false" outlineLevel="0" collapsed="false">
      <c r="A420" s="10" t="s">
        <v>379</v>
      </c>
      <c r="B420" s="10" t="s">
        <v>183</v>
      </c>
      <c r="C420" s="10" t="s">
        <v>427</v>
      </c>
      <c r="D420" s="10" t="s">
        <v>637</v>
      </c>
    </row>
    <row r="421" customFormat="false" ht="35.05" hidden="false" customHeight="false" outlineLevel="0" collapsed="false">
      <c r="A421" s="10" t="s">
        <v>379</v>
      </c>
      <c r="B421" s="10" t="s">
        <v>183</v>
      </c>
      <c r="C421" s="10" t="s">
        <v>427</v>
      </c>
      <c r="D421" s="10" t="s">
        <v>387</v>
      </c>
    </row>
    <row r="422" customFormat="false" ht="35.05" hidden="false" customHeight="false" outlineLevel="0" collapsed="false">
      <c r="A422" s="10" t="s">
        <v>379</v>
      </c>
      <c r="B422" s="10" t="s">
        <v>134</v>
      </c>
      <c r="C422" s="10" t="s">
        <v>427</v>
      </c>
      <c r="D422" s="10" t="s">
        <v>220</v>
      </c>
    </row>
    <row r="423" customFormat="false" ht="35.05" hidden="false" customHeight="false" outlineLevel="0" collapsed="false">
      <c r="A423" s="10" t="s">
        <v>379</v>
      </c>
      <c r="B423" s="10" t="s">
        <v>86</v>
      </c>
      <c r="C423" s="10" t="s">
        <v>427</v>
      </c>
      <c r="D423" s="10" t="s">
        <v>671</v>
      </c>
    </row>
    <row r="424" customFormat="false" ht="15" hidden="false" customHeight="false" outlineLevel="0" collapsed="false">
      <c r="A424" s="10" t="s">
        <v>379</v>
      </c>
      <c r="B424" s="10" t="s">
        <v>86</v>
      </c>
      <c r="C424" s="10" t="s">
        <v>427</v>
      </c>
      <c r="D424" s="10" t="s">
        <v>672</v>
      </c>
    </row>
    <row r="425" customFormat="false" ht="23.85" hidden="false" customHeight="false" outlineLevel="0" collapsed="false">
      <c r="A425" s="10" t="s">
        <v>379</v>
      </c>
      <c r="B425" s="10" t="s">
        <v>56</v>
      </c>
      <c r="C425" s="10" t="s">
        <v>427</v>
      </c>
      <c r="D425" s="10" t="s">
        <v>673</v>
      </c>
    </row>
    <row r="426" customFormat="false" ht="23.85" hidden="false" customHeight="false" outlineLevel="0" collapsed="false">
      <c r="A426" s="10" t="s">
        <v>379</v>
      </c>
      <c r="B426" s="10" t="s">
        <v>56</v>
      </c>
      <c r="C426" s="10" t="s">
        <v>427</v>
      </c>
      <c r="D426" s="10" t="s">
        <v>381</v>
      </c>
    </row>
    <row r="427" customFormat="false" ht="23.85" hidden="false" customHeight="false" outlineLevel="0" collapsed="false">
      <c r="A427" s="10" t="s">
        <v>414</v>
      </c>
      <c r="B427" s="10" t="s">
        <v>116</v>
      </c>
      <c r="C427" s="10" t="s">
        <v>427</v>
      </c>
      <c r="D427" s="10" t="s">
        <v>605</v>
      </c>
    </row>
    <row r="428" customFormat="false" ht="23.85" hidden="false" customHeight="false" outlineLevel="0" collapsed="false">
      <c r="A428" s="10" t="s">
        <v>414</v>
      </c>
      <c r="B428" s="10" t="s">
        <v>58</v>
      </c>
      <c r="C428" s="10" t="s">
        <v>427</v>
      </c>
      <c r="D428" s="10" t="s">
        <v>662</v>
      </c>
    </row>
    <row r="429" customFormat="false" ht="35.05" hidden="false" customHeight="false" outlineLevel="0" collapsed="false">
      <c r="A429" s="10" t="s">
        <v>414</v>
      </c>
      <c r="B429" s="10" t="s">
        <v>56</v>
      </c>
      <c r="C429" s="10" t="s">
        <v>427</v>
      </c>
      <c r="D429" s="10" t="s">
        <v>413</v>
      </c>
    </row>
    <row r="430" customFormat="false" ht="46.25" hidden="false" customHeight="false" outlineLevel="0" collapsed="false">
      <c r="A430" s="10" t="s">
        <v>414</v>
      </c>
      <c r="B430" s="10" t="s">
        <v>56</v>
      </c>
      <c r="C430" s="10" t="s">
        <v>427</v>
      </c>
      <c r="D430" s="10" t="s">
        <v>674</v>
      </c>
    </row>
    <row r="431" customFormat="false" ht="15" hidden="false" customHeight="false" outlineLevel="0" collapsed="false">
      <c r="A431" s="10" t="s">
        <v>414</v>
      </c>
      <c r="B431" s="10" t="s">
        <v>71</v>
      </c>
      <c r="C431" s="10" t="s">
        <v>427</v>
      </c>
      <c r="D431" s="10" t="s">
        <v>479</v>
      </c>
    </row>
    <row r="432" customFormat="false" ht="35.05" hidden="false" customHeight="false" outlineLevel="0" collapsed="false">
      <c r="A432" s="10" t="s">
        <v>414</v>
      </c>
      <c r="B432" s="10" t="s">
        <v>71</v>
      </c>
      <c r="C432" s="10" t="s">
        <v>427</v>
      </c>
      <c r="D432" s="10" t="s">
        <v>120</v>
      </c>
    </row>
    <row r="433" customFormat="false" ht="35.05" hidden="false" customHeight="false" outlineLevel="0" collapsed="false">
      <c r="A433" s="10" t="s">
        <v>162</v>
      </c>
      <c r="B433" s="10" t="s">
        <v>76</v>
      </c>
      <c r="C433" s="10" t="s">
        <v>427</v>
      </c>
      <c r="D433" s="10" t="s">
        <v>668</v>
      </c>
    </row>
    <row r="434" customFormat="false" ht="46.25" hidden="false" customHeight="false" outlineLevel="0" collapsed="false">
      <c r="A434" s="10" t="s">
        <v>162</v>
      </c>
      <c r="B434" s="10" t="s">
        <v>76</v>
      </c>
      <c r="C434" s="10" t="s">
        <v>427</v>
      </c>
      <c r="D434" s="10" t="s">
        <v>669</v>
      </c>
    </row>
    <row r="435" customFormat="false" ht="46.25" hidden="false" customHeight="false" outlineLevel="0" collapsed="false">
      <c r="A435" s="10" t="s">
        <v>162</v>
      </c>
      <c r="B435" s="10" t="s">
        <v>90</v>
      </c>
      <c r="C435" s="10" t="s">
        <v>427</v>
      </c>
      <c r="D435" s="10" t="s">
        <v>164</v>
      </c>
    </row>
    <row r="436" customFormat="false" ht="23.85" hidden="false" customHeight="false" outlineLevel="0" collapsed="false">
      <c r="A436" s="10" t="s">
        <v>162</v>
      </c>
      <c r="B436" s="10" t="s">
        <v>134</v>
      </c>
      <c r="C436" s="10" t="s">
        <v>555</v>
      </c>
      <c r="D436" s="10" t="s">
        <v>556</v>
      </c>
    </row>
    <row r="437" customFormat="false" ht="23.85" hidden="false" customHeight="false" outlineLevel="0" collapsed="false">
      <c r="A437" s="10" t="s">
        <v>63</v>
      </c>
      <c r="B437" s="10" t="s">
        <v>57</v>
      </c>
      <c r="C437" s="10" t="s">
        <v>427</v>
      </c>
      <c r="D437" s="10" t="s">
        <v>441</v>
      </c>
    </row>
    <row r="438" customFormat="false" ht="35.05" hidden="false" customHeight="false" outlineLevel="0" collapsed="false">
      <c r="A438" s="10" t="s">
        <v>63</v>
      </c>
      <c r="B438" s="10" t="s">
        <v>57</v>
      </c>
      <c r="C438" s="10" t="s">
        <v>427</v>
      </c>
      <c r="D438" s="10" t="s">
        <v>675</v>
      </c>
    </row>
    <row r="439" customFormat="false" ht="35.05" hidden="false" customHeight="false" outlineLevel="0" collapsed="false">
      <c r="A439" s="10" t="s">
        <v>63</v>
      </c>
      <c r="B439" s="10" t="s">
        <v>57</v>
      </c>
      <c r="C439" s="10" t="s">
        <v>427</v>
      </c>
      <c r="D439" s="10" t="s">
        <v>676</v>
      </c>
    </row>
    <row r="440" customFormat="false" ht="23.85" hidden="false" customHeight="false" outlineLevel="0" collapsed="false">
      <c r="A440" s="10" t="s">
        <v>63</v>
      </c>
      <c r="B440" s="10" t="s">
        <v>57</v>
      </c>
      <c r="C440" s="10" t="s">
        <v>427</v>
      </c>
      <c r="D440" s="10" t="s">
        <v>677</v>
      </c>
    </row>
    <row r="441" customFormat="false" ht="46.25" hidden="false" customHeight="false" outlineLevel="0" collapsed="false">
      <c r="A441" s="10" t="s">
        <v>63</v>
      </c>
      <c r="B441" s="10" t="s">
        <v>57</v>
      </c>
      <c r="C441" s="10" t="s">
        <v>427</v>
      </c>
      <c r="D441" s="10" t="s">
        <v>678</v>
      </c>
    </row>
    <row r="442" customFormat="false" ht="23.85" hidden="false" customHeight="false" outlineLevel="0" collapsed="false">
      <c r="A442" s="10" t="s">
        <v>63</v>
      </c>
      <c r="B442" s="10" t="s">
        <v>76</v>
      </c>
      <c r="C442" s="10" t="s">
        <v>427</v>
      </c>
      <c r="D442" s="10" t="s">
        <v>679</v>
      </c>
    </row>
    <row r="443" customFormat="false" ht="35.05" hidden="false" customHeight="false" outlineLevel="0" collapsed="false">
      <c r="A443" s="10" t="s">
        <v>63</v>
      </c>
      <c r="B443" s="10" t="s">
        <v>76</v>
      </c>
      <c r="C443" s="10" t="s">
        <v>427</v>
      </c>
      <c r="D443" s="10" t="s">
        <v>489</v>
      </c>
    </row>
    <row r="444" customFormat="false" ht="23.85" hidden="false" customHeight="false" outlineLevel="0" collapsed="false">
      <c r="A444" s="10" t="s">
        <v>63</v>
      </c>
      <c r="B444" s="10" t="s">
        <v>76</v>
      </c>
      <c r="C444" s="10" t="s">
        <v>427</v>
      </c>
      <c r="D444" s="10" t="s">
        <v>578</v>
      </c>
    </row>
    <row r="445" customFormat="false" ht="46.25" hidden="false" customHeight="false" outlineLevel="0" collapsed="false">
      <c r="A445" s="10" t="s">
        <v>63</v>
      </c>
      <c r="B445" s="10" t="s">
        <v>76</v>
      </c>
      <c r="C445" s="10" t="s">
        <v>427</v>
      </c>
      <c r="D445" s="10" t="s">
        <v>498</v>
      </c>
    </row>
    <row r="446" customFormat="false" ht="46.25" hidden="false" customHeight="false" outlineLevel="0" collapsed="false">
      <c r="A446" s="10" t="s">
        <v>63</v>
      </c>
      <c r="B446" s="10" t="s">
        <v>83</v>
      </c>
      <c r="C446" s="10" t="s">
        <v>427</v>
      </c>
      <c r="D446" s="10" t="s">
        <v>511</v>
      </c>
    </row>
    <row r="447" customFormat="false" ht="23.85" hidden="false" customHeight="false" outlineLevel="0" collapsed="false">
      <c r="A447" s="10" t="s">
        <v>63</v>
      </c>
      <c r="B447" s="10" t="s">
        <v>83</v>
      </c>
      <c r="C447" s="10" t="s">
        <v>427</v>
      </c>
      <c r="D447" s="10" t="s">
        <v>512</v>
      </c>
    </row>
    <row r="448" customFormat="false" ht="23.85" hidden="false" customHeight="false" outlineLevel="0" collapsed="false">
      <c r="A448" s="10" t="s">
        <v>63</v>
      </c>
      <c r="B448" s="10" t="s">
        <v>83</v>
      </c>
      <c r="C448" s="10" t="s">
        <v>427</v>
      </c>
      <c r="D448" s="10" t="s">
        <v>680</v>
      </c>
    </row>
    <row r="449" customFormat="false" ht="23.85" hidden="false" customHeight="false" outlineLevel="0" collapsed="false">
      <c r="A449" s="10" t="s">
        <v>63</v>
      </c>
      <c r="B449" s="10" t="s">
        <v>83</v>
      </c>
      <c r="C449" s="10" t="s">
        <v>427</v>
      </c>
      <c r="D449" s="10" t="s">
        <v>681</v>
      </c>
    </row>
    <row r="450" customFormat="false" ht="35.05" hidden="false" customHeight="false" outlineLevel="0" collapsed="false">
      <c r="A450" s="10" t="s">
        <v>63</v>
      </c>
      <c r="B450" s="10" t="s">
        <v>83</v>
      </c>
      <c r="C450" s="10" t="s">
        <v>427</v>
      </c>
      <c r="D450" s="10" t="s">
        <v>682</v>
      </c>
    </row>
    <row r="451" customFormat="false" ht="35.05" hidden="false" customHeight="false" outlineLevel="0" collapsed="false">
      <c r="A451" s="10" t="s">
        <v>63</v>
      </c>
      <c r="B451" s="10" t="s">
        <v>83</v>
      </c>
      <c r="C451" s="10" t="s">
        <v>427</v>
      </c>
      <c r="D451" s="10" t="s">
        <v>683</v>
      </c>
    </row>
    <row r="452" customFormat="false" ht="15" hidden="false" customHeight="false" outlineLevel="0" collapsed="false">
      <c r="A452" s="10" t="s">
        <v>63</v>
      </c>
      <c r="B452" s="10" t="s">
        <v>147</v>
      </c>
      <c r="C452" s="10" t="s">
        <v>427</v>
      </c>
      <c r="D452" s="10" t="s">
        <v>684</v>
      </c>
    </row>
    <row r="453" customFormat="false" ht="23.85" hidden="false" customHeight="false" outlineLevel="0" collapsed="false">
      <c r="A453" s="10" t="s">
        <v>63</v>
      </c>
      <c r="B453" s="10" t="s">
        <v>147</v>
      </c>
      <c r="C453" s="10" t="s">
        <v>427</v>
      </c>
      <c r="D453" s="10" t="s">
        <v>685</v>
      </c>
    </row>
    <row r="454" customFormat="false" ht="46.25" hidden="false" customHeight="false" outlineLevel="0" collapsed="false">
      <c r="A454" s="10" t="s">
        <v>63</v>
      </c>
      <c r="B454" s="10" t="s">
        <v>147</v>
      </c>
      <c r="C454" s="10" t="s">
        <v>427</v>
      </c>
      <c r="D454" s="10" t="s">
        <v>686</v>
      </c>
    </row>
    <row r="455" customFormat="false" ht="23.85" hidden="false" customHeight="false" outlineLevel="0" collapsed="false">
      <c r="A455" s="10" t="s">
        <v>63</v>
      </c>
      <c r="B455" s="10" t="s">
        <v>147</v>
      </c>
      <c r="C455" s="10" t="s">
        <v>427</v>
      </c>
      <c r="D455" s="10" t="s">
        <v>687</v>
      </c>
    </row>
    <row r="456" customFormat="false" ht="23.85" hidden="false" customHeight="false" outlineLevel="0" collapsed="false">
      <c r="A456" s="10" t="s">
        <v>63</v>
      </c>
      <c r="B456" s="10" t="s">
        <v>116</v>
      </c>
      <c r="C456" s="10" t="s">
        <v>427</v>
      </c>
      <c r="D456" s="10" t="s">
        <v>660</v>
      </c>
    </row>
    <row r="457" customFormat="false" ht="15" hidden="false" customHeight="false" outlineLevel="0" collapsed="false">
      <c r="A457" s="10" t="s">
        <v>63</v>
      </c>
      <c r="B457" s="10" t="s">
        <v>86</v>
      </c>
      <c r="C457" s="10" t="s">
        <v>427</v>
      </c>
      <c r="D457" s="10" t="s">
        <v>516</v>
      </c>
    </row>
    <row r="458" customFormat="false" ht="15" hidden="false" customHeight="false" outlineLevel="0" collapsed="false">
      <c r="A458" s="10" t="s">
        <v>63</v>
      </c>
      <c r="B458" s="10" t="s">
        <v>86</v>
      </c>
      <c r="C458" s="10" t="s">
        <v>427</v>
      </c>
      <c r="D458" s="10" t="s">
        <v>688</v>
      </c>
    </row>
    <row r="459" customFormat="false" ht="23.85" hidden="false" customHeight="false" outlineLevel="0" collapsed="false">
      <c r="A459" s="10" t="s">
        <v>63</v>
      </c>
      <c r="B459" s="10" t="s">
        <v>86</v>
      </c>
      <c r="C459" s="10" t="s">
        <v>427</v>
      </c>
      <c r="D459" s="10" t="s">
        <v>689</v>
      </c>
    </row>
    <row r="460" customFormat="false" ht="15" hidden="false" customHeight="false" outlineLevel="0" collapsed="false">
      <c r="A460" s="10" t="s">
        <v>63</v>
      </c>
      <c r="B460" s="10" t="s">
        <v>58</v>
      </c>
      <c r="C460" s="10" t="s">
        <v>427</v>
      </c>
      <c r="D460" s="10" t="s">
        <v>690</v>
      </c>
    </row>
    <row r="461" customFormat="false" ht="23.85" hidden="false" customHeight="false" outlineLevel="0" collapsed="false">
      <c r="A461" s="10" t="s">
        <v>63</v>
      </c>
      <c r="B461" s="10" t="s">
        <v>58</v>
      </c>
      <c r="C461" s="10" t="s">
        <v>427</v>
      </c>
      <c r="D461" s="10" t="s">
        <v>691</v>
      </c>
    </row>
    <row r="462" customFormat="false" ht="35.05" hidden="false" customHeight="false" outlineLevel="0" collapsed="false">
      <c r="A462" s="10" t="s">
        <v>63</v>
      </c>
      <c r="B462" s="10" t="s">
        <v>58</v>
      </c>
      <c r="C462" s="10" t="s">
        <v>427</v>
      </c>
      <c r="D462" s="10" t="s">
        <v>65</v>
      </c>
    </row>
    <row r="463" customFormat="false" ht="23.85" hidden="false" customHeight="false" outlineLevel="0" collapsed="false">
      <c r="A463" s="10" t="s">
        <v>300</v>
      </c>
      <c r="B463" s="10" t="s">
        <v>86</v>
      </c>
      <c r="C463" s="10" t="s">
        <v>427</v>
      </c>
      <c r="D463" s="10" t="s">
        <v>692</v>
      </c>
    </row>
    <row r="464" customFormat="false" ht="46.25" hidden="false" customHeight="false" outlineLevel="0" collapsed="false">
      <c r="A464" s="10" t="s">
        <v>300</v>
      </c>
      <c r="B464" s="10" t="s">
        <v>56</v>
      </c>
      <c r="C464" s="10" t="s">
        <v>427</v>
      </c>
      <c r="D464" s="10" t="s">
        <v>693</v>
      </c>
    </row>
    <row r="465" customFormat="false" ht="15" hidden="false" customHeight="false" outlineLevel="0" collapsed="false">
      <c r="A465" s="10" t="s">
        <v>300</v>
      </c>
      <c r="B465" s="10" t="s">
        <v>56</v>
      </c>
      <c r="C465" s="10" t="s">
        <v>427</v>
      </c>
      <c r="D465" s="10" t="s">
        <v>694</v>
      </c>
    </row>
    <row r="466" customFormat="false" ht="15" hidden="false" customHeight="false" outlineLevel="0" collapsed="false">
      <c r="A466" s="10" t="s">
        <v>300</v>
      </c>
      <c r="B466" s="10" t="s">
        <v>56</v>
      </c>
      <c r="C466" s="10" t="s">
        <v>427</v>
      </c>
      <c r="D466" s="10" t="s">
        <v>695</v>
      </c>
    </row>
    <row r="467" customFormat="false" ht="35.05" hidden="false" customHeight="false" outlineLevel="0" collapsed="false">
      <c r="A467" s="10" t="s">
        <v>300</v>
      </c>
      <c r="B467" s="10" t="s">
        <v>56</v>
      </c>
      <c r="C467" s="10" t="s">
        <v>427</v>
      </c>
      <c r="D467" s="10" t="s">
        <v>303</v>
      </c>
    </row>
    <row r="468" customFormat="false" ht="57.45" hidden="false" customHeight="false" outlineLevel="0" collapsed="false">
      <c r="A468" s="10" t="s">
        <v>348</v>
      </c>
      <c r="B468" s="10" t="s">
        <v>83</v>
      </c>
      <c r="C468" s="10" t="s">
        <v>427</v>
      </c>
      <c r="D468" s="10" t="s">
        <v>696</v>
      </c>
    </row>
    <row r="469" customFormat="false" ht="35.05" hidden="false" customHeight="false" outlineLevel="0" collapsed="false">
      <c r="A469" s="10" t="s">
        <v>348</v>
      </c>
      <c r="B469" s="10" t="s">
        <v>183</v>
      </c>
      <c r="C469" s="10" t="s">
        <v>427</v>
      </c>
      <c r="D469" s="10" t="s">
        <v>341</v>
      </c>
    </row>
    <row r="470" customFormat="false" ht="23.85" hidden="false" customHeight="false" outlineLevel="0" collapsed="false">
      <c r="A470" s="10" t="s">
        <v>348</v>
      </c>
      <c r="B470" s="10" t="s">
        <v>134</v>
      </c>
      <c r="C470" s="10" t="s">
        <v>427</v>
      </c>
      <c r="D470" s="10" t="s">
        <v>608</v>
      </c>
    </row>
    <row r="471" customFormat="false" ht="15" hidden="false" customHeight="false" outlineLevel="0" collapsed="false">
      <c r="A471" s="10" t="s">
        <v>348</v>
      </c>
      <c r="B471" s="10" t="s">
        <v>71</v>
      </c>
      <c r="C471" s="10" t="s">
        <v>427</v>
      </c>
      <c r="D471" s="10" t="s">
        <v>697</v>
      </c>
    </row>
    <row r="472" customFormat="false" ht="35.05" hidden="false" customHeight="false" outlineLevel="0" collapsed="false">
      <c r="A472" s="10" t="s">
        <v>348</v>
      </c>
      <c r="B472" s="10" t="s">
        <v>71</v>
      </c>
      <c r="C472" s="10" t="s">
        <v>427</v>
      </c>
      <c r="D472" s="10" t="s">
        <v>698</v>
      </c>
    </row>
    <row r="473" customFormat="false" ht="23.85" hidden="false" customHeight="false" outlineLevel="0" collapsed="false">
      <c r="A473" s="10" t="s">
        <v>348</v>
      </c>
      <c r="B473" s="10" t="s">
        <v>71</v>
      </c>
      <c r="C473" s="10" t="s">
        <v>427</v>
      </c>
      <c r="D473" s="10" t="s">
        <v>699</v>
      </c>
    </row>
    <row r="474" customFormat="false" ht="35.05" hidden="false" customHeight="false" outlineLevel="0" collapsed="false">
      <c r="A474" s="10" t="s">
        <v>348</v>
      </c>
      <c r="B474" s="10" t="s">
        <v>71</v>
      </c>
      <c r="C474" s="10" t="s">
        <v>427</v>
      </c>
      <c r="D474" s="10" t="s">
        <v>700</v>
      </c>
    </row>
    <row r="475" customFormat="false" ht="23.85" hidden="false" customHeight="false" outlineLevel="0" collapsed="false">
      <c r="A475" s="10" t="s">
        <v>348</v>
      </c>
      <c r="B475" s="10" t="s">
        <v>71</v>
      </c>
      <c r="C475" s="10" t="s">
        <v>427</v>
      </c>
      <c r="D475" s="10" t="s">
        <v>350</v>
      </c>
    </row>
    <row r="476" customFormat="false" ht="23.85" hidden="false" customHeight="false" outlineLevel="0" collapsed="false">
      <c r="A476" s="10" t="s">
        <v>324</v>
      </c>
      <c r="B476" s="10" t="s">
        <v>183</v>
      </c>
      <c r="C476" s="10" t="s">
        <v>427</v>
      </c>
      <c r="D476" s="10" t="s">
        <v>650</v>
      </c>
    </row>
    <row r="477" customFormat="false" ht="15" hidden="false" customHeight="false" outlineLevel="0" collapsed="false">
      <c r="A477" s="10" t="s">
        <v>324</v>
      </c>
      <c r="B477" s="10" t="s">
        <v>183</v>
      </c>
      <c r="C477" s="10" t="s">
        <v>427</v>
      </c>
      <c r="D477" s="10" t="s">
        <v>651</v>
      </c>
    </row>
    <row r="478" customFormat="false" ht="15" hidden="false" customHeight="false" outlineLevel="0" collapsed="false">
      <c r="A478" s="10" t="s">
        <v>324</v>
      </c>
      <c r="B478" s="10" t="s">
        <v>183</v>
      </c>
      <c r="C478" s="10" t="s">
        <v>427</v>
      </c>
      <c r="D478" s="10" t="s">
        <v>701</v>
      </c>
    </row>
    <row r="479" customFormat="false" ht="35.05" hidden="false" customHeight="false" outlineLevel="0" collapsed="false">
      <c r="A479" s="10" t="s">
        <v>324</v>
      </c>
      <c r="B479" s="10" t="s">
        <v>183</v>
      </c>
      <c r="C479" s="10" t="s">
        <v>427</v>
      </c>
      <c r="D479" s="10" t="s">
        <v>653</v>
      </c>
    </row>
    <row r="480" customFormat="false" ht="46.25" hidden="false" customHeight="false" outlineLevel="0" collapsed="false">
      <c r="A480" s="10" t="s">
        <v>324</v>
      </c>
      <c r="B480" s="10" t="s">
        <v>183</v>
      </c>
      <c r="C480" s="10" t="s">
        <v>427</v>
      </c>
      <c r="D480" s="10" t="s">
        <v>654</v>
      </c>
    </row>
    <row r="481" customFormat="false" ht="23.85" hidden="false" customHeight="false" outlineLevel="0" collapsed="false">
      <c r="A481" s="10" t="s">
        <v>324</v>
      </c>
      <c r="B481" s="10" t="s">
        <v>183</v>
      </c>
      <c r="C481" s="10" t="s">
        <v>427</v>
      </c>
      <c r="D481" s="10" t="s">
        <v>652</v>
      </c>
    </row>
    <row r="482" customFormat="false" ht="23.85" hidden="false" customHeight="false" outlineLevel="0" collapsed="false">
      <c r="A482" s="10" t="s">
        <v>324</v>
      </c>
      <c r="B482" s="10" t="s">
        <v>116</v>
      </c>
      <c r="C482" s="10" t="s">
        <v>427</v>
      </c>
      <c r="D482" s="10" t="s">
        <v>326</v>
      </c>
    </row>
    <row r="483" customFormat="false" ht="23.85" hidden="false" customHeight="false" outlineLevel="0" collapsed="false">
      <c r="A483" s="10" t="s">
        <v>324</v>
      </c>
      <c r="B483" s="10" t="s">
        <v>134</v>
      </c>
      <c r="C483" s="10" t="s">
        <v>555</v>
      </c>
      <c r="D483" s="10" t="s">
        <v>556</v>
      </c>
    </row>
    <row r="484" customFormat="false" ht="23.85" hidden="false" customHeight="false" outlineLevel="0" collapsed="false">
      <c r="A484" s="10" t="s">
        <v>324</v>
      </c>
      <c r="B484" s="10" t="s">
        <v>86</v>
      </c>
      <c r="C484" s="10" t="s">
        <v>469</v>
      </c>
      <c r="D484" s="10" t="s">
        <v>470</v>
      </c>
    </row>
    <row r="485" customFormat="false" ht="35.05" hidden="false" customHeight="false" outlineLevel="0" collapsed="false">
      <c r="A485" s="10" t="s">
        <v>416</v>
      </c>
      <c r="B485" s="10" t="s">
        <v>86</v>
      </c>
      <c r="C485" s="10" t="s">
        <v>427</v>
      </c>
      <c r="D485" s="10" t="s">
        <v>702</v>
      </c>
    </row>
    <row r="486" customFormat="false" ht="15" hidden="false" customHeight="false" outlineLevel="0" collapsed="false">
      <c r="A486" s="10" t="s">
        <v>416</v>
      </c>
      <c r="B486" s="10" t="s">
        <v>86</v>
      </c>
      <c r="C486" s="10" t="s">
        <v>427</v>
      </c>
      <c r="D486" s="10" t="s">
        <v>703</v>
      </c>
    </row>
    <row r="487" customFormat="false" ht="35.05" hidden="false" customHeight="false" outlineLevel="0" collapsed="false">
      <c r="A487" s="10" t="s">
        <v>416</v>
      </c>
      <c r="B487" s="10" t="s">
        <v>56</v>
      </c>
      <c r="C487" s="10" t="s">
        <v>427</v>
      </c>
      <c r="D487" s="10" t="s">
        <v>413</v>
      </c>
    </row>
    <row r="488" customFormat="false" ht="15" hidden="false" customHeight="false" outlineLevel="0" collapsed="false">
      <c r="A488" s="10" t="s">
        <v>416</v>
      </c>
      <c r="B488" s="10" t="s">
        <v>56</v>
      </c>
      <c r="C488" s="10" t="s">
        <v>427</v>
      </c>
      <c r="D488" s="10" t="s">
        <v>704</v>
      </c>
    </row>
    <row r="489" customFormat="false" ht="23.85" hidden="false" customHeight="false" outlineLevel="0" collapsed="false">
      <c r="A489" s="10" t="s">
        <v>416</v>
      </c>
      <c r="B489" s="10" t="s">
        <v>56</v>
      </c>
      <c r="C489" s="10" t="s">
        <v>427</v>
      </c>
      <c r="D489" s="10" t="s">
        <v>673</v>
      </c>
    </row>
    <row r="490" customFormat="false" ht="23.85" hidden="false" customHeight="false" outlineLevel="0" collapsed="false">
      <c r="A490" s="10" t="s">
        <v>327</v>
      </c>
      <c r="B490" s="10" t="s">
        <v>183</v>
      </c>
      <c r="C490" s="10" t="s">
        <v>427</v>
      </c>
      <c r="D490" s="10" t="s">
        <v>434</v>
      </c>
    </row>
    <row r="491" customFormat="false" ht="15" hidden="false" customHeight="false" outlineLevel="0" collapsed="false">
      <c r="A491" s="10" t="s">
        <v>327</v>
      </c>
      <c r="B491" s="10" t="s">
        <v>183</v>
      </c>
      <c r="C491" s="10" t="s">
        <v>427</v>
      </c>
      <c r="D491" s="10" t="s">
        <v>530</v>
      </c>
    </row>
    <row r="492" customFormat="false" ht="57.45" hidden="false" customHeight="false" outlineLevel="0" collapsed="false">
      <c r="A492" s="10" t="s">
        <v>327</v>
      </c>
      <c r="B492" s="10" t="s">
        <v>183</v>
      </c>
      <c r="C492" s="10" t="s">
        <v>427</v>
      </c>
      <c r="D492" s="10" t="s">
        <v>409</v>
      </c>
    </row>
    <row r="493" customFormat="false" ht="35.05" hidden="false" customHeight="false" outlineLevel="0" collapsed="false">
      <c r="A493" s="10" t="s">
        <v>327</v>
      </c>
      <c r="B493" s="10" t="s">
        <v>183</v>
      </c>
      <c r="C493" s="10" t="s">
        <v>427</v>
      </c>
      <c r="D493" s="10" t="s">
        <v>531</v>
      </c>
    </row>
    <row r="494" customFormat="false" ht="23.85" hidden="false" customHeight="false" outlineLevel="0" collapsed="false">
      <c r="A494" s="10" t="s">
        <v>327</v>
      </c>
      <c r="B494" s="10" t="s">
        <v>183</v>
      </c>
      <c r="C494" s="10" t="s">
        <v>427</v>
      </c>
      <c r="D494" s="10" t="s">
        <v>532</v>
      </c>
    </row>
    <row r="495" customFormat="false" ht="35.05" hidden="false" customHeight="false" outlineLevel="0" collapsed="false">
      <c r="A495" s="10" t="s">
        <v>327</v>
      </c>
      <c r="B495" s="10" t="s">
        <v>71</v>
      </c>
      <c r="C495" s="10" t="s">
        <v>427</v>
      </c>
      <c r="D495" s="10" t="s">
        <v>317</v>
      </c>
    </row>
    <row r="496" customFormat="false" ht="23.85" hidden="false" customHeight="false" outlineLevel="0" collapsed="false">
      <c r="A496" s="10" t="s">
        <v>251</v>
      </c>
      <c r="B496" s="10" t="s">
        <v>76</v>
      </c>
      <c r="C496" s="10" t="s">
        <v>427</v>
      </c>
      <c r="D496" s="10" t="s">
        <v>211</v>
      </c>
    </row>
    <row r="497" customFormat="false" ht="15" hidden="false" customHeight="false" outlineLevel="0" collapsed="false">
      <c r="A497" s="10" t="s">
        <v>251</v>
      </c>
      <c r="B497" s="10" t="s">
        <v>76</v>
      </c>
      <c r="C497" s="10" t="s">
        <v>427</v>
      </c>
      <c r="D497" s="10" t="s">
        <v>616</v>
      </c>
    </row>
    <row r="498" customFormat="false" ht="23.85" hidden="false" customHeight="false" outlineLevel="0" collapsed="false">
      <c r="A498" s="10" t="s">
        <v>251</v>
      </c>
      <c r="B498" s="10" t="s">
        <v>76</v>
      </c>
      <c r="C498" s="10" t="s">
        <v>427</v>
      </c>
      <c r="D498" s="10" t="s">
        <v>617</v>
      </c>
    </row>
    <row r="499" customFormat="false" ht="15" hidden="false" customHeight="false" outlineLevel="0" collapsed="false">
      <c r="A499" s="10" t="s">
        <v>251</v>
      </c>
      <c r="B499" s="10" t="s">
        <v>86</v>
      </c>
      <c r="C499" s="10" t="s">
        <v>427</v>
      </c>
      <c r="D499" s="10" t="s">
        <v>705</v>
      </c>
    </row>
    <row r="500" customFormat="false" ht="46.25" hidden="false" customHeight="false" outlineLevel="0" collapsed="false">
      <c r="A500" s="10" t="s">
        <v>251</v>
      </c>
      <c r="B500" s="10" t="s">
        <v>58</v>
      </c>
      <c r="C500" s="10" t="s">
        <v>427</v>
      </c>
      <c r="D500" s="10" t="s">
        <v>226</v>
      </c>
    </row>
    <row r="501" customFormat="false" ht="23.85" hidden="false" customHeight="false" outlineLevel="0" collapsed="false">
      <c r="A501" s="10" t="s">
        <v>251</v>
      </c>
      <c r="B501" s="10" t="s">
        <v>58</v>
      </c>
      <c r="C501" s="10" t="s">
        <v>427</v>
      </c>
      <c r="D501" s="10" t="s">
        <v>706</v>
      </c>
    </row>
    <row r="502" customFormat="false" ht="23.85" hidden="false" customHeight="false" outlineLevel="0" collapsed="false">
      <c r="A502" s="10" t="s">
        <v>251</v>
      </c>
      <c r="B502" s="10" t="s">
        <v>58</v>
      </c>
      <c r="C502" s="10" t="s">
        <v>427</v>
      </c>
      <c r="D502" s="10" t="s">
        <v>536</v>
      </c>
    </row>
    <row r="503" customFormat="false" ht="23.85" hidden="false" customHeight="false" outlineLevel="0" collapsed="false">
      <c r="A503" s="10" t="s">
        <v>251</v>
      </c>
      <c r="B503" s="10" t="s">
        <v>58</v>
      </c>
      <c r="C503" s="10" t="s">
        <v>427</v>
      </c>
      <c r="D503" s="10" t="s">
        <v>253</v>
      </c>
    </row>
    <row r="504" customFormat="false" ht="23.85" hidden="false" customHeight="false" outlineLevel="0" collapsed="false">
      <c r="A504" s="10" t="s">
        <v>84</v>
      </c>
      <c r="B504" s="10" t="s">
        <v>76</v>
      </c>
      <c r="C504" s="10" t="s">
        <v>427</v>
      </c>
      <c r="D504" s="10" t="s">
        <v>211</v>
      </c>
    </row>
    <row r="505" customFormat="false" ht="15" hidden="false" customHeight="false" outlineLevel="0" collapsed="false">
      <c r="A505" s="10" t="s">
        <v>84</v>
      </c>
      <c r="B505" s="10" t="s">
        <v>90</v>
      </c>
      <c r="C505" s="10" t="s">
        <v>427</v>
      </c>
      <c r="D505" s="10" t="s">
        <v>707</v>
      </c>
    </row>
    <row r="506" customFormat="false" ht="15" hidden="false" customHeight="false" outlineLevel="0" collapsed="false">
      <c r="A506" s="10" t="s">
        <v>84</v>
      </c>
      <c r="B506" s="10" t="s">
        <v>90</v>
      </c>
      <c r="C506" s="10" t="s">
        <v>427</v>
      </c>
      <c r="D506" s="10" t="s">
        <v>708</v>
      </c>
    </row>
    <row r="507" customFormat="false" ht="15" hidden="false" customHeight="false" outlineLevel="0" collapsed="false">
      <c r="A507" s="10" t="s">
        <v>84</v>
      </c>
      <c r="B507" s="10" t="s">
        <v>90</v>
      </c>
      <c r="C507" s="10" t="s">
        <v>427</v>
      </c>
      <c r="D507" s="10" t="s">
        <v>709</v>
      </c>
    </row>
    <row r="508" customFormat="false" ht="23.85" hidden="false" customHeight="false" outlineLevel="0" collapsed="false">
      <c r="A508" s="10" t="s">
        <v>84</v>
      </c>
      <c r="B508" s="10" t="s">
        <v>86</v>
      </c>
      <c r="C508" s="10" t="s">
        <v>427</v>
      </c>
      <c r="D508" s="10" t="s">
        <v>87</v>
      </c>
    </row>
    <row r="509" customFormat="false" ht="23.85" hidden="false" customHeight="false" outlineLevel="0" collapsed="false">
      <c r="A509" s="10" t="s">
        <v>254</v>
      </c>
      <c r="B509" s="10" t="s">
        <v>57</v>
      </c>
      <c r="C509" s="10" t="s">
        <v>427</v>
      </c>
      <c r="D509" s="10" t="s">
        <v>581</v>
      </c>
    </row>
    <row r="510" customFormat="false" ht="35.05" hidden="false" customHeight="false" outlineLevel="0" collapsed="false">
      <c r="A510" s="10" t="s">
        <v>254</v>
      </c>
      <c r="B510" s="10" t="s">
        <v>57</v>
      </c>
      <c r="C510" s="10" t="s">
        <v>427</v>
      </c>
      <c r="D510" s="10" t="s">
        <v>710</v>
      </c>
    </row>
    <row r="511" customFormat="false" ht="46.25" hidden="false" customHeight="false" outlineLevel="0" collapsed="false">
      <c r="A511" s="10" t="s">
        <v>254</v>
      </c>
      <c r="B511" s="10" t="s">
        <v>57</v>
      </c>
      <c r="C511" s="10" t="s">
        <v>427</v>
      </c>
      <c r="D511" s="10" t="s">
        <v>678</v>
      </c>
    </row>
    <row r="512" customFormat="false" ht="35.05" hidden="false" customHeight="false" outlineLevel="0" collapsed="false">
      <c r="A512" s="10" t="s">
        <v>254</v>
      </c>
      <c r="B512" s="10" t="s">
        <v>57</v>
      </c>
      <c r="C512" s="10" t="s">
        <v>427</v>
      </c>
      <c r="D512" s="10" t="s">
        <v>711</v>
      </c>
    </row>
    <row r="513" customFormat="false" ht="23.85" hidden="false" customHeight="false" outlineLevel="0" collapsed="false">
      <c r="A513" s="10" t="s">
        <v>254</v>
      </c>
      <c r="B513" s="10" t="s">
        <v>76</v>
      </c>
      <c r="C513" s="10" t="s">
        <v>427</v>
      </c>
      <c r="D513" s="10" t="s">
        <v>712</v>
      </c>
    </row>
    <row r="514" customFormat="false" ht="23.85" hidden="false" customHeight="false" outlineLevel="0" collapsed="false">
      <c r="A514" s="10" t="s">
        <v>254</v>
      </c>
      <c r="B514" s="10" t="s">
        <v>76</v>
      </c>
      <c r="C514" s="10" t="s">
        <v>427</v>
      </c>
      <c r="D514" s="10" t="s">
        <v>713</v>
      </c>
    </row>
    <row r="515" customFormat="false" ht="23.85" hidden="false" customHeight="false" outlineLevel="0" collapsed="false">
      <c r="A515" s="10" t="s">
        <v>254</v>
      </c>
      <c r="B515" s="10" t="s">
        <v>76</v>
      </c>
      <c r="C515" s="10" t="s">
        <v>427</v>
      </c>
      <c r="D515" s="10" t="s">
        <v>714</v>
      </c>
    </row>
    <row r="516" customFormat="false" ht="15" hidden="false" customHeight="false" outlineLevel="0" collapsed="false">
      <c r="A516" s="10" t="s">
        <v>254</v>
      </c>
      <c r="B516" s="10" t="s">
        <v>90</v>
      </c>
      <c r="C516" s="10" t="s">
        <v>427</v>
      </c>
      <c r="D516" s="10" t="s">
        <v>715</v>
      </c>
    </row>
    <row r="517" customFormat="false" ht="35.05" hidden="false" customHeight="false" outlineLevel="0" collapsed="false">
      <c r="A517" s="10" t="s">
        <v>254</v>
      </c>
      <c r="B517" s="10" t="s">
        <v>90</v>
      </c>
      <c r="C517" s="10" t="s">
        <v>427</v>
      </c>
      <c r="D517" s="10" t="s">
        <v>596</v>
      </c>
    </row>
    <row r="518" customFormat="false" ht="23.85" hidden="false" customHeight="false" outlineLevel="0" collapsed="false">
      <c r="A518" s="10" t="s">
        <v>254</v>
      </c>
      <c r="B518" s="10" t="s">
        <v>90</v>
      </c>
      <c r="C518" s="10" t="s">
        <v>427</v>
      </c>
      <c r="D518" s="10" t="s">
        <v>597</v>
      </c>
    </row>
    <row r="519" customFormat="false" ht="23.85" hidden="false" customHeight="false" outlineLevel="0" collapsed="false">
      <c r="A519" s="10" t="s">
        <v>254</v>
      </c>
      <c r="B519" s="10" t="s">
        <v>90</v>
      </c>
      <c r="C519" s="10" t="s">
        <v>427</v>
      </c>
      <c r="D519" s="10" t="s">
        <v>598</v>
      </c>
    </row>
    <row r="520" customFormat="false" ht="46.25" hidden="false" customHeight="false" outlineLevel="0" collapsed="false">
      <c r="A520" s="10" t="s">
        <v>254</v>
      </c>
      <c r="B520" s="10" t="s">
        <v>83</v>
      </c>
      <c r="C520" s="10" t="s">
        <v>427</v>
      </c>
      <c r="D520" s="10" t="s">
        <v>716</v>
      </c>
    </row>
    <row r="521" customFormat="false" ht="23.85" hidden="false" customHeight="false" outlineLevel="0" collapsed="false">
      <c r="A521" s="10" t="s">
        <v>254</v>
      </c>
      <c r="B521" s="10" t="s">
        <v>83</v>
      </c>
      <c r="C521" s="10" t="s">
        <v>427</v>
      </c>
      <c r="D521" s="10" t="s">
        <v>717</v>
      </c>
    </row>
    <row r="522" customFormat="false" ht="46.25" hidden="false" customHeight="false" outlineLevel="0" collapsed="false">
      <c r="A522" s="10" t="s">
        <v>254</v>
      </c>
      <c r="B522" s="10" t="s">
        <v>83</v>
      </c>
      <c r="C522" s="10" t="s">
        <v>427</v>
      </c>
      <c r="D522" s="10" t="s">
        <v>718</v>
      </c>
    </row>
    <row r="523" customFormat="false" ht="23.85" hidden="false" customHeight="false" outlineLevel="0" collapsed="false">
      <c r="A523" s="10" t="s">
        <v>254</v>
      </c>
      <c r="B523" s="10" t="s">
        <v>58</v>
      </c>
      <c r="C523" s="10" t="s">
        <v>427</v>
      </c>
      <c r="D523" s="10" t="s">
        <v>706</v>
      </c>
    </row>
    <row r="524" customFormat="false" ht="23.85" hidden="false" customHeight="false" outlineLevel="0" collapsed="false">
      <c r="A524" s="10" t="s">
        <v>254</v>
      </c>
      <c r="B524" s="10" t="s">
        <v>58</v>
      </c>
      <c r="C524" s="10" t="s">
        <v>427</v>
      </c>
      <c r="D524" s="10" t="s">
        <v>253</v>
      </c>
    </row>
    <row r="525" customFormat="false" ht="15" hidden="false" customHeight="false" outlineLevel="0" collapsed="false">
      <c r="A525" s="10" t="s">
        <v>329</v>
      </c>
      <c r="B525" s="10" t="s">
        <v>76</v>
      </c>
      <c r="C525" s="10" t="s">
        <v>427</v>
      </c>
      <c r="D525" s="10" t="s">
        <v>616</v>
      </c>
    </row>
    <row r="526" customFormat="false" ht="23.85" hidden="false" customHeight="false" outlineLevel="0" collapsed="false">
      <c r="A526" s="10" t="s">
        <v>329</v>
      </c>
      <c r="B526" s="10" t="s">
        <v>76</v>
      </c>
      <c r="C526" s="10" t="s">
        <v>427</v>
      </c>
      <c r="D526" s="10" t="s">
        <v>590</v>
      </c>
    </row>
    <row r="527" customFormat="false" ht="35.05" hidden="false" customHeight="false" outlineLevel="0" collapsed="false">
      <c r="A527" s="10" t="s">
        <v>329</v>
      </c>
      <c r="B527" s="10" t="s">
        <v>76</v>
      </c>
      <c r="C527" s="10" t="s">
        <v>427</v>
      </c>
      <c r="D527" s="10" t="s">
        <v>719</v>
      </c>
    </row>
    <row r="528" customFormat="false" ht="23.85" hidden="false" customHeight="false" outlineLevel="0" collapsed="false">
      <c r="A528" s="10" t="s">
        <v>329</v>
      </c>
      <c r="B528" s="10" t="s">
        <v>76</v>
      </c>
      <c r="C528" s="10" t="s">
        <v>427</v>
      </c>
      <c r="D528" s="10" t="s">
        <v>720</v>
      </c>
    </row>
    <row r="529" customFormat="false" ht="23.85" hidden="false" customHeight="false" outlineLevel="0" collapsed="false">
      <c r="A529" s="10" t="s">
        <v>329</v>
      </c>
      <c r="B529" s="10" t="s">
        <v>76</v>
      </c>
      <c r="C529" s="10" t="s">
        <v>427</v>
      </c>
      <c r="D529" s="10" t="s">
        <v>721</v>
      </c>
    </row>
    <row r="530" customFormat="false" ht="23.85" hidden="false" customHeight="false" outlineLevel="0" collapsed="false">
      <c r="A530" s="10" t="s">
        <v>329</v>
      </c>
      <c r="B530" s="10" t="s">
        <v>76</v>
      </c>
      <c r="C530" s="10" t="s">
        <v>427</v>
      </c>
      <c r="D530" s="10" t="s">
        <v>722</v>
      </c>
    </row>
    <row r="531" customFormat="false" ht="46.25" hidden="false" customHeight="false" outlineLevel="0" collapsed="false">
      <c r="A531" s="10" t="s">
        <v>329</v>
      </c>
      <c r="B531" s="10" t="s">
        <v>76</v>
      </c>
      <c r="C531" s="10" t="s">
        <v>427</v>
      </c>
      <c r="D531" s="10" t="s">
        <v>482</v>
      </c>
    </row>
    <row r="532" customFormat="false" ht="46.25" hidden="false" customHeight="false" outlineLevel="0" collapsed="false">
      <c r="A532" s="10" t="s">
        <v>329</v>
      </c>
      <c r="B532" s="10" t="s">
        <v>76</v>
      </c>
      <c r="C532" s="10" t="s">
        <v>427</v>
      </c>
      <c r="D532" s="10" t="s">
        <v>483</v>
      </c>
    </row>
    <row r="533" customFormat="false" ht="23.85" hidden="false" customHeight="false" outlineLevel="0" collapsed="false">
      <c r="A533" s="10" t="s">
        <v>329</v>
      </c>
      <c r="B533" s="10" t="s">
        <v>76</v>
      </c>
      <c r="C533" s="10" t="s">
        <v>427</v>
      </c>
      <c r="D533" s="10" t="s">
        <v>591</v>
      </c>
    </row>
    <row r="534" customFormat="false" ht="15" hidden="false" customHeight="false" outlineLevel="0" collapsed="false">
      <c r="A534" s="10" t="s">
        <v>329</v>
      </c>
      <c r="B534" s="10" t="s">
        <v>76</v>
      </c>
      <c r="C534" s="10" t="s">
        <v>427</v>
      </c>
      <c r="D534" s="10" t="s">
        <v>723</v>
      </c>
    </row>
    <row r="535" customFormat="false" ht="23.85" hidden="false" customHeight="false" outlineLevel="0" collapsed="false">
      <c r="A535" s="10" t="s">
        <v>329</v>
      </c>
      <c r="B535" s="10" t="s">
        <v>76</v>
      </c>
      <c r="C535" s="10" t="s">
        <v>427</v>
      </c>
      <c r="D535" s="10" t="s">
        <v>724</v>
      </c>
    </row>
    <row r="536" customFormat="false" ht="35.05" hidden="false" customHeight="false" outlineLevel="0" collapsed="false">
      <c r="A536" s="10" t="s">
        <v>329</v>
      </c>
      <c r="B536" s="10" t="s">
        <v>76</v>
      </c>
      <c r="C536" s="10" t="s">
        <v>427</v>
      </c>
      <c r="D536" s="10" t="s">
        <v>592</v>
      </c>
    </row>
    <row r="537" customFormat="false" ht="15" hidden="false" customHeight="false" outlineLevel="0" collapsed="false">
      <c r="A537" s="10" t="s">
        <v>329</v>
      </c>
      <c r="B537" s="10" t="s">
        <v>76</v>
      </c>
      <c r="C537" s="10" t="s">
        <v>427</v>
      </c>
      <c r="D537" s="10" t="s">
        <v>725</v>
      </c>
    </row>
    <row r="538" customFormat="false" ht="35.05" hidden="false" customHeight="false" outlineLevel="0" collapsed="false">
      <c r="A538" s="10" t="s">
        <v>329</v>
      </c>
      <c r="B538" s="10" t="s">
        <v>76</v>
      </c>
      <c r="C538" s="10" t="s">
        <v>427</v>
      </c>
      <c r="D538" s="10" t="s">
        <v>726</v>
      </c>
    </row>
    <row r="539" customFormat="false" ht="23.85" hidden="false" customHeight="false" outlineLevel="0" collapsed="false">
      <c r="A539" s="10" t="s">
        <v>329</v>
      </c>
      <c r="B539" s="10" t="s">
        <v>76</v>
      </c>
      <c r="C539" s="10" t="s">
        <v>427</v>
      </c>
      <c r="D539" s="10" t="s">
        <v>727</v>
      </c>
    </row>
    <row r="540" customFormat="false" ht="15" hidden="false" customHeight="false" outlineLevel="0" collapsed="false">
      <c r="A540" s="10" t="s">
        <v>329</v>
      </c>
      <c r="B540" s="10" t="s">
        <v>76</v>
      </c>
      <c r="C540" s="10" t="s">
        <v>427</v>
      </c>
      <c r="D540" s="10" t="s">
        <v>728</v>
      </c>
    </row>
    <row r="541" customFormat="false" ht="15" hidden="false" customHeight="false" outlineLevel="0" collapsed="false">
      <c r="A541" s="10" t="s">
        <v>329</v>
      </c>
      <c r="B541" s="10" t="s">
        <v>76</v>
      </c>
      <c r="C541" s="10" t="s">
        <v>427</v>
      </c>
      <c r="D541" s="10" t="s">
        <v>729</v>
      </c>
    </row>
    <row r="542" customFormat="false" ht="23.85" hidden="false" customHeight="false" outlineLevel="0" collapsed="false">
      <c r="A542" s="10" t="s">
        <v>329</v>
      </c>
      <c r="B542" s="10" t="s">
        <v>76</v>
      </c>
      <c r="C542" s="10" t="s">
        <v>427</v>
      </c>
      <c r="D542" s="10" t="s">
        <v>730</v>
      </c>
    </row>
    <row r="543" customFormat="false" ht="23.85" hidden="false" customHeight="false" outlineLevel="0" collapsed="false">
      <c r="A543" s="10" t="s">
        <v>329</v>
      </c>
      <c r="B543" s="10" t="s">
        <v>76</v>
      </c>
      <c r="C543" s="10" t="s">
        <v>427</v>
      </c>
      <c r="D543" s="10" t="s">
        <v>731</v>
      </c>
    </row>
    <row r="544" customFormat="false" ht="15" hidden="false" customHeight="false" outlineLevel="0" collapsed="false">
      <c r="A544" s="10" t="s">
        <v>329</v>
      </c>
      <c r="B544" s="10" t="s">
        <v>76</v>
      </c>
      <c r="C544" s="10" t="s">
        <v>427</v>
      </c>
      <c r="D544" s="10" t="s">
        <v>732</v>
      </c>
    </row>
    <row r="545" customFormat="false" ht="15" hidden="false" customHeight="false" outlineLevel="0" collapsed="false">
      <c r="A545" s="10" t="s">
        <v>329</v>
      </c>
      <c r="B545" s="10" t="s">
        <v>76</v>
      </c>
      <c r="C545" s="10" t="s">
        <v>427</v>
      </c>
      <c r="D545" s="10" t="s">
        <v>733</v>
      </c>
    </row>
    <row r="546" customFormat="false" ht="15" hidden="false" customHeight="false" outlineLevel="0" collapsed="false">
      <c r="A546" s="10" t="s">
        <v>329</v>
      </c>
      <c r="B546" s="10" t="s">
        <v>76</v>
      </c>
      <c r="C546" s="10" t="s">
        <v>427</v>
      </c>
      <c r="D546" s="10" t="s">
        <v>734</v>
      </c>
    </row>
    <row r="547" customFormat="false" ht="35.05" hidden="false" customHeight="false" outlineLevel="0" collapsed="false">
      <c r="A547" s="10" t="s">
        <v>329</v>
      </c>
      <c r="B547" s="10" t="s">
        <v>76</v>
      </c>
      <c r="C547" s="10" t="s">
        <v>427</v>
      </c>
      <c r="D547" s="10" t="s">
        <v>735</v>
      </c>
    </row>
    <row r="548" customFormat="false" ht="23.85" hidden="false" customHeight="false" outlineLevel="0" collapsed="false">
      <c r="A548" s="10" t="s">
        <v>329</v>
      </c>
      <c r="B548" s="10" t="s">
        <v>76</v>
      </c>
      <c r="C548" s="10" t="s">
        <v>427</v>
      </c>
      <c r="D548" s="10" t="s">
        <v>736</v>
      </c>
    </row>
    <row r="549" customFormat="false" ht="15" hidden="false" customHeight="false" outlineLevel="0" collapsed="false">
      <c r="A549" s="10" t="s">
        <v>329</v>
      </c>
      <c r="B549" s="10" t="s">
        <v>76</v>
      </c>
      <c r="C549" s="10" t="s">
        <v>427</v>
      </c>
      <c r="D549" s="10" t="s">
        <v>737</v>
      </c>
    </row>
    <row r="550" customFormat="false" ht="46.25" hidden="false" customHeight="false" outlineLevel="0" collapsed="false">
      <c r="A550" s="10" t="s">
        <v>329</v>
      </c>
      <c r="B550" s="10" t="s">
        <v>76</v>
      </c>
      <c r="C550" s="10" t="s">
        <v>427</v>
      </c>
      <c r="D550" s="10" t="s">
        <v>738</v>
      </c>
    </row>
    <row r="551" customFormat="false" ht="46.25" hidden="false" customHeight="false" outlineLevel="0" collapsed="false">
      <c r="A551" s="10" t="s">
        <v>329</v>
      </c>
      <c r="B551" s="10" t="s">
        <v>76</v>
      </c>
      <c r="C551" s="10" t="s">
        <v>427</v>
      </c>
      <c r="D551" s="10" t="s">
        <v>739</v>
      </c>
    </row>
    <row r="552" customFormat="false" ht="15" hidden="false" customHeight="false" outlineLevel="0" collapsed="false">
      <c r="A552" s="10" t="s">
        <v>329</v>
      </c>
      <c r="B552" s="10" t="s">
        <v>76</v>
      </c>
      <c r="C552" s="10" t="s">
        <v>427</v>
      </c>
      <c r="D552" s="10" t="s">
        <v>740</v>
      </c>
    </row>
    <row r="553" customFormat="false" ht="15" hidden="false" customHeight="false" outlineLevel="0" collapsed="false">
      <c r="A553" s="10" t="s">
        <v>329</v>
      </c>
      <c r="B553" s="10" t="s">
        <v>76</v>
      </c>
      <c r="C553" s="10" t="s">
        <v>427</v>
      </c>
      <c r="D553" s="10" t="s">
        <v>549</v>
      </c>
    </row>
    <row r="554" customFormat="false" ht="15" hidden="false" customHeight="false" outlineLevel="0" collapsed="false">
      <c r="A554" s="10" t="s">
        <v>329</v>
      </c>
      <c r="B554" s="10" t="s">
        <v>76</v>
      </c>
      <c r="C554" s="10" t="s">
        <v>427</v>
      </c>
      <c r="D554" s="10" t="s">
        <v>741</v>
      </c>
    </row>
    <row r="555" customFormat="false" ht="23.85" hidden="false" customHeight="false" outlineLevel="0" collapsed="false">
      <c r="A555" s="10" t="s">
        <v>329</v>
      </c>
      <c r="B555" s="10" t="s">
        <v>76</v>
      </c>
      <c r="C555" s="10" t="s">
        <v>427</v>
      </c>
      <c r="D555" s="10" t="s">
        <v>712</v>
      </c>
    </row>
    <row r="556" customFormat="false" ht="23.85" hidden="false" customHeight="false" outlineLevel="0" collapsed="false">
      <c r="A556" s="10" t="s">
        <v>329</v>
      </c>
      <c r="B556" s="10" t="s">
        <v>76</v>
      </c>
      <c r="C556" s="10" t="s">
        <v>427</v>
      </c>
      <c r="D556" s="10" t="s">
        <v>742</v>
      </c>
    </row>
    <row r="557" customFormat="false" ht="23.85" hidden="false" customHeight="false" outlineLevel="0" collapsed="false">
      <c r="A557" s="10" t="s">
        <v>329</v>
      </c>
      <c r="B557" s="10" t="s">
        <v>76</v>
      </c>
      <c r="C557" s="10" t="s">
        <v>427</v>
      </c>
      <c r="D557" s="10" t="s">
        <v>713</v>
      </c>
    </row>
    <row r="558" customFormat="false" ht="23.85" hidden="false" customHeight="false" outlineLevel="0" collapsed="false">
      <c r="A558" s="10" t="s">
        <v>329</v>
      </c>
      <c r="B558" s="10" t="s">
        <v>76</v>
      </c>
      <c r="C558" s="10" t="s">
        <v>427</v>
      </c>
      <c r="D558" s="10" t="s">
        <v>714</v>
      </c>
    </row>
    <row r="559" customFormat="false" ht="23.85" hidden="false" customHeight="false" outlineLevel="0" collapsed="false">
      <c r="A559" s="10" t="s">
        <v>329</v>
      </c>
      <c r="B559" s="10" t="s">
        <v>90</v>
      </c>
      <c r="C559" s="10" t="s">
        <v>427</v>
      </c>
      <c r="D559" s="10" t="s">
        <v>743</v>
      </c>
    </row>
    <row r="560" customFormat="false" ht="23.85" hidden="false" customHeight="false" outlineLevel="0" collapsed="false">
      <c r="A560" s="10" t="s">
        <v>329</v>
      </c>
      <c r="B560" s="10" t="s">
        <v>90</v>
      </c>
      <c r="C560" s="10" t="s">
        <v>427</v>
      </c>
      <c r="D560" s="10" t="s">
        <v>744</v>
      </c>
    </row>
    <row r="561" customFormat="false" ht="15" hidden="false" customHeight="false" outlineLevel="0" collapsed="false">
      <c r="A561" s="10" t="s">
        <v>329</v>
      </c>
      <c r="B561" s="10" t="s">
        <v>90</v>
      </c>
      <c r="C561" s="10" t="s">
        <v>427</v>
      </c>
      <c r="D561" s="10" t="s">
        <v>659</v>
      </c>
    </row>
    <row r="562" customFormat="false" ht="23.85" hidden="false" customHeight="false" outlineLevel="0" collapsed="false">
      <c r="A562" s="10" t="s">
        <v>329</v>
      </c>
      <c r="B562" s="10" t="s">
        <v>90</v>
      </c>
      <c r="C562" s="10" t="s">
        <v>427</v>
      </c>
      <c r="D562" s="10" t="s">
        <v>745</v>
      </c>
    </row>
    <row r="563" customFormat="false" ht="46.25" hidden="false" customHeight="false" outlineLevel="0" collapsed="false">
      <c r="A563" s="10" t="s">
        <v>329</v>
      </c>
      <c r="B563" s="10" t="s">
        <v>90</v>
      </c>
      <c r="C563" s="10" t="s">
        <v>427</v>
      </c>
      <c r="D563" s="10" t="s">
        <v>746</v>
      </c>
    </row>
    <row r="564" customFormat="false" ht="68.65" hidden="false" customHeight="false" outlineLevel="0" collapsed="false">
      <c r="A564" s="10" t="s">
        <v>329</v>
      </c>
      <c r="B564" s="10" t="s">
        <v>90</v>
      </c>
      <c r="C564" s="10" t="s">
        <v>427</v>
      </c>
      <c r="D564" s="10" t="s">
        <v>639</v>
      </c>
    </row>
    <row r="565" customFormat="false" ht="35.05" hidden="false" customHeight="false" outlineLevel="0" collapsed="false">
      <c r="A565" s="10" t="s">
        <v>329</v>
      </c>
      <c r="B565" s="10" t="s">
        <v>90</v>
      </c>
      <c r="C565" s="10" t="s">
        <v>427</v>
      </c>
      <c r="D565" s="10" t="s">
        <v>507</v>
      </c>
    </row>
    <row r="566" customFormat="false" ht="35.05" hidden="false" customHeight="false" outlineLevel="0" collapsed="false">
      <c r="A566" s="10" t="s">
        <v>329</v>
      </c>
      <c r="B566" s="10" t="s">
        <v>90</v>
      </c>
      <c r="C566" s="10" t="s">
        <v>427</v>
      </c>
      <c r="D566" s="10" t="s">
        <v>747</v>
      </c>
    </row>
    <row r="567" customFormat="false" ht="35.05" hidden="false" customHeight="false" outlineLevel="0" collapsed="false">
      <c r="A567" s="10" t="s">
        <v>329</v>
      </c>
      <c r="B567" s="10" t="s">
        <v>83</v>
      </c>
      <c r="C567" s="10" t="s">
        <v>427</v>
      </c>
      <c r="D567" s="10" t="s">
        <v>748</v>
      </c>
    </row>
    <row r="568" customFormat="false" ht="23.85" hidden="false" customHeight="false" outlineLevel="0" collapsed="false">
      <c r="A568" s="10" t="s">
        <v>329</v>
      </c>
      <c r="B568" s="10" t="s">
        <v>83</v>
      </c>
      <c r="C568" s="10" t="s">
        <v>427</v>
      </c>
      <c r="D568" s="10" t="s">
        <v>749</v>
      </c>
    </row>
    <row r="569" customFormat="false" ht="35.05" hidden="false" customHeight="false" outlineLevel="0" collapsed="false">
      <c r="A569" s="10" t="s">
        <v>329</v>
      </c>
      <c r="B569" s="10" t="s">
        <v>83</v>
      </c>
      <c r="C569" s="10" t="s">
        <v>427</v>
      </c>
      <c r="D569" s="10" t="s">
        <v>750</v>
      </c>
    </row>
    <row r="570" customFormat="false" ht="23.85" hidden="false" customHeight="false" outlineLevel="0" collapsed="false">
      <c r="A570" s="10" t="s">
        <v>329</v>
      </c>
      <c r="B570" s="10" t="s">
        <v>183</v>
      </c>
      <c r="C570" s="10" t="s">
        <v>427</v>
      </c>
      <c r="D570" s="10" t="s">
        <v>751</v>
      </c>
    </row>
    <row r="571" customFormat="false" ht="23.85" hidden="false" customHeight="false" outlineLevel="0" collapsed="false">
      <c r="A571" s="10" t="s">
        <v>329</v>
      </c>
      <c r="B571" s="10" t="s">
        <v>183</v>
      </c>
      <c r="C571" s="10" t="s">
        <v>427</v>
      </c>
      <c r="D571" s="10" t="s">
        <v>752</v>
      </c>
    </row>
    <row r="572" customFormat="false" ht="15" hidden="false" customHeight="false" outlineLevel="0" collapsed="false">
      <c r="A572" s="10" t="s">
        <v>329</v>
      </c>
      <c r="B572" s="10" t="s">
        <v>183</v>
      </c>
      <c r="C572" s="10" t="s">
        <v>427</v>
      </c>
      <c r="D572" s="10" t="s">
        <v>753</v>
      </c>
    </row>
    <row r="573" customFormat="false" ht="23.85" hidden="false" customHeight="false" outlineLevel="0" collapsed="false">
      <c r="A573" s="10" t="s">
        <v>329</v>
      </c>
      <c r="B573" s="10" t="s">
        <v>183</v>
      </c>
      <c r="C573" s="10" t="s">
        <v>427</v>
      </c>
      <c r="D573" s="10" t="s">
        <v>434</v>
      </c>
    </row>
    <row r="574" customFormat="false" ht="15" hidden="false" customHeight="false" outlineLevel="0" collapsed="false">
      <c r="A574" s="10" t="s">
        <v>329</v>
      </c>
      <c r="B574" s="10" t="s">
        <v>183</v>
      </c>
      <c r="C574" s="10" t="s">
        <v>427</v>
      </c>
      <c r="D574" s="10" t="s">
        <v>530</v>
      </c>
    </row>
    <row r="575" customFormat="false" ht="57.45" hidden="false" customHeight="false" outlineLevel="0" collapsed="false">
      <c r="A575" s="10" t="s">
        <v>329</v>
      </c>
      <c r="B575" s="10" t="s">
        <v>183</v>
      </c>
      <c r="C575" s="10" t="s">
        <v>427</v>
      </c>
      <c r="D575" s="10" t="s">
        <v>409</v>
      </c>
    </row>
    <row r="576" customFormat="false" ht="46.25" hidden="false" customHeight="false" outlineLevel="0" collapsed="false">
      <c r="A576" s="10" t="s">
        <v>329</v>
      </c>
      <c r="B576" s="10" t="s">
        <v>133</v>
      </c>
      <c r="C576" s="10" t="s">
        <v>427</v>
      </c>
      <c r="D576" s="10" t="s">
        <v>754</v>
      </c>
    </row>
    <row r="577" customFormat="false" ht="35.05" hidden="false" customHeight="false" outlineLevel="0" collapsed="false">
      <c r="A577" s="10" t="s">
        <v>329</v>
      </c>
      <c r="B577" s="10" t="s">
        <v>133</v>
      </c>
      <c r="C577" s="10" t="s">
        <v>427</v>
      </c>
      <c r="D577" s="10" t="s">
        <v>755</v>
      </c>
    </row>
    <row r="578" customFormat="false" ht="46.25" hidden="false" customHeight="false" outlineLevel="0" collapsed="false">
      <c r="A578" s="10" t="s">
        <v>329</v>
      </c>
      <c r="B578" s="10" t="s">
        <v>116</v>
      </c>
      <c r="C578" s="10" t="s">
        <v>427</v>
      </c>
      <c r="D578" s="10" t="s">
        <v>756</v>
      </c>
    </row>
    <row r="579" customFormat="false" ht="23.85" hidden="false" customHeight="false" outlineLevel="0" collapsed="false">
      <c r="A579" s="10" t="s">
        <v>329</v>
      </c>
      <c r="B579" s="10" t="s">
        <v>116</v>
      </c>
      <c r="C579" s="10" t="s">
        <v>427</v>
      </c>
      <c r="D579" s="10" t="s">
        <v>574</v>
      </c>
    </row>
    <row r="580" customFormat="false" ht="35.05" hidden="false" customHeight="false" outlineLevel="0" collapsed="false">
      <c r="A580" s="10" t="s">
        <v>329</v>
      </c>
      <c r="B580" s="10" t="s">
        <v>116</v>
      </c>
      <c r="C580" s="10" t="s">
        <v>427</v>
      </c>
      <c r="D580" s="10" t="s">
        <v>575</v>
      </c>
    </row>
    <row r="581" customFormat="false" ht="23.85" hidden="false" customHeight="false" outlineLevel="0" collapsed="false">
      <c r="A581" s="10" t="s">
        <v>329</v>
      </c>
      <c r="B581" s="10" t="s">
        <v>116</v>
      </c>
      <c r="C581" s="10" t="s">
        <v>427</v>
      </c>
      <c r="D581" s="10" t="s">
        <v>577</v>
      </c>
    </row>
    <row r="582" customFormat="false" ht="23.85" hidden="false" customHeight="false" outlineLevel="0" collapsed="false">
      <c r="A582" s="10" t="s">
        <v>329</v>
      </c>
      <c r="B582" s="10" t="s">
        <v>58</v>
      </c>
      <c r="C582" s="10" t="s">
        <v>427</v>
      </c>
      <c r="D582" s="10" t="s">
        <v>757</v>
      </c>
    </row>
    <row r="583" customFormat="false" ht="35.05" hidden="false" customHeight="false" outlineLevel="0" collapsed="false">
      <c r="A583" s="10" t="s">
        <v>329</v>
      </c>
      <c r="B583" s="10" t="s">
        <v>71</v>
      </c>
      <c r="C583" s="10" t="s">
        <v>427</v>
      </c>
      <c r="D583" s="10" t="s">
        <v>317</v>
      </c>
    </row>
    <row r="584" customFormat="false" ht="23.85" hidden="false" customHeight="false" outlineLevel="0" collapsed="false">
      <c r="A584" s="10" t="s">
        <v>329</v>
      </c>
      <c r="B584" s="10" t="s">
        <v>71</v>
      </c>
      <c r="C584" s="10" t="s">
        <v>427</v>
      </c>
      <c r="D584" s="10" t="s">
        <v>104</v>
      </c>
    </row>
    <row r="585" customFormat="false" ht="23.85" hidden="false" customHeight="false" outlineLevel="0" collapsed="false">
      <c r="A585" s="10" t="s">
        <v>212</v>
      </c>
      <c r="B585" s="10" t="s">
        <v>57</v>
      </c>
      <c r="C585" s="10" t="s">
        <v>427</v>
      </c>
      <c r="D585" s="10" t="s">
        <v>581</v>
      </c>
    </row>
    <row r="586" customFormat="false" ht="35.05" hidden="false" customHeight="false" outlineLevel="0" collapsed="false">
      <c r="A586" s="10" t="s">
        <v>212</v>
      </c>
      <c r="B586" s="10" t="s">
        <v>90</v>
      </c>
      <c r="C586" s="10" t="s">
        <v>427</v>
      </c>
      <c r="D586" s="10" t="s">
        <v>596</v>
      </c>
    </row>
    <row r="587" customFormat="false" ht="23.85" hidden="false" customHeight="false" outlineLevel="0" collapsed="false">
      <c r="A587" s="10" t="s">
        <v>212</v>
      </c>
      <c r="B587" s="10" t="s">
        <v>90</v>
      </c>
      <c r="C587" s="10" t="s">
        <v>427</v>
      </c>
      <c r="D587" s="10" t="s">
        <v>597</v>
      </c>
    </row>
    <row r="588" customFormat="false" ht="23.85" hidden="false" customHeight="false" outlineLevel="0" collapsed="false">
      <c r="A588" s="10" t="s">
        <v>212</v>
      </c>
      <c r="B588" s="10" t="s">
        <v>90</v>
      </c>
      <c r="C588" s="10" t="s">
        <v>427</v>
      </c>
      <c r="D588" s="10" t="s">
        <v>598</v>
      </c>
    </row>
    <row r="589" customFormat="false" ht="35.05" hidden="false" customHeight="false" outlineLevel="0" collapsed="false">
      <c r="A589" s="10" t="s">
        <v>212</v>
      </c>
      <c r="B589" s="10" t="s">
        <v>90</v>
      </c>
      <c r="C589" s="10" t="s">
        <v>427</v>
      </c>
      <c r="D589" s="10" t="s">
        <v>582</v>
      </c>
    </row>
    <row r="590" customFormat="false" ht="35.05" hidden="false" customHeight="false" outlineLevel="0" collapsed="false">
      <c r="A590" s="10" t="s">
        <v>212</v>
      </c>
      <c r="B590" s="10" t="s">
        <v>147</v>
      </c>
      <c r="C590" s="10" t="s">
        <v>427</v>
      </c>
      <c r="D590" s="10" t="s">
        <v>217</v>
      </c>
    </row>
    <row r="591" customFormat="false" ht="46.25" hidden="false" customHeight="false" outlineLevel="0" collapsed="false">
      <c r="A591" s="10" t="s">
        <v>212</v>
      </c>
      <c r="B591" s="10" t="s">
        <v>147</v>
      </c>
      <c r="C591" s="10" t="s">
        <v>427</v>
      </c>
      <c r="D591" s="10" t="s">
        <v>311</v>
      </c>
    </row>
    <row r="592" customFormat="false" ht="23.85" hidden="false" customHeight="false" outlineLevel="0" collapsed="false">
      <c r="A592" s="10" t="s">
        <v>212</v>
      </c>
      <c r="B592" s="10" t="s">
        <v>147</v>
      </c>
      <c r="C592" s="10" t="s">
        <v>427</v>
      </c>
      <c r="D592" s="10" t="s">
        <v>758</v>
      </c>
    </row>
    <row r="593" customFormat="false" ht="23.85" hidden="false" customHeight="false" outlineLevel="0" collapsed="false">
      <c r="A593" s="10" t="s">
        <v>212</v>
      </c>
      <c r="B593" s="10" t="s">
        <v>147</v>
      </c>
      <c r="C593" s="10" t="s">
        <v>427</v>
      </c>
      <c r="D593" s="10" t="s">
        <v>759</v>
      </c>
    </row>
    <row r="594" customFormat="false" ht="23.85" hidden="false" customHeight="false" outlineLevel="0" collapsed="false">
      <c r="A594" s="10" t="s">
        <v>212</v>
      </c>
      <c r="B594" s="10" t="s">
        <v>147</v>
      </c>
      <c r="C594" s="10" t="s">
        <v>427</v>
      </c>
      <c r="D594" s="10" t="s">
        <v>760</v>
      </c>
    </row>
    <row r="595" customFormat="false" ht="23.85" hidden="false" customHeight="false" outlineLevel="0" collapsed="false">
      <c r="A595" s="10" t="s">
        <v>212</v>
      </c>
      <c r="B595" s="10" t="s">
        <v>147</v>
      </c>
      <c r="C595" s="10" t="s">
        <v>427</v>
      </c>
      <c r="D595" s="10" t="s">
        <v>761</v>
      </c>
    </row>
    <row r="596" customFormat="false" ht="35.05" hidden="false" customHeight="false" outlineLevel="0" collapsed="false">
      <c r="A596" s="10" t="s">
        <v>212</v>
      </c>
      <c r="B596" s="10" t="s">
        <v>147</v>
      </c>
      <c r="C596" s="10" t="s">
        <v>427</v>
      </c>
      <c r="D596" s="10" t="s">
        <v>762</v>
      </c>
    </row>
    <row r="597" customFormat="false" ht="35.05" hidden="false" customHeight="false" outlineLevel="0" collapsed="false">
      <c r="A597" s="10" t="s">
        <v>212</v>
      </c>
      <c r="B597" s="10" t="s">
        <v>147</v>
      </c>
      <c r="C597" s="10" t="s">
        <v>427</v>
      </c>
      <c r="D597" s="10" t="s">
        <v>763</v>
      </c>
    </row>
    <row r="598" customFormat="false" ht="15" hidden="false" customHeight="false" outlineLevel="0" collapsed="false">
      <c r="A598" s="10" t="s">
        <v>212</v>
      </c>
      <c r="B598" s="10" t="s">
        <v>147</v>
      </c>
      <c r="C598" s="10" t="s">
        <v>427</v>
      </c>
      <c r="D598" s="10" t="s">
        <v>764</v>
      </c>
    </row>
    <row r="599" customFormat="false" ht="23.85" hidden="false" customHeight="false" outlineLevel="0" collapsed="false">
      <c r="A599" s="10" t="s">
        <v>212</v>
      </c>
      <c r="B599" s="10" t="s">
        <v>147</v>
      </c>
      <c r="C599" s="10" t="s">
        <v>427</v>
      </c>
      <c r="D599" s="10" t="s">
        <v>765</v>
      </c>
    </row>
    <row r="600" customFormat="false" ht="15" hidden="false" customHeight="false" outlineLevel="0" collapsed="false">
      <c r="A600" s="10" t="s">
        <v>212</v>
      </c>
      <c r="B600" s="10" t="s">
        <v>147</v>
      </c>
      <c r="C600" s="10" t="s">
        <v>427</v>
      </c>
      <c r="D600" s="10" t="s">
        <v>766</v>
      </c>
    </row>
    <row r="601" customFormat="false" ht="15" hidden="false" customHeight="false" outlineLevel="0" collapsed="false">
      <c r="A601" s="10" t="s">
        <v>212</v>
      </c>
      <c r="B601" s="10" t="s">
        <v>147</v>
      </c>
      <c r="C601" s="10" t="s">
        <v>427</v>
      </c>
      <c r="D601" s="10" t="s">
        <v>767</v>
      </c>
    </row>
    <row r="602" customFormat="false" ht="15" hidden="false" customHeight="false" outlineLevel="0" collapsed="false">
      <c r="A602" s="10" t="s">
        <v>212</v>
      </c>
      <c r="B602" s="10" t="s">
        <v>147</v>
      </c>
      <c r="C602" s="10" t="s">
        <v>427</v>
      </c>
      <c r="D602" s="10" t="s">
        <v>768</v>
      </c>
    </row>
    <row r="603" customFormat="false" ht="15" hidden="false" customHeight="false" outlineLevel="0" collapsed="false">
      <c r="A603" s="10" t="s">
        <v>212</v>
      </c>
      <c r="B603" s="10" t="s">
        <v>147</v>
      </c>
      <c r="C603" s="10" t="s">
        <v>427</v>
      </c>
      <c r="D603" s="10" t="s">
        <v>769</v>
      </c>
    </row>
    <row r="604" customFormat="false" ht="35.05" hidden="false" customHeight="false" outlineLevel="0" collapsed="false">
      <c r="A604" s="10" t="s">
        <v>212</v>
      </c>
      <c r="B604" s="10" t="s">
        <v>147</v>
      </c>
      <c r="C604" s="10" t="s">
        <v>427</v>
      </c>
      <c r="D604" s="10" t="s">
        <v>770</v>
      </c>
    </row>
    <row r="605" customFormat="false" ht="23.85" hidden="false" customHeight="false" outlineLevel="0" collapsed="false">
      <c r="A605" s="10" t="s">
        <v>212</v>
      </c>
      <c r="B605" s="10" t="s">
        <v>147</v>
      </c>
      <c r="C605" s="10" t="s">
        <v>427</v>
      </c>
      <c r="D605" s="10" t="s">
        <v>771</v>
      </c>
    </row>
    <row r="606" customFormat="false" ht="35.05" hidden="false" customHeight="false" outlineLevel="0" collapsed="false">
      <c r="A606" s="10" t="s">
        <v>212</v>
      </c>
      <c r="B606" s="10" t="s">
        <v>147</v>
      </c>
      <c r="C606" s="10" t="s">
        <v>427</v>
      </c>
      <c r="D606" s="10" t="s">
        <v>772</v>
      </c>
    </row>
    <row r="607" customFormat="false" ht="23.85" hidden="false" customHeight="false" outlineLevel="0" collapsed="false">
      <c r="A607" s="10" t="s">
        <v>212</v>
      </c>
      <c r="B607" s="10" t="s">
        <v>147</v>
      </c>
      <c r="C607" s="10" t="s">
        <v>427</v>
      </c>
      <c r="D607" s="10" t="s">
        <v>773</v>
      </c>
    </row>
    <row r="608" customFormat="false" ht="23.85" hidden="false" customHeight="false" outlineLevel="0" collapsed="false">
      <c r="A608" s="10" t="s">
        <v>212</v>
      </c>
      <c r="B608" s="10" t="s">
        <v>147</v>
      </c>
      <c r="C608" s="10" t="s">
        <v>427</v>
      </c>
      <c r="D608" s="10" t="s">
        <v>774</v>
      </c>
    </row>
    <row r="609" customFormat="false" ht="15" hidden="false" customHeight="false" outlineLevel="0" collapsed="false">
      <c r="A609" s="10" t="s">
        <v>212</v>
      </c>
      <c r="B609" s="10" t="s">
        <v>147</v>
      </c>
      <c r="C609" s="10" t="s">
        <v>427</v>
      </c>
      <c r="D609" s="10" t="s">
        <v>775</v>
      </c>
    </row>
    <row r="610" customFormat="false" ht="23.85" hidden="false" customHeight="false" outlineLevel="0" collapsed="false">
      <c r="A610" s="10" t="s">
        <v>212</v>
      </c>
      <c r="B610" s="10" t="s">
        <v>147</v>
      </c>
      <c r="C610" s="10" t="s">
        <v>427</v>
      </c>
      <c r="D610" s="10" t="s">
        <v>776</v>
      </c>
    </row>
    <row r="611" customFormat="false" ht="15" hidden="false" customHeight="false" outlineLevel="0" collapsed="false">
      <c r="A611" s="10" t="s">
        <v>212</v>
      </c>
      <c r="B611" s="10" t="s">
        <v>183</v>
      </c>
      <c r="C611" s="10" t="s">
        <v>427</v>
      </c>
      <c r="D611" s="10" t="s">
        <v>460</v>
      </c>
    </row>
    <row r="612" customFormat="false" ht="35.05" hidden="false" customHeight="false" outlineLevel="0" collapsed="false">
      <c r="A612" s="10" t="s">
        <v>212</v>
      </c>
      <c r="B612" s="10" t="s">
        <v>150</v>
      </c>
      <c r="C612" s="10" t="s">
        <v>427</v>
      </c>
      <c r="D612" s="10" t="s">
        <v>570</v>
      </c>
    </row>
    <row r="613" customFormat="false" ht="23.85" hidden="false" customHeight="false" outlineLevel="0" collapsed="false">
      <c r="A613" s="10" t="s">
        <v>212</v>
      </c>
      <c r="B613" s="10" t="s">
        <v>116</v>
      </c>
      <c r="C613" s="10" t="s">
        <v>427</v>
      </c>
      <c r="D613" s="10" t="s">
        <v>777</v>
      </c>
    </row>
    <row r="614" customFormat="false" ht="23.85" hidden="false" customHeight="false" outlineLevel="0" collapsed="false">
      <c r="A614" s="10" t="s">
        <v>212</v>
      </c>
      <c r="B614" s="10" t="s">
        <v>116</v>
      </c>
      <c r="C614" s="10" t="s">
        <v>427</v>
      </c>
      <c r="D614" s="10" t="s">
        <v>193</v>
      </c>
    </row>
    <row r="615" customFormat="false" ht="23.85" hidden="false" customHeight="false" outlineLevel="0" collapsed="false">
      <c r="A615" s="10" t="s">
        <v>212</v>
      </c>
      <c r="B615" s="10" t="s">
        <v>116</v>
      </c>
      <c r="C615" s="10" t="s">
        <v>427</v>
      </c>
      <c r="D615" s="10" t="s">
        <v>214</v>
      </c>
    </row>
    <row r="616" customFormat="false" ht="15" hidden="false" customHeight="false" outlineLevel="0" collapsed="false">
      <c r="A616" s="10" t="s">
        <v>212</v>
      </c>
      <c r="B616" s="10" t="s">
        <v>116</v>
      </c>
      <c r="C616" s="10" t="s">
        <v>427</v>
      </c>
      <c r="D616" s="10" t="s">
        <v>778</v>
      </c>
    </row>
    <row r="617" customFormat="false" ht="15" hidden="false" customHeight="false" outlineLevel="0" collapsed="false">
      <c r="A617" s="10" t="s">
        <v>304</v>
      </c>
      <c r="B617" s="10" t="s">
        <v>147</v>
      </c>
      <c r="C617" s="10" t="s">
        <v>427</v>
      </c>
      <c r="D617" s="10" t="s">
        <v>779</v>
      </c>
    </row>
    <row r="618" customFormat="false" ht="35.05" hidden="false" customHeight="false" outlineLevel="0" collapsed="false">
      <c r="A618" s="10" t="s">
        <v>304</v>
      </c>
      <c r="B618" s="10" t="s">
        <v>147</v>
      </c>
      <c r="C618" s="10" t="s">
        <v>427</v>
      </c>
      <c r="D618" s="10" t="s">
        <v>217</v>
      </c>
    </row>
    <row r="619" customFormat="false" ht="35.05" hidden="false" customHeight="false" outlineLevel="0" collapsed="false">
      <c r="A619" s="10" t="s">
        <v>304</v>
      </c>
      <c r="B619" s="10" t="s">
        <v>147</v>
      </c>
      <c r="C619" s="10" t="s">
        <v>427</v>
      </c>
      <c r="D619" s="10" t="s">
        <v>780</v>
      </c>
    </row>
    <row r="620" customFormat="false" ht="35.05" hidden="false" customHeight="false" outlineLevel="0" collapsed="false">
      <c r="A620" s="10" t="s">
        <v>304</v>
      </c>
      <c r="B620" s="10" t="s">
        <v>147</v>
      </c>
      <c r="C620" s="10" t="s">
        <v>427</v>
      </c>
      <c r="D620" s="10" t="s">
        <v>762</v>
      </c>
    </row>
    <row r="621" customFormat="false" ht="15" hidden="false" customHeight="false" outlineLevel="0" collapsed="false">
      <c r="A621" s="10" t="s">
        <v>304</v>
      </c>
      <c r="B621" s="10" t="s">
        <v>147</v>
      </c>
      <c r="C621" s="10" t="s">
        <v>427</v>
      </c>
      <c r="D621" s="10" t="s">
        <v>781</v>
      </c>
    </row>
    <row r="622" customFormat="false" ht="46.25" hidden="false" customHeight="false" outlineLevel="0" collapsed="false">
      <c r="A622" s="10" t="s">
        <v>304</v>
      </c>
      <c r="B622" s="10" t="s">
        <v>147</v>
      </c>
      <c r="C622" s="10" t="s">
        <v>427</v>
      </c>
      <c r="D622" s="10" t="s">
        <v>782</v>
      </c>
    </row>
    <row r="623" customFormat="false" ht="35.05" hidden="false" customHeight="false" outlineLevel="0" collapsed="false">
      <c r="A623" s="10" t="s">
        <v>304</v>
      </c>
      <c r="B623" s="10" t="s">
        <v>147</v>
      </c>
      <c r="C623" s="10" t="s">
        <v>427</v>
      </c>
      <c r="D623" s="10" t="s">
        <v>447</v>
      </c>
    </row>
    <row r="624" customFormat="false" ht="15" hidden="false" customHeight="false" outlineLevel="0" collapsed="false">
      <c r="A624" s="10" t="s">
        <v>304</v>
      </c>
      <c r="B624" s="10" t="s">
        <v>183</v>
      </c>
      <c r="C624" s="10" t="s">
        <v>427</v>
      </c>
      <c r="D624" s="10" t="s">
        <v>783</v>
      </c>
    </row>
    <row r="625" customFormat="false" ht="15" hidden="false" customHeight="false" outlineLevel="0" collapsed="false">
      <c r="A625" s="10" t="s">
        <v>304</v>
      </c>
      <c r="B625" s="10" t="s">
        <v>183</v>
      </c>
      <c r="C625" s="10" t="s">
        <v>427</v>
      </c>
      <c r="D625" s="10" t="s">
        <v>784</v>
      </c>
    </row>
    <row r="626" customFormat="false" ht="35.05" hidden="false" customHeight="false" outlineLevel="0" collapsed="false">
      <c r="A626" s="10" t="s">
        <v>304</v>
      </c>
      <c r="B626" s="10" t="s">
        <v>183</v>
      </c>
      <c r="C626" s="10" t="s">
        <v>427</v>
      </c>
      <c r="D626" s="10" t="s">
        <v>306</v>
      </c>
    </row>
    <row r="627" customFormat="false" ht="23.85" hidden="false" customHeight="false" outlineLevel="0" collapsed="false">
      <c r="A627" s="10" t="s">
        <v>114</v>
      </c>
      <c r="B627" s="10" t="s">
        <v>90</v>
      </c>
      <c r="C627" s="10" t="s">
        <v>427</v>
      </c>
      <c r="D627" s="10" t="s">
        <v>486</v>
      </c>
    </row>
    <row r="628" customFormat="false" ht="46.25" hidden="false" customHeight="false" outlineLevel="0" collapsed="false">
      <c r="A628" s="10" t="s">
        <v>114</v>
      </c>
      <c r="B628" s="10" t="s">
        <v>90</v>
      </c>
      <c r="C628" s="10" t="s">
        <v>427</v>
      </c>
      <c r="D628" s="10" t="s">
        <v>487</v>
      </c>
    </row>
    <row r="629" customFormat="false" ht="46.25" hidden="false" customHeight="false" outlineLevel="0" collapsed="false">
      <c r="A629" s="10" t="s">
        <v>114</v>
      </c>
      <c r="B629" s="10" t="s">
        <v>133</v>
      </c>
      <c r="C629" s="10" t="s">
        <v>427</v>
      </c>
      <c r="D629" s="10" t="s">
        <v>223</v>
      </c>
    </row>
    <row r="630" customFormat="false" ht="35.05" hidden="false" customHeight="false" outlineLevel="0" collapsed="false">
      <c r="A630" s="10" t="s">
        <v>114</v>
      </c>
      <c r="B630" s="10" t="s">
        <v>116</v>
      </c>
      <c r="C630" s="10" t="s">
        <v>427</v>
      </c>
      <c r="D630" s="10" t="s">
        <v>117</v>
      </c>
    </row>
    <row r="631" customFormat="false" ht="23.85" hidden="false" customHeight="false" outlineLevel="0" collapsed="false">
      <c r="A631" s="10" t="s">
        <v>114</v>
      </c>
      <c r="B631" s="10" t="s">
        <v>116</v>
      </c>
      <c r="C631" s="10" t="s">
        <v>450</v>
      </c>
      <c r="D631" s="10" t="s">
        <v>451</v>
      </c>
    </row>
    <row r="632" customFormat="false" ht="15" hidden="false" customHeight="false" outlineLevel="0" collapsed="false">
      <c r="A632" s="10" t="s">
        <v>289</v>
      </c>
      <c r="B632" s="10" t="s">
        <v>147</v>
      </c>
      <c r="C632" s="10" t="s">
        <v>427</v>
      </c>
      <c r="D632" s="10" t="s">
        <v>785</v>
      </c>
    </row>
    <row r="633" customFormat="false" ht="15" hidden="false" customHeight="false" outlineLevel="0" collapsed="false">
      <c r="A633" s="10" t="s">
        <v>289</v>
      </c>
      <c r="B633" s="10" t="s">
        <v>147</v>
      </c>
      <c r="C633" s="10" t="s">
        <v>427</v>
      </c>
      <c r="D633" s="10" t="s">
        <v>781</v>
      </c>
    </row>
    <row r="634" customFormat="false" ht="46.25" hidden="false" customHeight="false" outlineLevel="0" collapsed="false">
      <c r="A634" s="10" t="s">
        <v>289</v>
      </c>
      <c r="B634" s="10" t="s">
        <v>147</v>
      </c>
      <c r="C634" s="10" t="s">
        <v>427</v>
      </c>
      <c r="D634" s="10" t="s">
        <v>782</v>
      </c>
    </row>
    <row r="635" customFormat="false" ht="23.85" hidden="false" customHeight="false" outlineLevel="0" collapsed="false">
      <c r="A635" s="10" t="s">
        <v>289</v>
      </c>
      <c r="B635" s="10" t="s">
        <v>183</v>
      </c>
      <c r="C635" s="10" t="s">
        <v>427</v>
      </c>
      <c r="D635" s="10" t="s">
        <v>786</v>
      </c>
    </row>
    <row r="636" customFormat="false" ht="15" hidden="false" customHeight="false" outlineLevel="0" collapsed="false">
      <c r="A636" s="10" t="s">
        <v>289</v>
      </c>
      <c r="B636" s="10" t="s">
        <v>183</v>
      </c>
      <c r="C636" s="10" t="s">
        <v>427</v>
      </c>
      <c r="D636" s="10" t="s">
        <v>787</v>
      </c>
    </row>
    <row r="637" customFormat="false" ht="15" hidden="false" customHeight="false" outlineLevel="0" collapsed="false">
      <c r="A637" s="10" t="s">
        <v>289</v>
      </c>
      <c r="B637" s="10" t="s">
        <v>183</v>
      </c>
      <c r="C637" s="10" t="s">
        <v>427</v>
      </c>
      <c r="D637" s="10" t="s">
        <v>788</v>
      </c>
    </row>
    <row r="638" customFormat="false" ht="23.85" hidden="false" customHeight="false" outlineLevel="0" collapsed="false">
      <c r="A638" s="10" t="s">
        <v>289</v>
      </c>
      <c r="B638" s="10" t="s">
        <v>133</v>
      </c>
      <c r="C638" s="10" t="s">
        <v>427</v>
      </c>
      <c r="D638" s="10" t="s">
        <v>789</v>
      </c>
    </row>
    <row r="639" customFormat="false" ht="23.85" hidden="false" customHeight="false" outlineLevel="0" collapsed="false">
      <c r="A639" s="10" t="s">
        <v>289</v>
      </c>
      <c r="B639" s="10" t="s">
        <v>133</v>
      </c>
      <c r="C639" s="10" t="s">
        <v>427</v>
      </c>
      <c r="D639" s="10" t="s">
        <v>790</v>
      </c>
    </row>
    <row r="640" customFormat="false" ht="23.85" hidden="false" customHeight="false" outlineLevel="0" collapsed="false">
      <c r="A640" s="10" t="s">
        <v>289</v>
      </c>
      <c r="B640" s="10" t="s">
        <v>133</v>
      </c>
      <c r="C640" s="10" t="s">
        <v>427</v>
      </c>
      <c r="D640" s="10" t="s">
        <v>791</v>
      </c>
    </row>
    <row r="641" customFormat="false" ht="23.85" hidden="false" customHeight="false" outlineLevel="0" collapsed="false">
      <c r="A641" s="10" t="s">
        <v>289</v>
      </c>
      <c r="B641" s="10" t="s">
        <v>133</v>
      </c>
      <c r="C641" s="10" t="s">
        <v>427</v>
      </c>
      <c r="D641" s="10" t="s">
        <v>792</v>
      </c>
    </row>
    <row r="642" customFormat="false" ht="35.05" hidden="false" customHeight="false" outlineLevel="0" collapsed="false">
      <c r="A642" s="10" t="s">
        <v>289</v>
      </c>
      <c r="B642" s="10" t="s">
        <v>133</v>
      </c>
      <c r="C642" s="10" t="s">
        <v>427</v>
      </c>
      <c r="D642" s="10" t="s">
        <v>793</v>
      </c>
    </row>
    <row r="643" customFormat="false" ht="23.85" hidden="false" customHeight="false" outlineLevel="0" collapsed="false">
      <c r="A643" s="10" t="s">
        <v>289</v>
      </c>
      <c r="B643" s="10" t="s">
        <v>116</v>
      </c>
      <c r="C643" s="10" t="s">
        <v>427</v>
      </c>
      <c r="D643" s="10" t="s">
        <v>292</v>
      </c>
    </row>
    <row r="644" customFormat="false" ht="15" hidden="false" customHeight="false" outlineLevel="0" collapsed="false">
      <c r="A644" s="10" t="s">
        <v>165</v>
      </c>
      <c r="B644" s="10" t="s">
        <v>90</v>
      </c>
      <c r="C644" s="10" t="s">
        <v>427</v>
      </c>
      <c r="D644" s="10" t="s">
        <v>659</v>
      </c>
    </row>
    <row r="645" customFormat="false" ht="15" hidden="false" customHeight="false" outlineLevel="0" collapsed="false">
      <c r="A645" s="10" t="s">
        <v>165</v>
      </c>
      <c r="B645" s="10" t="s">
        <v>133</v>
      </c>
      <c r="C645" s="10" t="s">
        <v>427</v>
      </c>
      <c r="D645" s="10" t="s">
        <v>794</v>
      </c>
    </row>
    <row r="646" customFormat="false" ht="35.05" hidden="false" customHeight="false" outlineLevel="0" collapsed="false">
      <c r="A646" s="10" t="s">
        <v>165</v>
      </c>
      <c r="B646" s="10" t="s">
        <v>133</v>
      </c>
      <c r="C646" s="10" t="s">
        <v>427</v>
      </c>
      <c r="D646" s="10" t="s">
        <v>484</v>
      </c>
    </row>
    <row r="647" customFormat="false" ht="35.05" hidden="false" customHeight="false" outlineLevel="0" collapsed="false">
      <c r="A647" s="10" t="s">
        <v>165</v>
      </c>
      <c r="B647" s="10" t="s">
        <v>133</v>
      </c>
      <c r="C647" s="10" t="s">
        <v>427</v>
      </c>
      <c r="D647" s="10" t="s">
        <v>795</v>
      </c>
    </row>
    <row r="648" customFormat="false" ht="15" hidden="false" customHeight="false" outlineLevel="0" collapsed="false">
      <c r="A648" s="10" t="s">
        <v>165</v>
      </c>
      <c r="B648" s="10" t="s">
        <v>133</v>
      </c>
      <c r="C648" s="10" t="s">
        <v>427</v>
      </c>
      <c r="D648" s="10" t="s">
        <v>796</v>
      </c>
    </row>
    <row r="649" customFormat="false" ht="35.05" hidden="false" customHeight="false" outlineLevel="0" collapsed="false">
      <c r="A649" s="10" t="s">
        <v>165</v>
      </c>
      <c r="B649" s="10" t="s">
        <v>133</v>
      </c>
      <c r="C649" s="10" t="s">
        <v>427</v>
      </c>
      <c r="D649" s="10" t="s">
        <v>568</v>
      </c>
    </row>
    <row r="650" customFormat="false" ht="23.85" hidden="false" customHeight="false" outlineLevel="0" collapsed="false">
      <c r="A650" s="10" t="s">
        <v>165</v>
      </c>
      <c r="B650" s="10" t="s">
        <v>133</v>
      </c>
      <c r="C650" s="10" t="s">
        <v>427</v>
      </c>
      <c r="D650" s="10" t="s">
        <v>144</v>
      </c>
    </row>
    <row r="651" customFormat="false" ht="23.85" hidden="false" customHeight="false" outlineLevel="0" collapsed="false">
      <c r="A651" s="10" t="s">
        <v>165</v>
      </c>
      <c r="B651" s="10" t="s">
        <v>133</v>
      </c>
      <c r="C651" s="10" t="s">
        <v>427</v>
      </c>
      <c r="D651" s="10" t="s">
        <v>797</v>
      </c>
    </row>
    <row r="652" customFormat="false" ht="35.05" hidden="false" customHeight="false" outlineLevel="0" collapsed="false">
      <c r="A652" s="10" t="s">
        <v>165</v>
      </c>
      <c r="B652" s="10" t="s">
        <v>150</v>
      </c>
      <c r="C652" s="10" t="s">
        <v>427</v>
      </c>
      <c r="D652" s="10" t="s">
        <v>569</v>
      </c>
    </row>
    <row r="653" customFormat="false" ht="35.05" hidden="false" customHeight="false" outlineLevel="0" collapsed="false">
      <c r="A653" s="10" t="s">
        <v>165</v>
      </c>
      <c r="B653" s="10" t="s">
        <v>58</v>
      </c>
      <c r="C653" s="10" t="s">
        <v>427</v>
      </c>
      <c r="D653" s="10" t="s">
        <v>798</v>
      </c>
    </row>
    <row r="654" customFormat="false" ht="23.85" hidden="false" customHeight="false" outlineLevel="0" collapsed="false">
      <c r="A654" s="10" t="s">
        <v>165</v>
      </c>
      <c r="B654" s="10" t="s">
        <v>58</v>
      </c>
      <c r="C654" s="10" t="s">
        <v>427</v>
      </c>
      <c r="D654" s="10" t="s">
        <v>124</v>
      </c>
    </row>
    <row r="655" customFormat="false" ht="23.85" hidden="false" customHeight="false" outlineLevel="0" collapsed="false">
      <c r="A655" s="10" t="s">
        <v>165</v>
      </c>
      <c r="B655" s="10" t="s">
        <v>58</v>
      </c>
      <c r="C655" s="10" t="s">
        <v>427</v>
      </c>
      <c r="D655" s="10" t="s">
        <v>130</v>
      </c>
    </row>
    <row r="656" customFormat="false" ht="35.05" hidden="false" customHeight="false" outlineLevel="0" collapsed="false">
      <c r="A656" s="10" t="s">
        <v>165</v>
      </c>
      <c r="B656" s="10" t="s">
        <v>56</v>
      </c>
      <c r="C656" s="10" t="s">
        <v>427</v>
      </c>
      <c r="D656" s="10" t="s">
        <v>68</v>
      </c>
    </row>
    <row r="657" customFormat="false" ht="35.05" hidden="false" customHeight="false" outlineLevel="0" collapsed="false">
      <c r="A657" s="10" t="s">
        <v>165</v>
      </c>
      <c r="B657" s="10" t="s">
        <v>56</v>
      </c>
      <c r="C657" s="10" t="s">
        <v>427</v>
      </c>
      <c r="D657" s="10" t="s">
        <v>438</v>
      </c>
    </row>
    <row r="658" customFormat="false" ht="23.85" hidden="false" customHeight="false" outlineLevel="0" collapsed="false">
      <c r="A658" s="10" t="s">
        <v>165</v>
      </c>
      <c r="B658" s="10" t="s">
        <v>71</v>
      </c>
      <c r="C658" s="10" t="s">
        <v>427</v>
      </c>
      <c r="D658" s="10" t="s">
        <v>172</v>
      </c>
    </row>
    <row r="659" customFormat="false" ht="35.05" hidden="false" customHeight="false" outlineLevel="0" collapsed="false">
      <c r="A659" s="10" t="s">
        <v>165</v>
      </c>
      <c r="B659" s="10" t="s">
        <v>71</v>
      </c>
      <c r="C659" s="10" t="s">
        <v>427</v>
      </c>
      <c r="D659" s="10" t="s">
        <v>604</v>
      </c>
    </row>
    <row r="660" customFormat="false" ht="35.05" hidden="false" customHeight="false" outlineLevel="0" collapsed="false">
      <c r="A660" s="10" t="s">
        <v>165</v>
      </c>
      <c r="B660" s="10" t="s">
        <v>71</v>
      </c>
      <c r="C660" s="10" t="s">
        <v>427</v>
      </c>
      <c r="D660" s="10" t="s">
        <v>107</v>
      </c>
    </row>
    <row r="661" customFormat="false" ht="35.05" hidden="false" customHeight="false" outlineLevel="0" collapsed="false">
      <c r="A661" s="10" t="s">
        <v>165</v>
      </c>
      <c r="B661" s="10" t="s">
        <v>71</v>
      </c>
      <c r="C661" s="10" t="s">
        <v>427</v>
      </c>
      <c r="D661" s="10" t="s">
        <v>154</v>
      </c>
    </row>
    <row r="662" customFormat="false" ht="35.05" hidden="false" customHeight="false" outlineLevel="0" collapsed="false">
      <c r="A662" s="10" t="s">
        <v>165</v>
      </c>
      <c r="B662" s="10" t="s">
        <v>71</v>
      </c>
      <c r="C662" s="10" t="s">
        <v>427</v>
      </c>
      <c r="D662" s="10" t="s">
        <v>157</v>
      </c>
    </row>
    <row r="663" customFormat="false" ht="247.75" hidden="false" customHeight="false" outlineLevel="0" collapsed="false">
      <c r="A663" s="10" t="s">
        <v>165</v>
      </c>
      <c r="B663" s="10" t="s">
        <v>71</v>
      </c>
      <c r="C663" s="10" t="s">
        <v>439</v>
      </c>
      <c r="D663" s="10" t="s">
        <v>440</v>
      </c>
    </row>
    <row r="664" customFormat="false" ht="23.85" hidden="false" customHeight="false" outlineLevel="0" collapsed="false">
      <c r="A664" s="10" t="s">
        <v>351</v>
      </c>
      <c r="B664" s="10" t="s">
        <v>86</v>
      </c>
      <c r="C664" s="10" t="s">
        <v>427</v>
      </c>
      <c r="D664" s="10" t="s">
        <v>692</v>
      </c>
    </row>
    <row r="665" customFormat="false" ht="15" hidden="false" customHeight="false" outlineLevel="0" collapsed="false">
      <c r="A665" s="10" t="s">
        <v>351</v>
      </c>
      <c r="B665" s="10" t="s">
        <v>86</v>
      </c>
      <c r="C665" s="10" t="s">
        <v>427</v>
      </c>
      <c r="D665" s="10" t="s">
        <v>799</v>
      </c>
    </row>
    <row r="666" customFormat="false" ht="35.05" hidden="false" customHeight="false" outlineLevel="0" collapsed="false">
      <c r="A666" s="10" t="s">
        <v>351</v>
      </c>
      <c r="B666" s="10" t="s">
        <v>86</v>
      </c>
      <c r="C666" s="10" t="s">
        <v>427</v>
      </c>
      <c r="D666" s="10" t="s">
        <v>800</v>
      </c>
    </row>
    <row r="667" customFormat="false" ht="15" hidden="false" customHeight="false" outlineLevel="0" collapsed="false">
      <c r="A667" s="10" t="s">
        <v>351</v>
      </c>
      <c r="B667" s="10" t="s">
        <v>56</v>
      </c>
      <c r="C667" s="10" t="s">
        <v>427</v>
      </c>
      <c r="D667" s="10" t="s">
        <v>801</v>
      </c>
    </row>
    <row r="668" customFormat="false" ht="15" hidden="false" customHeight="false" outlineLevel="0" collapsed="false">
      <c r="A668" s="10" t="s">
        <v>351</v>
      </c>
      <c r="B668" s="10" t="s">
        <v>56</v>
      </c>
      <c r="C668" s="10" t="s">
        <v>427</v>
      </c>
      <c r="D668" s="10" t="s">
        <v>802</v>
      </c>
    </row>
    <row r="669" customFormat="false" ht="15" hidden="false" customHeight="false" outlineLevel="0" collapsed="false">
      <c r="A669" s="10" t="s">
        <v>351</v>
      </c>
      <c r="B669" s="10" t="s">
        <v>56</v>
      </c>
      <c r="C669" s="10" t="s">
        <v>427</v>
      </c>
      <c r="D669" s="10" t="s">
        <v>694</v>
      </c>
    </row>
    <row r="670" customFormat="false" ht="35.05" hidden="false" customHeight="false" outlineLevel="0" collapsed="false">
      <c r="A670" s="10" t="s">
        <v>351</v>
      </c>
      <c r="B670" s="10" t="s">
        <v>56</v>
      </c>
      <c r="C670" s="10" t="s">
        <v>427</v>
      </c>
      <c r="D670" s="10" t="s">
        <v>303</v>
      </c>
    </row>
    <row r="671" customFormat="false" ht="15" hidden="false" customHeight="false" outlineLevel="0" collapsed="false">
      <c r="A671" s="10" t="s">
        <v>118</v>
      </c>
      <c r="B671" s="10" t="s">
        <v>57</v>
      </c>
      <c r="C671" s="10" t="s">
        <v>427</v>
      </c>
      <c r="D671" s="10" t="s">
        <v>485</v>
      </c>
    </row>
    <row r="672" customFormat="false" ht="23.85" hidden="false" customHeight="false" outlineLevel="0" collapsed="false">
      <c r="A672" s="10" t="s">
        <v>118</v>
      </c>
      <c r="B672" s="10" t="s">
        <v>76</v>
      </c>
      <c r="C672" s="10" t="s">
        <v>427</v>
      </c>
      <c r="D672" s="10" t="s">
        <v>803</v>
      </c>
    </row>
    <row r="673" customFormat="false" ht="46.25" hidden="false" customHeight="false" outlineLevel="0" collapsed="false">
      <c r="A673" s="10" t="s">
        <v>118</v>
      </c>
      <c r="B673" s="10" t="s">
        <v>76</v>
      </c>
      <c r="C673" s="10" t="s">
        <v>427</v>
      </c>
      <c r="D673" s="10" t="s">
        <v>482</v>
      </c>
    </row>
    <row r="674" customFormat="false" ht="23.85" hidden="false" customHeight="false" outlineLevel="0" collapsed="false">
      <c r="A674" s="10" t="s">
        <v>118</v>
      </c>
      <c r="B674" s="10" t="s">
        <v>76</v>
      </c>
      <c r="C674" s="10" t="s">
        <v>427</v>
      </c>
      <c r="D674" s="10" t="s">
        <v>804</v>
      </c>
    </row>
    <row r="675" customFormat="false" ht="46.25" hidden="false" customHeight="false" outlineLevel="0" collapsed="false">
      <c r="A675" s="10" t="s">
        <v>118</v>
      </c>
      <c r="B675" s="10" t="s">
        <v>76</v>
      </c>
      <c r="C675" s="10" t="s">
        <v>427</v>
      </c>
      <c r="D675" s="10" t="s">
        <v>738</v>
      </c>
    </row>
    <row r="676" customFormat="false" ht="23.85" hidden="false" customHeight="false" outlineLevel="0" collapsed="false">
      <c r="A676" s="10" t="s">
        <v>118</v>
      </c>
      <c r="B676" s="10" t="s">
        <v>76</v>
      </c>
      <c r="C676" s="10" t="s">
        <v>427</v>
      </c>
      <c r="D676" s="10" t="s">
        <v>805</v>
      </c>
    </row>
    <row r="677" customFormat="false" ht="15" hidden="false" customHeight="false" outlineLevel="0" collapsed="false">
      <c r="A677" s="10" t="s">
        <v>118</v>
      </c>
      <c r="B677" s="10" t="s">
        <v>76</v>
      </c>
      <c r="C677" s="10" t="s">
        <v>427</v>
      </c>
      <c r="D677" s="10" t="s">
        <v>542</v>
      </c>
    </row>
    <row r="678" customFormat="false" ht="23.85" hidden="false" customHeight="false" outlineLevel="0" collapsed="false">
      <c r="A678" s="10" t="s">
        <v>118</v>
      </c>
      <c r="B678" s="10" t="s">
        <v>90</v>
      </c>
      <c r="C678" s="10" t="s">
        <v>427</v>
      </c>
      <c r="D678" s="10" t="s">
        <v>486</v>
      </c>
    </row>
    <row r="679" customFormat="false" ht="46.25" hidden="false" customHeight="false" outlineLevel="0" collapsed="false">
      <c r="A679" s="10" t="s">
        <v>118</v>
      </c>
      <c r="B679" s="10" t="s">
        <v>90</v>
      </c>
      <c r="C679" s="10" t="s">
        <v>427</v>
      </c>
      <c r="D679" s="10" t="s">
        <v>487</v>
      </c>
    </row>
    <row r="680" customFormat="false" ht="15" hidden="false" customHeight="false" outlineLevel="0" collapsed="false">
      <c r="A680" s="10" t="s">
        <v>118</v>
      </c>
      <c r="B680" s="10" t="s">
        <v>83</v>
      </c>
      <c r="C680" s="10" t="s">
        <v>427</v>
      </c>
      <c r="D680" s="10" t="s">
        <v>806</v>
      </c>
    </row>
    <row r="681" customFormat="false" ht="23.85" hidden="false" customHeight="false" outlineLevel="0" collapsed="false">
      <c r="A681" s="10" t="s">
        <v>118</v>
      </c>
      <c r="B681" s="10" t="s">
        <v>147</v>
      </c>
      <c r="C681" s="10" t="s">
        <v>427</v>
      </c>
      <c r="D681" s="10" t="s">
        <v>758</v>
      </c>
    </row>
    <row r="682" customFormat="false" ht="15" hidden="false" customHeight="false" outlineLevel="0" collapsed="false">
      <c r="A682" s="10" t="s">
        <v>118</v>
      </c>
      <c r="B682" s="10" t="s">
        <v>147</v>
      </c>
      <c r="C682" s="10" t="s">
        <v>427</v>
      </c>
      <c r="D682" s="10" t="s">
        <v>807</v>
      </c>
    </row>
    <row r="683" customFormat="false" ht="23.85" hidden="false" customHeight="false" outlineLevel="0" collapsed="false">
      <c r="A683" s="10" t="s">
        <v>118</v>
      </c>
      <c r="B683" s="10" t="s">
        <v>183</v>
      </c>
      <c r="C683" s="10" t="s">
        <v>427</v>
      </c>
      <c r="D683" s="10" t="s">
        <v>808</v>
      </c>
    </row>
    <row r="684" customFormat="false" ht="15" hidden="false" customHeight="false" outlineLevel="0" collapsed="false">
      <c r="A684" s="10" t="s">
        <v>118</v>
      </c>
      <c r="B684" s="10" t="s">
        <v>183</v>
      </c>
      <c r="C684" s="10" t="s">
        <v>427</v>
      </c>
      <c r="D684" s="10" t="s">
        <v>809</v>
      </c>
    </row>
    <row r="685" customFormat="false" ht="23.85" hidden="false" customHeight="false" outlineLevel="0" collapsed="false">
      <c r="A685" s="10" t="s">
        <v>118</v>
      </c>
      <c r="B685" s="10" t="s">
        <v>183</v>
      </c>
      <c r="C685" s="10" t="s">
        <v>427</v>
      </c>
      <c r="D685" s="10" t="s">
        <v>637</v>
      </c>
    </row>
    <row r="686" customFormat="false" ht="23.85" hidden="false" customHeight="false" outlineLevel="0" collapsed="false">
      <c r="A686" s="10" t="s">
        <v>118</v>
      </c>
      <c r="B686" s="10" t="s">
        <v>133</v>
      </c>
      <c r="C686" s="10" t="s">
        <v>427</v>
      </c>
      <c r="D686" s="10" t="s">
        <v>562</v>
      </c>
    </row>
    <row r="687" customFormat="false" ht="35.05" hidden="false" customHeight="false" outlineLevel="0" collapsed="false">
      <c r="A687" s="10" t="s">
        <v>118</v>
      </c>
      <c r="B687" s="10" t="s">
        <v>133</v>
      </c>
      <c r="C687" s="10" t="s">
        <v>427</v>
      </c>
      <c r="D687" s="10" t="s">
        <v>563</v>
      </c>
    </row>
    <row r="688" customFormat="false" ht="46.25" hidden="false" customHeight="false" outlineLevel="0" collapsed="false">
      <c r="A688" s="10" t="s">
        <v>118</v>
      </c>
      <c r="B688" s="10" t="s">
        <v>133</v>
      </c>
      <c r="C688" s="10" t="s">
        <v>427</v>
      </c>
      <c r="D688" s="10" t="s">
        <v>223</v>
      </c>
    </row>
    <row r="689" customFormat="false" ht="23.85" hidden="false" customHeight="false" outlineLevel="0" collapsed="false">
      <c r="A689" s="10" t="s">
        <v>118</v>
      </c>
      <c r="B689" s="10" t="s">
        <v>116</v>
      </c>
      <c r="C689" s="10" t="s">
        <v>427</v>
      </c>
      <c r="D689" s="10" t="s">
        <v>810</v>
      </c>
    </row>
    <row r="690" customFormat="false" ht="23.85" hidden="false" customHeight="false" outlineLevel="0" collapsed="false">
      <c r="A690" s="10" t="s">
        <v>118</v>
      </c>
      <c r="B690" s="10" t="s">
        <v>86</v>
      </c>
      <c r="C690" s="10" t="s">
        <v>427</v>
      </c>
      <c r="D690" s="10" t="s">
        <v>692</v>
      </c>
    </row>
    <row r="691" customFormat="false" ht="23.85" hidden="false" customHeight="false" outlineLevel="0" collapsed="false">
      <c r="A691" s="10" t="s">
        <v>118</v>
      </c>
      <c r="B691" s="10" t="s">
        <v>58</v>
      </c>
      <c r="C691" s="10" t="s">
        <v>427</v>
      </c>
      <c r="D691" s="10" t="s">
        <v>536</v>
      </c>
    </row>
    <row r="692" customFormat="false" ht="15" hidden="false" customHeight="false" outlineLevel="0" collapsed="false">
      <c r="A692" s="10" t="s">
        <v>118</v>
      </c>
      <c r="B692" s="10" t="s">
        <v>56</v>
      </c>
      <c r="C692" s="10" t="s">
        <v>427</v>
      </c>
      <c r="D692" s="10" t="s">
        <v>802</v>
      </c>
    </row>
    <row r="693" customFormat="false" ht="15" hidden="false" customHeight="false" outlineLevel="0" collapsed="false">
      <c r="A693" s="10" t="s">
        <v>118</v>
      </c>
      <c r="B693" s="10" t="s">
        <v>71</v>
      </c>
      <c r="C693" s="10" t="s">
        <v>427</v>
      </c>
      <c r="D693" s="10" t="s">
        <v>811</v>
      </c>
    </row>
    <row r="694" customFormat="false" ht="15" hidden="false" customHeight="false" outlineLevel="0" collapsed="false">
      <c r="A694" s="10" t="s">
        <v>118</v>
      </c>
      <c r="B694" s="10" t="s">
        <v>71</v>
      </c>
      <c r="C694" s="10" t="s">
        <v>427</v>
      </c>
      <c r="D694" s="10" t="s">
        <v>812</v>
      </c>
    </row>
    <row r="695" customFormat="false" ht="35.05" hidden="false" customHeight="false" outlineLevel="0" collapsed="false">
      <c r="A695" s="10" t="s">
        <v>118</v>
      </c>
      <c r="B695" s="10" t="s">
        <v>71</v>
      </c>
      <c r="C695" s="10" t="s">
        <v>427</v>
      </c>
      <c r="D695" s="10" t="s">
        <v>120</v>
      </c>
    </row>
    <row r="696" customFormat="false" ht="46.25" hidden="false" customHeight="false" outlineLevel="0" collapsed="false">
      <c r="A696" s="10" t="s">
        <v>231</v>
      </c>
      <c r="B696" s="10" t="s">
        <v>147</v>
      </c>
      <c r="C696" s="10" t="s">
        <v>427</v>
      </c>
      <c r="D696" s="10" t="s">
        <v>311</v>
      </c>
    </row>
    <row r="697" customFormat="false" ht="15" hidden="false" customHeight="false" outlineLevel="0" collapsed="false">
      <c r="A697" s="10" t="s">
        <v>231</v>
      </c>
      <c r="B697" s="10" t="s">
        <v>147</v>
      </c>
      <c r="C697" s="10" t="s">
        <v>427</v>
      </c>
      <c r="D697" s="10" t="s">
        <v>775</v>
      </c>
    </row>
    <row r="698" customFormat="false" ht="23.85" hidden="false" customHeight="false" outlineLevel="0" collapsed="false">
      <c r="A698" s="10" t="s">
        <v>231</v>
      </c>
      <c r="B698" s="10" t="s">
        <v>147</v>
      </c>
      <c r="C698" s="10" t="s">
        <v>427</v>
      </c>
      <c r="D698" s="10" t="s">
        <v>776</v>
      </c>
    </row>
    <row r="699" customFormat="false" ht="15" hidden="false" customHeight="false" outlineLevel="0" collapsed="false">
      <c r="A699" s="10" t="s">
        <v>231</v>
      </c>
      <c r="B699" s="10" t="s">
        <v>183</v>
      </c>
      <c r="C699" s="10" t="s">
        <v>427</v>
      </c>
      <c r="D699" s="10" t="s">
        <v>460</v>
      </c>
    </row>
    <row r="700" customFormat="false" ht="15" hidden="false" customHeight="false" outlineLevel="0" collapsed="false">
      <c r="A700" s="10" t="s">
        <v>231</v>
      </c>
      <c r="B700" s="10" t="s">
        <v>183</v>
      </c>
      <c r="C700" s="10" t="s">
        <v>427</v>
      </c>
      <c r="D700" s="10" t="s">
        <v>461</v>
      </c>
    </row>
    <row r="701" customFormat="false" ht="15" hidden="false" customHeight="false" outlineLevel="0" collapsed="false">
      <c r="A701" s="10" t="s">
        <v>231</v>
      </c>
      <c r="B701" s="10" t="s">
        <v>183</v>
      </c>
      <c r="C701" s="10" t="s">
        <v>427</v>
      </c>
      <c r="D701" s="10" t="s">
        <v>813</v>
      </c>
    </row>
    <row r="702" customFormat="false" ht="23.85" hidden="false" customHeight="false" outlineLevel="0" collapsed="false">
      <c r="A702" s="10" t="s">
        <v>231</v>
      </c>
      <c r="B702" s="10" t="s">
        <v>183</v>
      </c>
      <c r="C702" s="10" t="s">
        <v>427</v>
      </c>
      <c r="D702" s="10" t="s">
        <v>233</v>
      </c>
    </row>
    <row r="703" customFormat="false" ht="15" hidden="false" customHeight="false" outlineLevel="0" collapsed="false">
      <c r="A703" s="10" t="s">
        <v>167</v>
      </c>
      <c r="B703" s="10" t="s">
        <v>71</v>
      </c>
      <c r="C703" s="10" t="s">
        <v>427</v>
      </c>
      <c r="D703" s="10" t="s">
        <v>814</v>
      </c>
    </row>
    <row r="704" customFormat="false" ht="23.85" hidden="false" customHeight="false" outlineLevel="0" collapsed="false">
      <c r="A704" s="10" t="s">
        <v>167</v>
      </c>
      <c r="B704" s="10" t="s">
        <v>71</v>
      </c>
      <c r="C704" s="10" t="s">
        <v>427</v>
      </c>
      <c r="D704" s="10" t="s">
        <v>586</v>
      </c>
    </row>
    <row r="705" customFormat="false" ht="23.85" hidden="false" customHeight="false" outlineLevel="0" collapsed="false">
      <c r="A705" s="10" t="s">
        <v>167</v>
      </c>
      <c r="B705" s="10" t="s">
        <v>71</v>
      </c>
      <c r="C705" s="10" t="s">
        <v>427</v>
      </c>
      <c r="D705" s="10" t="s">
        <v>169</v>
      </c>
    </row>
    <row r="706" customFormat="false" ht="135.8" hidden="false" customHeight="false" outlineLevel="0" collapsed="false">
      <c r="A706" s="10" t="s">
        <v>167</v>
      </c>
      <c r="B706" s="10" t="s">
        <v>71</v>
      </c>
      <c r="C706" s="10" t="s">
        <v>480</v>
      </c>
      <c r="D706" s="10" t="s">
        <v>481</v>
      </c>
    </row>
    <row r="707" customFormat="false" ht="247.75" hidden="false" customHeight="false" outlineLevel="0" collapsed="false">
      <c r="A707" s="10" t="s">
        <v>167</v>
      </c>
      <c r="B707" s="10" t="s">
        <v>71</v>
      </c>
      <c r="C707" s="10" t="s">
        <v>439</v>
      </c>
      <c r="D707" s="10" t="s">
        <v>440</v>
      </c>
    </row>
    <row r="708" customFormat="false" ht="15" hidden="false" customHeight="false" outlineLevel="0" collapsed="false">
      <c r="A708" s="10" t="s">
        <v>353</v>
      </c>
      <c r="B708" s="10" t="s">
        <v>183</v>
      </c>
      <c r="C708" s="10" t="s">
        <v>427</v>
      </c>
      <c r="D708" s="10" t="s">
        <v>355</v>
      </c>
    </row>
    <row r="709" customFormat="false" ht="23.85" hidden="false" customHeight="false" outlineLevel="0" collapsed="false">
      <c r="A709" s="10" t="s">
        <v>293</v>
      </c>
      <c r="B709" s="10" t="s">
        <v>76</v>
      </c>
      <c r="C709" s="10" t="s">
        <v>427</v>
      </c>
      <c r="D709" s="10" t="s">
        <v>553</v>
      </c>
    </row>
    <row r="710" customFormat="false" ht="35.05" hidden="false" customHeight="false" outlineLevel="0" collapsed="false">
      <c r="A710" s="10" t="s">
        <v>293</v>
      </c>
      <c r="B710" s="10" t="s">
        <v>147</v>
      </c>
      <c r="C710" s="10" t="s">
        <v>427</v>
      </c>
      <c r="D710" s="10" t="s">
        <v>815</v>
      </c>
    </row>
    <row r="711" customFormat="false" ht="46.25" hidden="false" customHeight="false" outlineLevel="0" collapsed="false">
      <c r="A711" s="10" t="s">
        <v>293</v>
      </c>
      <c r="B711" s="10" t="s">
        <v>147</v>
      </c>
      <c r="C711" s="10" t="s">
        <v>427</v>
      </c>
      <c r="D711" s="10" t="s">
        <v>782</v>
      </c>
    </row>
    <row r="712" customFormat="false" ht="35.05" hidden="false" customHeight="false" outlineLevel="0" collapsed="false">
      <c r="A712" s="10" t="s">
        <v>293</v>
      </c>
      <c r="B712" s="10" t="s">
        <v>183</v>
      </c>
      <c r="C712" s="10" t="s">
        <v>427</v>
      </c>
      <c r="D712" s="10" t="s">
        <v>295</v>
      </c>
    </row>
    <row r="713" customFormat="false" ht="15" hidden="false" customHeight="false" outlineLevel="0" collapsed="false">
      <c r="A713" s="10" t="s">
        <v>273</v>
      </c>
      <c r="B713" s="10" t="s">
        <v>83</v>
      </c>
      <c r="C713" s="10" t="s">
        <v>427</v>
      </c>
      <c r="D713" s="10" t="s">
        <v>816</v>
      </c>
    </row>
    <row r="714" customFormat="false" ht="35.05" hidden="false" customHeight="false" outlineLevel="0" collapsed="false">
      <c r="A714" s="10" t="s">
        <v>273</v>
      </c>
      <c r="B714" s="10" t="s">
        <v>83</v>
      </c>
      <c r="C714" s="10" t="s">
        <v>427</v>
      </c>
      <c r="D714" s="10" t="s">
        <v>817</v>
      </c>
    </row>
    <row r="715" customFormat="false" ht="23.85" hidden="false" customHeight="false" outlineLevel="0" collapsed="false">
      <c r="A715" s="10" t="s">
        <v>273</v>
      </c>
      <c r="B715" s="10" t="s">
        <v>83</v>
      </c>
      <c r="C715" s="10" t="s">
        <v>427</v>
      </c>
      <c r="D715" s="10" t="s">
        <v>245</v>
      </c>
    </row>
    <row r="716" customFormat="false" ht="15" hidden="false" customHeight="false" outlineLevel="0" collapsed="false">
      <c r="A716" s="10" t="s">
        <v>273</v>
      </c>
      <c r="B716" s="10" t="s">
        <v>83</v>
      </c>
      <c r="C716" s="10" t="s">
        <v>427</v>
      </c>
      <c r="D716" s="10" t="s">
        <v>583</v>
      </c>
    </row>
    <row r="717" customFormat="false" ht="23.85" hidden="false" customHeight="false" outlineLevel="0" collapsed="false">
      <c r="A717" s="10" t="s">
        <v>273</v>
      </c>
      <c r="B717" s="10" t="s">
        <v>83</v>
      </c>
      <c r="C717" s="10" t="s">
        <v>427</v>
      </c>
      <c r="D717" s="10" t="s">
        <v>818</v>
      </c>
    </row>
    <row r="718" customFormat="false" ht="23.85" hidden="false" customHeight="false" outlineLevel="0" collapsed="false">
      <c r="A718" s="10" t="s">
        <v>273</v>
      </c>
      <c r="B718" s="10" t="s">
        <v>259</v>
      </c>
      <c r="C718" s="10" t="s">
        <v>427</v>
      </c>
      <c r="D718" s="10" t="s">
        <v>275</v>
      </c>
    </row>
    <row r="719" customFormat="false" ht="57.45" hidden="false" customHeight="false" outlineLevel="0" collapsed="false">
      <c r="A719" s="10" t="s">
        <v>356</v>
      </c>
      <c r="B719" s="10" t="s">
        <v>83</v>
      </c>
      <c r="C719" s="10" t="s">
        <v>427</v>
      </c>
      <c r="D719" s="10" t="s">
        <v>696</v>
      </c>
    </row>
    <row r="720" customFormat="false" ht="15" hidden="false" customHeight="false" outlineLevel="0" collapsed="false">
      <c r="A720" s="10" t="s">
        <v>356</v>
      </c>
      <c r="B720" s="10" t="s">
        <v>71</v>
      </c>
      <c r="C720" s="10" t="s">
        <v>427</v>
      </c>
      <c r="D720" s="10" t="s">
        <v>819</v>
      </c>
    </row>
    <row r="721" customFormat="false" ht="23.85" hidden="false" customHeight="false" outlineLevel="0" collapsed="false">
      <c r="A721" s="10" t="s">
        <v>356</v>
      </c>
      <c r="B721" s="10" t="s">
        <v>71</v>
      </c>
      <c r="C721" s="10" t="s">
        <v>427</v>
      </c>
      <c r="D721" s="10" t="s">
        <v>358</v>
      </c>
    </row>
    <row r="722" customFormat="false" ht="15" hidden="false" customHeight="false" outlineLevel="0" collapsed="false">
      <c r="A722" s="10" t="s">
        <v>356</v>
      </c>
      <c r="B722" s="10" t="s">
        <v>71</v>
      </c>
      <c r="C722" s="10" t="s">
        <v>427</v>
      </c>
      <c r="D722" s="10" t="s">
        <v>643</v>
      </c>
    </row>
    <row r="723" customFormat="false" ht="15" hidden="false" customHeight="false" outlineLevel="0" collapsed="false">
      <c r="A723" s="10" t="s">
        <v>356</v>
      </c>
      <c r="B723" s="10" t="s">
        <v>71</v>
      </c>
      <c r="C723" s="10" t="s">
        <v>427</v>
      </c>
      <c r="D723" s="10" t="s">
        <v>190</v>
      </c>
    </row>
    <row r="724" customFormat="false" ht="23.85" hidden="false" customHeight="false" outlineLevel="0" collapsed="false">
      <c r="A724" s="10" t="s">
        <v>66</v>
      </c>
      <c r="B724" s="10" t="s">
        <v>57</v>
      </c>
      <c r="C724" s="10" t="s">
        <v>427</v>
      </c>
      <c r="D724" s="10" t="s">
        <v>441</v>
      </c>
    </row>
    <row r="725" customFormat="false" ht="15" hidden="false" customHeight="false" outlineLevel="0" collapsed="false">
      <c r="A725" s="10" t="s">
        <v>66</v>
      </c>
      <c r="B725" s="10" t="s">
        <v>57</v>
      </c>
      <c r="C725" s="10" t="s">
        <v>427</v>
      </c>
      <c r="D725" s="10" t="s">
        <v>820</v>
      </c>
    </row>
    <row r="726" customFormat="false" ht="23.85" hidden="false" customHeight="false" outlineLevel="0" collapsed="false">
      <c r="A726" s="10" t="s">
        <v>66</v>
      </c>
      <c r="B726" s="10" t="s">
        <v>57</v>
      </c>
      <c r="C726" s="10" t="s">
        <v>427</v>
      </c>
      <c r="D726" s="10" t="s">
        <v>677</v>
      </c>
    </row>
    <row r="727" customFormat="false" ht="35.05" hidden="false" customHeight="false" outlineLevel="0" collapsed="false">
      <c r="A727" s="10" t="s">
        <v>66</v>
      </c>
      <c r="B727" s="10" t="s">
        <v>57</v>
      </c>
      <c r="C727" s="10" t="s">
        <v>427</v>
      </c>
      <c r="D727" s="10" t="s">
        <v>821</v>
      </c>
    </row>
    <row r="728" customFormat="false" ht="23.85" hidden="false" customHeight="false" outlineLevel="0" collapsed="false">
      <c r="A728" s="10" t="s">
        <v>66</v>
      </c>
      <c r="B728" s="10" t="s">
        <v>57</v>
      </c>
      <c r="C728" s="10" t="s">
        <v>427</v>
      </c>
      <c r="D728" s="10" t="s">
        <v>822</v>
      </c>
    </row>
    <row r="729" customFormat="false" ht="35.05" hidden="false" customHeight="false" outlineLevel="0" collapsed="false">
      <c r="A729" s="10" t="s">
        <v>66</v>
      </c>
      <c r="B729" s="10" t="s">
        <v>57</v>
      </c>
      <c r="C729" s="10" t="s">
        <v>427</v>
      </c>
      <c r="D729" s="10" t="s">
        <v>823</v>
      </c>
    </row>
    <row r="730" customFormat="false" ht="23.85" hidden="false" customHeight="false" outlineLevel="0" collapsed="false">
      <c r="A730" s="10" t="s">
        <v>66</v>
      </c>
      <c r="B730" s="10" t="s">
        <v>76</v>
      </c>
      <c r="C730" s="10" t="s">
        <v>427</v>
      </c>
      <c r="D730" s="10" t="s">
        <v>824</v>
      </c>
    </row>
    <row r="731" customFormat="false" ht="23.85" hidden="false" customHeight="false" outlineLevel="0" collapsed="false">
      <c r="A731" s="10" t="s">
        <v>66</v>
      </c>
      <c r="B731" s="10" t="s">
        <v>76</v>
      </c>
      <c r="C731" s="10" t="s">
        <v>427</v>
      </c>
      <c r="D731" s="10" t="s">
        <v>713</v>
      </c>
    </row>
    <row r="732" customFormat="false" ht="35.05" hidden="false" customHeight="false" outlineLevel="0" collapsed="false">
      <c r="A732" s="10" t="s">
        <v>66</v>
      </c>
      <c r="B732" s="10" t="s">
        <v>90</v>
      </c>
      <c r="C732" s="10" t="s">
        <v>427</v>
      </c>
      <c r="D732" s="10" t="s">
        <v>507</v>
      </c>
    </row>
    <row r="733" customFormat="false" ht="23.85" hidden="false" customHeight="false" outlineLevel="0" collapsed="false">
      <c r="A733" s="10" t="s">
        <v>66</v>
      </c>
      <c r="B733" s="10" t="s">
        <v>83</v>
      </c>
      <c r="C733" s="10" t="s">
        <v>427</v>
      </c>
      <c r="D733" s="10" t="s">
        <v>512</v>
      </c>
    </row>
    <row r="734" customFormat="false" ht="23.85" hidden="false" customHeight="false" outlineLevel="0" collapsed="false">
      <c r="A734" s="10" t="s">
        <v>66</v>
      </c>
      <c r="B734" s="10" t="s">
        <v>83</v>
      </c>
      <c r="C734" s="10" t="s">
        <v>427</v>
      </c>
      <c r="D734" s="10" t="s">
        <v>825</v>
      </c>
    </row>
    <row r="735" customFormat="false" ht="23.85" hidden="false" customHeight="false" outlineLevel="0" collapsed="false">
      <c r="A735" s="10" t="s">
        <v>66</v>
      </c>
      <c r="B735" s="10" t="s">
        <v>83</v>
      </c>
      <c r="C735" s="10" t="s">
        <v>427</v>
      </c>
      <c r="D735" s="10" t="s">
        <v>826</v>
      </c>
    </row>
    <row r="736" customFormat="false" ht="15" hidden="false" customHeight="false" outlineLevel="0" collapsed="false">
      <c r="A736" s="10" t="s">
        <v>66</v>
      </c>
      <c r="B736" s="10" t="s">
        <v>147</v>
      </c>
      <c r="C736" s="10" t="s">
        <v>427</v>
      </c>
      <c r="D736" s="10" t="s">
        <v>827</v>
      </c>
    </row>
    <row r="737" customFormat="false" ht="23.85" hidden="false" customHeight="false" outlineLevel="0" collapsed="false">
      <c r="A737" s="10" t="s">
        <v>66</v>
      </c>
      <c r="B737" s="10" t="s">
        <v>147</v>
      </c>
      <c r="C737" s="10" t="s">
        <v>427</v>
      </c>
      <c r="D737" s="10" t="s">
        <v>828</v>
      </c>
    </row>
    <row r="738" customFormat="false" ht="23.85" hidden="false" customHeight="false" outlineLevel="0" collapsed="false">
      <c r="A738" s="10" t="s">
        <v>66</v>
      </c>
      <c r="B738" s="10" t="s">
        <v>147</v>
      </c>
      <c r="C738" s="10" t="s">
        <v>427</v>
      </c>
      <c r="D738" s="10" t="s">
        <v>829</v>
      </c>
    </row>
    <row r="739" customFormat="false" ht="35.05" hidden="false" customHeight="false" outlineLevel="0" collapsed="false">
      <c r="A739" s="10" t="s">
        <v>66</v>
      </c>
      <c r="B739" s="10" t="s">
        <v>147</v>
      </c>
      <c r="C739" s="10" t="s">
        <v>427</v>
      </c>
      <c r="D739" s="10" t="s">
        <v>830</v>
      </c>
    </row>
    <row r="740" customFormat="false" ht="23.85" hidden="false" customHeight="false" outlineLevel="0" collapsed="false">
      <c r="A740" s="10" t="s">
        <v>66</v>
      </c>
      <c r="B740" s="10" t="s">
        <v>259</v>
      </c>
      <c r="C740" s="10" t="s">
        <v>427</v>
      </c>
      <c r="D740" s="10" t="s">
        <v>831</v>
      </c>
    </row>
    <row r="741" customFormat="false" ht="23.85" hidden="false" customHeight="false" outlineLevel="0" collapsed="false">
      <c r="A741" s="10" t="s">
        <v>66</v>
      </c>
      <c r="B741" s="10" t="s">
        <v>259</v>
      </c>
      <c r="C741" s="10" t="s">
        <v>427</v>
      </c>
      <c r="D741" s="10" t="s">
        <v>832</v>
      </c>
    </row>
    <row r="742" customFormat="false" ht="35.05" hidden="false" customHeight="false" outlineLevel="0" collapsed="false">
      <c r="A742" s="10" t="s">
        <v>66</v>
      </c>
      <c r="B742" s="10" t="s">
        <v>133</v>
      </c>
      <c r="C742" s="10" t="s">
        <v>427</v>
      </c>
      <c r="D742" s="10" t="s">
        <v>833</v>
      </c>
    </row>
    <row r="743" customFormat="false" ht="23.85" hidden="false" customHeight="false" outlineLevel="0" collapsed="false">
      <c r="A743" s="10" t="s">
        <v>66</v>
      </c>
      <c r="B743" s="10" t="s">
        <v>133</v>
      </c>
      <c r="C743" s="10" t="s">
        <v>427</v>
      </c>
      <c r="D743" s="10" t="s">
        <v>528</v>
      </c>
    </row>
    <row r="744" customFormat="false" ht="23.85" hidden="false" customHeight="false" outlineLevel="0" collapsed="false">
      <c r="A744" s="10" t="s">
        <v>66</v>
      </c>
      <c r="B744" s="10" t="s">
        <v>133</v>
      </c>
      <c r="C744" s="10" t="s">
        <v>427</v>
      </c>
      <c r="D744" s="10" t="s">
        <v>834</v>
      </c>
    </row>
    <row r="745" customFormat="false" ht="35.05" hidden="false" customHeight="false" outlineLevel="0" collapsed="false">
      <c r="A745" s="10" t="s">
        <v>66</v>
      </c>
      <c r="B745" s="10" t="s">
        <v>133</v>
      </c>
      <c r="C745" s="10" t="s">
        <v>427</v>
      </c>
      <c r="D745" s="10" t="s">
        <v>568</v>
      </c>
    </row>
    <row r="746" customFormat="false" ht="35.05" hidden="false" customHeight="false" outlineLevel="0" collapsed="false">
      <c r="A746" s="10" t="s">
        <v>66</v>
      </c>
      <c r="B746" s="10" t="s">
        <v>133</v>
      </c>
      <c r="C746" s="10" t="s">
        <v>427</v>
      </c>
      <c r="D746" s="10" t="s">
        <v>835</v>
      </c>
    </row>
    <row r="747" customFormat="false" ht="23.85" hidden="false" customHeight="false" outlineLevel="0" collapsed="false">
      <c r="A747" s="10" t="s">
        <v>66</v>
      </c>
      <c r="B747" s="10" t="s">
        <v>150</v>
      </c>
      <c r="C747" s="10" t="s">
        <v>427</v>
      </c>
      <c r="D747" s="10" t="s">
        <v>836</v>
      </c>
    </row>
    <row r="748" customFormat="false" ht="35.05" hidden="false" customHeight="false" outlineLevel="0" collapsed="false">
      <c r="A748" s="10" t="s">
        <v>66</v>
      </c>
      <c r="B748" s="10" t="s">
        <v>150</v>
      </c>
      <c r="C748" s="10" t="s">
        <v>427</v>
      </c>
      <c r="D748" s="10" t="s">
        <v>569</v>
      </c>
    </row>
    <row r="749" customFormat="false" ht="23.85" hidden="false" customHeight="false" outlineLevel="0" collapsed="false">
      <c r="A749" s="10" t="s">
        <v>66</v>
      </c>
      <c r="B749" s="10" t="s">
        <v>150</v>
      </c>
      <c r="C749" s="10" t="s">
        <v>427</v>
      </c>
      <c r="D749" s="10" t="s">
        <v>151</v>
      </c>
    </row>
    <row r="750" customFormat="false" ht="35.05" hidden="false" customHeight="false" outlineLevel="0" collapsed="false">
      <c r="A750" s="10" t="s">
        <v>66</v>
      </c>
      <c r="B750" s="10" t="s">
        <v>150</v>
      </c>
      <c r="C750" s="10" t="s">
        <v>427</v>
      </c>
      <c r="D750" s="10" t="s">
        <v>570</v>
      </c>
    </row>
    <row r="751" customFormat="false" ht="15" hidden="false" customHeight="false" outlineLevel="0" collapsed="false">
      <c r="A751" s="10" t="s">
        <v>66</v>
      </c>
      <c r="B751" s="10" t="s">
        <v>150</v>
      </c>
      <c r="C751" s="10" t="s">
        <v>427</v>
      </c>
      <c r="D751" s="10" t="s">
        <v>837</v>
      </c>
    </row>
    <row r="752" customFormat="false" ht="23.85" hidden="false" customHeight="false" outlineLevel="0" collapsed="false">
      <c r="A752" s="10" t="s">
        <v>66</v>
      </c>
      <c r="B752" s="10" t="s">
        <v>150</v>
      </c>
      <c r="C752" s="10" t="s">
        <v>427</v>
      </c>
      <c r="D752" s="10" t="s">
        <v>571</v>
      </c>
    </row>
    <row r="753" customFormat="false" ht="35.05" hidden="false" customHeight="false" outlineLevel="0" collapsed="false">
      <c r="A753" s="10" t="s">
        <v>66</v>
      </c>
      <c r="B753" s="10" t="s">
        <v>116</v>
      </c>
      <c r="C753" s="10" t="s">
        <v>427</v>
      </c>
      <c r="D753" s="10" t="s">
        <v>838</v>
      </c>
    </row>
    <row r="754" customFormat="false" ht="23.85" hidden="false" customHeight="false" outlineLevel="0" collapsed="false">
      <c r="A754" s="10" t="s">
        <v>66</v>
      </c>
      <c r="B754" s="10" t="s">
        <v>116</v>
      </c>
      <c r="C754" s="10" t="s">
        <v>427</v>
      </c>
      <c r="D754" s="10" t="s">
        <v>839</v>
      </c>
    </row>
    <row r="755" customFormat="false" ht="23.85" hidden="false" customHeight="false" outlineLevel="0" collapsed="false">
      <c r="A755" s="10" t="s">
        <v>66</v>
      </c>
      <c r="B755" s="10" t="s">
        <v>116</v>
      </c>
      <c r="C755" s="10" t="s">
        <v>427</v>
      </c>
      <c r="D755" s="10" t="s">
        <v>777</v>
      </c>
    </row>
    <row r="756" customFormat="false" ht="23.85" hidden="false" customHeight="false" outlineLevel="0" collapsed="false">
      <c r="A756" s="10" t="s">
        <v>66</v>
      </c>
      <c r="B756" s="10" t="s">
        <v>116</v>
      </c>
      <c r="C756" s="10" t="s">
        <v>427</v>
      </c>
      <c r="D756" s="10" t="s">
        <v>840</v>
      </c>
    </row>
    <row r="757" customFormat="false" ht="23.85" hidden="false" customHeight="false" outlineLevel="0" collapsed="false">
      <c r="A757" s="10" t="s">
        <v>66</v>
      </c>
      <c r="B757" s="10" t="s">
        <v>116</v>
      </c>
      <c r="C757" s="10" t="s">
        <v>427</v>
      </c>
      <c r="D757" s="10" t="s">
        <v>841</v>
      </c>
    </row>
    <row r="758" customFormat="false" ht="23.85" hidden="false" customHeight="false" outlineLevel="0" collapsed="false">
      <c r="A758" s="10" t="s">
        <v>66</v>
      </c>
      <c r="B758" s="10" t="s">
        <v>116</v>
      </c>
      <c r="C758" s="10" t="s">
        <v>427</v>
      </c>
      <c r="D758" s="10" t="s">
        <v>842</v>
      </c>
    </row>
    <row r="759" customFormat="false" ht="15" hidden="false" customHeight="false" outlineLevel="0" collapsed="false">
      <c r="A759" s="10" t="s">
        <v>66</v>
      </c>
      <c r="B759" s="10" t="s">
        <v>116</v>
      </c>
      <c r="C759" s="10" t="s">
        <v>843</v>
      </c>
      <c r="D759" s="10" t="s">
        <v>844</v>
      </c>
    </row>
    <row r="760" customFormat="false" ht="15" hidden="false" customHeight="false" outlineLevel="0" collapsed="false">
      <c r="A760" s="10" t="s">
        <v>66</v>
      </c>
      <c r="B760" s="10" t="s">
        <v>134</v>
      </c>
      <c r="C760" s="10" t="s">
        <v>427</v>
      </c>
      <c r="D760" s="10" t="s">
        <v>845</v>
      </c>
    </row>
    <row r="761" customFormat="false" ht="23.85" hidden="false" customHeight="false" outlineLevel="0" collapsed="false">
      <c r="A761" s="10" t="s">
        <v>66</v>
      </c>
      <c r="B761" s="10" t="s">
        <v>134</v>
      </c>
      <c r="C761" s="10" t="s">
        <v>427</v>
      </c>
      <c r="D761" s="10" t="s">
        <v>846</v>
      </c>
    </row>
    <row r="762" customFormat="false" ht="15" hidden="false" customHeight="false" outlineLevel="0" collapsed="false">
      <c r="A762" s="10" t="s">
        <v>66</v>
      </c>
      <c r="B762" s="10" t="s">
        <v>86</v>
      </c>
      <c r="C762" s="10" t="s">
        <v>427</v>
      </c>
      <c r="D762" s="10" t="s">
        <v>847</v>
      </c>
    </row>
    <row r="763" customFormat="false" ht="15" hidden="false" customHeight="false" outlineLevel="0" collapsed="false">
      <c r="A763" s="10" t="s">
        <v>66</v>
      </c>
      <c r="B763" s="10" t="s">
        <v>86</v>
      </c>
      <c r="C763" s="10" t="s">
        <v>427</v>
      </c>
      <c r="D763" s="10" t="s">
        <v>848</v>
      </c>
    </row>
    <row r="764" customFormat="false" ht="23.85" hidden="false" customHeight="false" outlineLevel="0" collapsed="false">
      <c r="A764" s="10" t="s">
        <v>66</v>
      </c>
      <c r="B764" s="10" t="s">
        <v>86</v>
      </c>
      <c r="C764" s="10" t="s">
        <v>427</v>
      </c>
      <c r="D764" s="10" t="s">
        <v>849</v>
      </c>
    </row>
    <row r="765" customFormat="false" ht="35.05" hidden="false" customHeight="false" outlineLevel="0" collapsed="false">
      <c r="A765" s="10" t="s">
        <v>66</v>
      </c>
      <c r="B765" s="10" t="s">
        <v>86</v>
      </c>
      <c r="C765" s="10" t="s">
        <v>427</v>
      </c>
      <c r="D765" s="10" t="s">
        <v>515</v>
      </c>
    </row>
    <row r="766" customFormat="false" ht="15" hidden="false" customHeight="false" outlineLevel="0" collapsed="false">
      <c r="A766" s="10" t="s">
        <v>66</v>
      </c>
      <c r="B766" s="10" t="s">
        <v>86</v>
      </c>
      <c r="C766" s="10" t="s">
        <v>427</v>
      </c>
      <c r="D766" s="10" t="s">
        <v>850</v>
      </c>
    </row>
    <row r="767" customFormat="false" ht="46.25" hidden="false" customHeight="false" outlineLevel="0" collapsed="false">
      <c r="A767" s="10" t="s">
        <v>66</v>
      </c>
      <c r="B767" s="10" t="s">
        <v>86</v>
      </c>
      <c r="C767" s="10" t="s">
        <v>427</v>
      </c>
      <c r="D767" s="10" t="s">
        <v>519</v>
      </c>
    </row>
    <row r="768" customFormat="false" ht="35.05" hidden="false" customHeight="false" outlineLevel="0" collapsed="false">
      <c r="A768" s="10" t="s">
        <v>66</v>
      </c>
      <c r="B768" s="10" t="s">
        <v>86</v>
      </c>
      <c r="C768" s="10" t="s">
        <v>427</v>
      </c>
      <c r="D768" s="10" t="s">
        <v>851</v>
      </c>
    </row>
    <row r="769" customFormat="false" ht="23.85" hidden="false" customHeight="false" outlineLevel="0" collapsed="false">
      <c r="A769" s="10" t="s">
        <v>66</v>
      </c>
      <c r="B769" s="10" t="s">
        <v>86</v>
      </c>
      <c r="C769" s="10" t="s">
        <v>427</v>
      </c>
      <c r="D769" s="10" t="s">
        <v>852</v>
      </c>
    </row>
    <row r="770" customFormat="false" ht="35.05" hidden="false" customHeight="false" outlineLevel="0" collapsed="false">
      <c r="A770" s="10" t="s">
        <v>66</v>
      </c>
      <c r="B770" s="10" t="s">
        <v>86</v>
      </c>
      <c r="C770" s="10" t="s">
        <v>427</v>
      </c>
      <c r="D770" s="10" t="s">
        <v>610</v>
      </c>
    </row>
    <row r="771" customFormat="false" ht="23.85" hidden="false" customHeight="false" outlineLevel="0" collapsed="false">
      <c r="A771" s="10" t="s">
        <v>66</v>
      </c>
      <c r="B771" s="10" t="s">
        <v>86</v>
      </c>
      <c r="C771" s="10" t="s">
        <v>427</v>
      </c>
      <c r="D771" s="10" t="s">
        <v>853</v>
      </c>
    </row>
    <row r="772" customFormat="false" ht="15" hidden="false" customHeight="false" outlineLevel="0" collapsed="false">
      <c r="A772" s="10" t="s">
        <v>66</v>
      </c>
      <c r="B772" s="10" t="s">
        <v>86</v>
      </c>
      <c r="C772" s="10" t="s">
        <v>427</v>
      </c>
      <c r="D772" s="10" t="s">
        <v>854</v>
      </c>
    </row>
    <row r="773" customFormat="false" ht="15" hidden="false" customHeight="false" outlineLevel="0" collapsed="false">
      <c r="A773" s="10" t="s">
        <v>66</v>
      </c>
      <c r="B773" s="10" t="s">
        <v>86</v>
      </c>
      <c r="C773" s="10" t="s">
        <v>427</v>
      </c>
      <c r="D773" s="10" t="s">
        <v>855</v>
      </c>
    </row>
    <row r="774" customFormat="false" ht="15" hidden="false" customHeight="false" outlineLevel="0" collapsed="false">
      <c r="A774" s="10" t="s">
        <v>66</v>
      </c>
      <c r="B774" s="10" t="s">
        <v>86</v>
      </c>
      <c r="C774" s="10" t="s">
        <v>427</v>
      </c>
      <c r="D774" s="10" t="s">
        <v>856</v>
      </c>
    </row>
    <row r="775" customFormat="false" ht="23.85" hidden="false" customHeight="false" outlineLevel="0" collapsed="false">
      <c r="A775" s="10" t="s">
        <v>66</v>
      </c>
      <c r="B775" s="10" t="s">
        <v>86</v>
      </c>
      <c r="C775" s="10" t="s">
        <v>427</v>
      </c>
      <c r="D775" s="10" t="s">
        <v>857</v>
      </c>
    </row>
    <row r="776" customFormat="false" ht="15" hidden="false" customHeight="false" outlineLevel="0" collapsed="false">
      <c r="A776" s="10" t="s">
        <v>66</v>
      </c>
      <c r="B776" s="10" t="s">
        <v>86</v>
      </c>
      <c r="C776" s="10" t="s">
        <v>427</v>
      </c>
      <c r="D776" s="10" t="s">
        <v>858</v>
      </c>
    </row>
    <row r="777" customFormat="false" ht="35.05" hidden="false" customHeight="false" outlineLevel="0" collapsed="false">
      <c r="A777" s="10" t="s">
        <v>66</v>
      </c>
      <c r="B777" s="10" t="s">
        <v>86</v>
      </c>
      <c r="C777" s="10" t="s">
        <v>427</v>
      </c>
      <c r="D777" s="10" t="s">
        <v>800</v>
      </c>
    </row>
    <row r="778" customFormat="false" ht="23.85" hidden="false" customHeight="false" outlineLevel="0" collapsed="false">
      <c r="A778" s="10" t="s">
        <v>66</v>
      </c>
      <c r="B778" s="10" t="s">
        <v>58</v>
      </c>
      <c r="C778" s="10" t="s">
        <v>427</v>
      </c>
      <c r="D778" s="10" t="s">
        <v>691</v>
      </c>
    </row>
    <row r="779" customFormat="false" ht="35.05" hidden="false" customHeight="false" outlineLevel="0" collapsed="false">
      <c r="A779" s="10" t="s">
        <v>66</v>
      </c>
      <c r="B779" s="10" t="s">
        <v>58</v>
      </c>
      <c r="C779" s="10" t="s">
        <v>427</v>
      </c>
      <c r="D779" s="10" t="s">
        <v>65</v>
      </c>
    </row>
    <row r="780" customFormat="false" ht="46.25" hidden="false" customHeight="false" outlineLevel="0" collapsed="false">
      <c r="A780" s="10" t="s">
        <v>66</v>
      </c>
      <c r="B780" s="10" t="s">
        <v>58</v>
      </c>
      <c r="C780" s="10" t="s">
        <v>427</v>
      </c>
      <c r="D780" s="10" t="s">
        <v>226</v>
      </c>
    </row>
    <row r="781" customFormat="false" ht="23.85" hidden="false" customHeight="false" outlineLevel="0" collapsed="false">
      <c r="A781" s="10" t="s">
        <v>66</v>
      </c>
      <c r="B781" s="10" t="s">
        <v>58</v>
      </c>
      <c r="C781" s="10" t="s">
        <v>427</v>
      </c>
      <c r="D781" s="10" t="s">
        <v>859</v>
      </c>
    </row>
    <row r="782" customFormat="false" ht="15" hidden="false" customHeight="false" outlineLevel="0" collapsed="false">
      <c r="A782" s="10" t="s">
        <v>66</v>
      </c>
      <c r="B782" s="10" t="s">
        <v>58</v>
      </c>
      <c r="C782" s="10" t="s">
        <v>427</v>
      </c>
      <c r="D782" s="10" t="s">
        <v>860</v>
      </c>
    </row>
    <row r="783" customFormat="false" ht="35.05" hidden="false" customHeight="false" outlineLevel="0" collapsed="false">
      <c r="A783" s="10" t="s">
        <v>66</v>
      </c>
      <c r="B783" s="10" t="s">
        <v>58</v>
      </c>
      <c r="C783" s="10" t="s">
        <v>427</v>
      </c>
      <c r="D783" s="10" t="s">
        <v>861</v>
      </c>
    </row>
    <row r="784" customFormat="false" ht="23.85" hidden="false" customHeight="false" outlineLevel="0" collapsed="false">
      <c r="A784" s="10" t="s">
        <v>66</v>
      </c>
      <c r="B784" s="10" t="s">
        <v>58</v>
      </c>
      <c r="C784" s="10" t="s">
        <v>427</v>
      </c>
      <c r="D784" s="10" t="s">
        <v>862</v>
      </c>
    </row>
    <row r="785" customFormat="false" ht="35.05" hidden="false" customHeight="false" outlineLevel="0" collapsed="false">
      <c r="A785" s="10" t="s">
        <v>66</v>
      </c>
      <c r="B785" s="10" t="s">
        <v>58</v>
      </c>
      <c r="C785" s="10" t="s">
        <v>427</v>
      </c>
      <c r="D785" s="10" t="s">
        <v>59</v>
      </c>
    </row>
    <row r="786" customFormat="false" ht="15" hidden="false" customHeight="false" outlineLevel="0" collapsed="false">
      <c r="A786" s="10" t="s">
        <v>66</v>
      </c>
      <c r="B786" s="10" t="s">
        <v>58</v>
      </c>
      <c r="C786" s="10" t="s">
        <v>427</v>
      </c>
      <c r="D786" s="10" t="s">
        <v>863</v>
      </c>
    </row>
    <row r="787" customFormat="false" ht="23.85" hidden="false" customHeight="false" outlineLevel="0" collapsed="false">
      <c r="A787" s="10" t="s">
        <v>66</v>
      </c>
      <c r="B787" s="10" t="s">
        <v>58</v>
      </c>
      <c r="C787" s="10" t="s">
        <v>427</v>
      </c>
      <c r="D787" s="10" t="s">
        <v>864</v>
      </c>
    </row>
    <row r="788" customFormat="false" ht="35.05" hidden="false" customHeight="false" outlineLevel="0" collapsed="false">
      <c r="A788" s="10" t="s">
        <v>66</v>
      </c>
      <c r="B788" s="10" t="s">
        <v>58</v>
      </c>
      <c r="C788" s="10" t="s">
        <v>427</v>
      </c>
      <c r="D788" s="10" t="s">
        <v>865</v>
      </c>
    </row>
    <row r="789" customFormat="false" ht="35.05" hidden="false" customHeight="false" outlineLevel="0" collapsed="false">
      <c r="A789" s="10" t="s">
        <v>66</v>
      </c>
      <c r="B789" s="10" t="s">
        <v>58</v>
      </c>
      <c r="C789" s="10" t="s">
        <v>427</v>
      </c>
      <c r="D789" s="10" t="s">
        <v>866</v>
      </c>
    </row>
    <row r="790" customFormat="false" ht="35.05" hidden="false" customHeight="false" outlineLevel="0" collapsed="false">
      <c r="A790" s="10" t="s">
        <v>66</v>
      </c>
      <c r="B790" s="10" t="s">
        <v>58</v>
      </c>
      <c r="C790" s="10" t="s">
        <v>427</v>
      </c>
      <c r="D790" s="10" t="s">
        <v>867</v>
      </c>
    </row>
    <row r="791" customFormat="false" ht="46.25" hidden="false" customHeight="false" outlineLevel="0" collapsed="false">
      <c r="A791" s="10" t="s">
        <v>66</v>
      </c>
      <c r="B791" s="10" t="s">
        <v>58</v>
      </c>
      <c r="C791" s="10" t="s">
        <v>427</v>
      </c>
      <c r="D791" s="10" t="s">
        <v>868</v>
      </c>
    </row>
    <row r="792" customFormat="false" ht="23.85" hidden="false" customHeight="false" outlineLevel="0" collapsed="false">
      <c r="A792" s="10" t="s">
        <v>66</v>
      </c>
      <c r="B792" s="10" t="s">
        <v>58</v>
      </c>
      <c r="C792" s="10" t="s">
        <v>427</v>
      </c>
      <c r="D792" s="10" t="s">
        <v>757</v>
      </c>
    </row>
    <row r="793" customFormat="false" ht="23.85" hidden="false" customHeight="false" outlineLevel="0" collapsed="false">
      <c r="A793" s="10" t="s">
        <v>66</v>
      </c>
      <c r="B793" s="10" t="s">
        <v>58</v>
      </c>
      <c r="C793" s="10" t="s">
        <v>427</v>
      </c>
      <c r="D793" s="10" t="s">
        <v>869</v>
      </c>
    </row>
    <row r="794" customFormat="false" ht="35.05" hidden="false" customHeight="false" outlineLevel="0" collapsed="false">
      <c r="A794" s="10" t="s">
        <v>66</v>
      </c>
      <c r="B794" s="10" t="s">
        <v>58</v>
      </c>
      <c r="C794" s="10" t="s">
        <v>427</v>
      </c>
      <c r="D794" s="10" t="s">
        <v>113</v>
      </c>
    </row>
    <row r="795" customFormat="false" ht="35.05" hidden="false" customHeight="false" outlineLevel="0" collapsed="false">
      <c r="A795" s="10" t="s">
        <v>66</v>
      </c>
      <c r="B795" s="10" t="s">
        <v>58</v>
      </c>
      <c r="C795" s="10" t="s">
        <v>427</v>
      </c>
      <c r="D795" s="10" t="s">
        <v>870</v>
      </c>
    </row>
    <row r="796" customFormat="false" ht="23.85" hidden="false" customHeight="false" outlineLevel="0" collapsed="false">
      <c r="A796" s="10" t="s">
        <v>66</v>
      </c>
      <c r="B796" s="10" t="s">
        <v>58</v>
      </c>
      <c r="C796" s="10" t="s">
        <v>427</v>
      </c>
      <c r="D796" s="10" t="s">
        <v>124</v>
      </c>
    </row>
    <row r="797" customFormat="false" ht="23.85" hidden="false" customHeight="false" outlineLevel="0" collapsed="false">
      <c r="A797" s="10" t="s">
        <v>66</v>
      </c>
      <c r="B797" s="10" t="s">
        <v>58</v>
      </c>
      <c r="C797" s="10" t="s">
        <v>427</v>
      </c>
      <c r="D797" s="10" t="s">
        <v>871</v>
      </c>
    </row>
    <row r="798" customFormat="false" ht="23.85" hidden="false" customHeight="false" outlineLevel="0" collapsed="false">
      <c r="A798" s="10" t="s">
        <v>66</v>
      </c>
      <c r="B798" s="10" t="s">
        <v>58</v>
      </c>
      <c r="C798" s="10" t="s">
        <v>427</v>
      </c>
      <c r="D798" s="10" t="s">
        <v>130</v>
      </c>
    </row>
    <row r="799" customFormat="false" ht="35.05" hidden="false" customHeight="false" outlineLevel="0" collapsed="false">
      <c r="A799" s="10" t="s">
        <v>66</v>
      </c>
      <c r="B799" s="10" t="s">
        <v>58</v>
      </c>
      <c r="C799" s="10" t="s">
        <v>427</v>
      </c>
      <c r="D799" s="10" t="s">
        <v>872</v>
      </c>
    </row>
    <row r="800" customFormat="false" ht="15" hidden="false" customHeight="false" outlineLevel="0" collapsed="false">
      <c r="A800" s="10" t="s">
        <v>66</v>
      </c>
      <c r="B800" s="10" t="s">
        <v>58</v>
      </c>
      <c r="C800" s="10" t="s">
        <v>427</v>
      </c>
      <c r="D800" s="10" t="s">
        <v>873</v>
      </c>
    </row>
    <row r="801" customFormat="false" ht="35.05" hidden="false" customHeight="false" outlineLevel="0" collapsed="false">
      <c r="A801" s="10" t="s">
        <v>66</v>
      </c>
      <c r="B801" s="10" t="s">
        <v>56</v>
      </c>
      <c r="C801" s="10" t="s">
        <v>427</v>
      </c>
      <c r="D801" s="10" t="s">
        <v>68</v>
      </c>
    </row>
    <row r="802" customFormat="false" ht="15" hidden="false" customHeight="false" outlineLevel="0" collapsed="false">
      <c r="A802" s="10" t="s">
        <v>191</v>
      </c>
      <c r="B802" s="10" t="s">
        <v>76</v>
      </c>
      <c r="C802" s="10" t="s">
        <v>427</v>
      </c>
      <c r="D802" s="10" t="s">
        <v>874</v>
      </c>
    </row>
    <row r="803" customFormat="false" ht="15" hidden="false" customHeight="false" outlineLevel="0" collapsed="false">
      <c r="A803" s="10" t="s">
        <v>191</v>
      </c>
      <c r="B803" s="10" t="s">
        <v>90</v>
      </c>
      <c r="C803" s="10" t="s">
        <v>427</v>
      </c>
      <c r="D803" s="10" t="s">
        <v>659</v>
      </c>
    </row>
    <row r="804" customFormat="false" ht="23.85" hidden="false" customHeight="false" outlineLevel="0" collapsed="false">
      <c r="A804" s="10" t="s">
        <v>191</v>
      </c>
      <c r="B804" s="10" t="s">
        <v>116</v>
      </c>
      <c r="C804" s="10" t="s">
        <v>427</v>
      </c>
      <c r="D804" s="10" t="s">
        <v>214</v>
      </c>
    </row>
    <row r="805" customFormat="false" ht="23.85" hidden="false" customHeight="false" outlineLevel="0" collapsed="false">
      <c r="A805" s="10" t="s">
        <v>191</v>
      </c>
      <c r="B805" s="10" t="s">
        <v>116</v>
      </c>
      <c r="C805" s="10" t="s">
        <v>427</v>
      </c>
      <c r="D805" s="10" t="s">
        <v>193</v>
      </c>
    </row>
    <row r="806" customFormat="false" ht="15" hidden="false" customHeight="false" outlineLevel="0" collapsed="false">
      <c r="A806" s="10" t="s">
        <v>191</v>
      </c>
      <c r="B806" s="10" t="s">
        <v>134</v>
      </c>
      <c r="C806" s="10" t="s">
        <v>427</v>
      </c>
      <c r="D806" s="10" t="s">
        <v>589</v>
      </c>
    </row>
    <row r="807" customFormat="false" ht="23.85" hidden="false" customHeight="false" outlineLevel="0" collapsed="false">
      <c r="A807" s="10" t="s">
        <v>191</v>
      </c>
      <c r="B807" s="10" t="s">
        <v>58</v>
      </c>
      <c r="C807" s="10" t="s">
        <v>427</v>
      </c>
      <c r="D807" s="10" t="s">
        <v>662</v>
      </c>
    </row>
    <row r="808" customFormat="false" ht="35.05" hidden="false" customHeight="false" outlineLevel="0" collapsed="false">
      <c r="A808" s="10" t="s">
        <v>88</v>
      </c>
      <c r="B808" s="10" t="s">
        <v>90</v>
      </c>
      <c r="C808" s="10" t="s">
        <v>427</v>
      </c>
      <c r="D808" s="10" t="s">
        <v>507</v>
      </c>
    </row>
    <row r="809" customFormat="false" ht="46.25" hidden="false" customHeight="false" outlineLevel="0" collapsed="false">
      <c r="A809" s="10" t="s">
        <v>88</v>
      </c>
      <c r="B809" s="10" t="s">
        <v>83</v>
      </c>
      <c r="C809" s="10" t="s">
        <v>427</v>
      </c>
      <c r="D809" s="10" t="s">
        <v>91</v>
      </c>
    </row>
    <row r="810" customFormat="false" ht="23.85" hidden="false" customHeight="false" outlineLevel="0" collapsed="false">
      <c r="A810" s="10" t="s">
        <v>69</v>
      </c>
      <c r="B810" s="10" t="s">
        <v>57</v>
      </c>
      <c r="C810" s="10" t="s">
        <v>427</v>
      </c>
      <c r="D810" s="10" t="s">
        <v>441</v>
      </c>
    </row>
    <row r="811" customFormat="false" ht="35.05" hidden="false" customHeight="false" outlineLevel="0" collapsed="false">
      <c r="A811" s="10" t="s">
        <v>69</v>
      </c>
      <c r="B811" s="10" t="s">
        <v>57</v>
      </c>
      <c r="C811" s="10" t="s">
        <v>427</v>
      </c>
      <c r="D811" s="10" t="s">
        <v>675</v>
      </c>
    </row>
    <row r="812" customFormat="false" ht="23.85" hidden="false" customHeight="false" outlineLevel="0" collapsed="false">
      <c r="A812" s="10" t="s">
        <v>69</v>
      </c>
      <c r="B812" s="10" t="s">
        <v>57</v>
      </c>
      <c r="C812" s="10" t="s">
        <v>427</v>
      </c>
      <c r="D812" s="10" t="s">
        <v>875</v>
      </c>
    </row>
    <row r="813" customFormat="false" ht="35.05" hidden="false" customHeight="false" outlineLevel="0" collapsed="false">
      <c r="A813" s="10" t="s">
        <v>69</v>
      </c>
      <c r="B813" s="10" t="s">
        <v>57</v>
      </c>
      <c r="C813" s="10" t="s">
        <v>427</v>
      </c>
      <c r="D813" s="10" t="s">
        <v>676</v>
      </c>
    </row>
    <row r="814" customFormat="false" ht="23.85" hidden="false" customHeight="false" outlineLevel="0" collapsed="false">
      <c r="A814" s="10" t="s">
        <v>69</v>
      </c>
      <c r="B814" s="10" t="s">
        <v>57</v>
      </c>
      <c r="C814" s="10" t="s">
        <v>427</v>
      </c>
      <c r="D814" s="10" t="s">
        <v>677</v>
      </c>
    </row>
    <row r="815" customFormat="false" ht="46.25" hidden="false" customHeight="false" outlineLevel="0" collapsed="false">
      <c r="A815" s="10" t="s">
        <v>69</v>
      </c>
      <c r="B815" s="10" t="s">
        <v>57</v>
      </c>
      <c r="C815" s="10" t="s">
        <v>427</v>
      </c>
      <c r="D815" s="10" t="s">
        <v>678</v>
      </c>
    </row>
    <row r="816" customFormat="false" ht="23.85" hidden="false" customHeight="false" outlineLevel="0" collapsed="false">
      <c r="A816" s="10" t="s">
        <v>69</v>
      </c>
      <c r="B816" s="10" t="s">
        <v>57</v>
      </c>
      <c r="C816" s="10" t="s">
        <v>427</v>
      </c>
      <c r="D816" s="10" t="s">
        <v>876</v>
      </c>
    </row>
    <row r="817" customFormat="false" ht="23.85" hidden="false" customHeight="false" outlineLevel="0" collapsed="false">
      <c r="A817" s="10" t="s">
        <v>69</v>
      </c>
      <c r="B817" s="10" t="s">
        <v>76</v>
      </c>
      <c r="C817" s="10" t="s">
        <v>427</v>
      </c>
      <c r="D817" s="10" t="s">
        <v>679</v>
      </c>
    </row>
    <row r="818" customFormat="false" ht="15" hidden="false" customHeight="false" outlineLevel="0" collapsed="false">
      <c r="A818" s="10" t="s">
        <v>69</v>
      </c>
      <c r="B818" s="10" t="s">
        <v>76</v>
      </c>
      <c r="C818" s="10" t="s">
        <v>427</v>
      </c>
      <c r="D818" s="10" t="s">
        <v>877</v>
      </c>
    </row>
    <row r="819" customFormat="false" ht="35.05" hidden="false" customHeight="false" outlineLevel="0" collapsed="false">
      <c r="A819" s="10" t="s">
        <v>69</v>
      </c>
      <c r="B819" s="10" t="s">
        <v>76</v>
      </c>
      <c r="C819" s="10" t="s">
        <v>427</v>
      </c>
      <c r="D819" s="10" t="s">
        <v>489</v>
      </c>
    </row>
    <row r="820" customFormat="false" ht="15" hidden="false" customHeight="false" outlineLevel="0" collapsed="false">
      <c r="A820" s="10" t="s">
        <v>69</v>
      </c>
      <c r="B820" s="10" t="s">
        <v>76</v>
      </c>
      <c r="C820" s="10" t="s">
        <v>427</v>
      </c>
      <c r="D820" s="10" t="s">
        <v>446</v>
      </c>
    </row>
    <row r="821" customFormat="false" ht="35.05" hidden="false" customHeight="false" outlineLevel="0" collapsed="false">
      <c r="A821" s="10" t="s">
        <v>69</v>
      </c>
      <c r="B821" s="10" t="s">
        <v>90</v>
      </c>
      <c r="C821" s="10" t="s">
        <v>427</v>
      </c>
      <c r="D821" s="10" t="s">
        <v>507</v>
      </c>
    </row>
    <row r="822" customFormat="false" ht="46.25" hidden="false" customHeight="false" outlineLevel="0" collapsed="false">
      <c r="A822" s="10" t="s">
        <v>69</v>
      </c>
      <c r="B822" s="10" t="s">
        <v>83</v>
      </c>
      <c r="C822" s="10" t="s">
        <v>427</v>
      </c>
      <c r="D822" s="10" t="s">
        <v>511</v>
      </c>
    </row>
    <row r="823" customFormat="false" ht="35.05" hidden="false" customHeight="false" outlineLevel="0" collapsed="false">
      <c r="A823" s="10" t="s">
        <v>69</v>
      </c>
      <c r="B823" s="10" t="s">
        <v>147</v>
      </c>
      <c r="C823" s="10" t="s">
        <v>427</v>
      </c>
      <c r="D823" s="10" t="s">
        <v>447</v>
      </c>
    </row>
    <row r="824" customFormat="false" ht="35.05" hidden="false" customHeight="false" outlineLevel="0" collapsed="false">
      <c r="A824" s="10" t="s">
        <v>69</v>
      </c>
      <c r="B824" s="10" t="s">
        <v>183</v>
      </c>
      <c r="C824" s="10" t="s">
        <v>427</v>
      </c>
      <c r="D824" s="10" t="s">
        <v>878</v>
      </c>
    </row>
    <row r="825" customFormat="false" ht="23.85" hidden="false" customHeight="false" outlineLevel="0" collapsed="false">
      <c r="A825" s="10" t="s">
        <v>69</v>
      </c>
      <c r="B825" s="10" t="s">
        <v>259</v>
      </c>
      <c r="C825" s="10" t="s">
        <v>427</v>
      </c>
      <c r="D825" s="10" t="s">
        <v>831</v>
      </c>
    </row>
    <row r="826" customFormat="false" ht="35.05" hidden="false" customHeight="false" outlineLevel="0" collapsed="false">
      <c r="A826" s="10" t="s">
        <v>69</v>
      </c>
      <c r="B826" s="10" t="s">
        <v>133</v>
      </c>
      <c r="C826" s="10" t="s">
        <v>427</v>
      </c>
      <c r="D826" s="10" t="s">
        <v>879</v>
      </c>
    </row>
    <row r="827" customFormat="false" ht="23.85" hidden="false" customHeight="false" outlineLevel="0" collapsed="false">
      <c r="A827" s="10" t="s">
        <v>69</v>
      </c>
      <c r="B827" s="10" t="s">
        <v>133</v>
      </c>
      <c r="C827" s="10" t="s">
        <v>427</v>
      </c>
      <c r="D827" s="10" t="s">
        <v>790</v>
      </c>
    </row>
    <row r="828" customFormat="false" ht="23.85" hidden="false" customHeight="false" outlineLevel="0" collapsed="false">
      <c r="A828" s="10" t="s">
        <v>69</v>
      </c>
      <c r="B828" s="10" t="s">
        <v>133</v>
      </c>
      <c r="C828" s="10" t="s">
        <v>427</v>
      </c>
      <c r="D828" s="10" t="s">
        <v>792</v>
      </c>
    </row>
    <row r="829" customFormat="false" ht="35.05" hidden="false" customHeight="false" outlineLevel="0" collapsed="false">
      <c r="A829" s="10" t="s">
        <v>69</v>
      </c>
      <c r="B829" s="10" t="s">
        <v>133</v>
      </c>
      <c r="C829" s="10" t="s">
        <v>427</v>
      </c>
      <c r="D829" s="10" t="s">
        <v>793</v>
      </c>
    </row>
    <row r="830" customFormat="false" ht="23.85" hidden="false" customHeight="false" outlineLevel="0" collapsed="false">
      <c r="A830" s="10" t="s">
        <v>69</v>
      </c>
      <c r="B830" s="10" t="s">
        <v>133</v>
      </c>
      <c r="C830" s="10" t="s">
        <v>427</v>
      </c>
      <c r="D830" s="10" t="s">
        <v>880</v>
      </c>
    </row>
    <row r="831" customFormat="false" ht="23.85" hidden="false" customHeight="false" outlineLevel="0" collapsed="false">
      <c r="A831" s="10" t="s">
        <v>69</v>
      </c>
      <c r="B831" s="10" t="s">
        <v>133</v>
      </c>
      <c r="C831" s="10" t="s">
        <v>427</v>
      </c>
      <c r="D831" s="10" t="s">
        <v>881</v>
      </c>
    </row>
    <row r="832" customFormat="false" ht="23.85" hidden="false" customHeight="false" outlineLevel="0" collapsed="false">
      <c r="A832" s="10" t="s">
        <v>69</v>
      </c>
      <c r="B832" s="10" t="s">
        <v>150</v>
      </c>
      <c r="C832" s="10" t="s">
        <v>427</v>
      </c>
      <c r="D832" s="10" t="s">
        <v>882</v>
      </c>
    </row>
    <row r="833" customFormat="false" ht="15" hidden="false" customHeight="false" outlineLevel="0" collapsed="false">
      <c r="A833" s="10" t="s">
        <v>69</v>
      </c>
      <c r="B833" s="10" t="s">
        <v>150</v>
      </c>
      <c r="C833" s="10" t="s">
        <v>427</v>
      </c>
      <c r="D833" s="10" t="s">
        <v>883</v>
      </c>
    </row>
    <row r="834" customFormat="false" ht="15" hidden="false" customHeight="false" outlineLevel="0" collapsed="false">
      <c r="A834" s="10" t="s">
        <v>69</v>
      </c>
      <c r="B834" s="10" t="s">
        <v>150</v>
      </c>
      <c r="C834" s="10" t="s">
        <v>427</v>
      </c>
      <c r="D834" s="10" t="s">
        <v>837</v>
      </c>
    </row>
    <row r="835" customFormat="false" ht="23.85" hidden="false" customHeight="false" outlineLevel="0" collapsed="false">
      <c r="A835" s="10" t="s">
        <v>69</v>
      </c>
      <c r="B835" s="10" t="s">
        <v>150</v>
      </c>
      <c r="C835" s="10" t="s">
        <v>427</v>
      </c>
      <c r="D835" s="10" t="s">
        <v>571</v>
      </c>
    </row>
    <row r="836" customFormat="false" ht="35.05" hidden="false" customHeight="false" outlineLevel="0" collapsed="false">
      <c r="A836" s="10" t="s">
        <v>69</v>
      </c>
      <c r="B836" s="10" t="s">
        <v>150</v>
      </c>
      <c r="C836" s="10" t="s">
        <v>427</v>
      </c>
      <c r="D836" s="10" t="s">
        <v>884</v>
      </c>
    </row>
    <row r="837" customFormat="false" ht="23.85" hidden="false" customHeight="false" outlineLevel="0" collapsed="false">
      <c r="A837" s="10" t="s">
        <v>69</v>
      </c>
      <c r="B837" s="10" t="s">
        <v>150</v>
      </c>
      <c r="C837" s="10" t="s">
        <v>427</v>
      </c>
      <c r="D837" s="10" t="s">
        <v>609</v>
      </c>
    </row>
    <row r="838" customFormat="false" ht="23.85" hidden="false" customHeight="false" outlineLevel="0" collapsed="false">
      <c r="A838" s="10" t="s">
        <v>69</v>
      </c>
      <c r="B838" s="10" t="s">
        <v>116</v>
      </c>
      <c r="C838" s="10" t="s">
        <v>427</v>
      </c>
      <c r="D838" s="10" t="s">
        <v>885</v>
      </c>
    </row>
    <row r="839" customFormat="false" ht="23.85" hidden="false" customHeight="false" outlineLevel="0" collapsed="false">
      <c r="A839" s="10" t="s">
        <v>69</v>
      </c>
      <c r="B839" s="10" t="s">
        <v>116</v>
      </c>
      <c r="C839" s="10" t="s">
        <v>427</v>
      </c>
      <c r="D839" s="10" t="s">
        <v>886</v>
      </c>
    </row>
    <row r="840" customFormat="false" ht="35.05" hidden="false" customHeight="false" outlineLevel="0" collapsed="false">
      <c r="A840" s="10" t="s">
        <v>69</v>
      </c>
      <c r="B840" s="10" t="s">
        <v>116</v>
      </c>
      <c r="C840" s="10" t="s">
        <v>427</v>
      </c>
      <c r="D840" s="10" t="s">
        <v>838</v>
      </c>
    </row>
    <row r="841" customFormat="false" ht="23.85" hidden="false" customHeight="false" outlineLevel="0" collapsed="false">
      <c r="A841" s="10" t="s">
        <v>69</v>
      </c>
      <c r="B841" s="10" t="s">
        <v>116</v>
      </c>
      <c r="C841" s="10" t="s">
        <v>427</v>
      </c>
      <c r="D841" s="10" t="s">
        <v>839</v>
      </c>
    </row>
    <row r="842" customFormat="false" ht="15" hidden="false" customHeight="false" outlineLevel="0" collapsed="false">
      <c r="A842" s="10" t="s">
        <v>69</v>
      </c>
      <c r="B842" s="10" t="s">
        <v>116</v>
      </c>
      <c r="C842" s="10" t="s">
        <v>843</v>
      </c>
      <c r="D842" s="10" t="s">
        <v>844</v>
      </c>
    </row>
    <row r="843" customFormat="false" ht="15" hidden="false" customHeight="false" outlineLevel="0" collapsed="false">
      <c r="A843" s="10" t="s">
        <v>69</v>
      </c>
      <c r="B843" s="10" t="s">
        <v>86</v>
      </c>
      <c r="C843" s="10" t="s">
        <v>427</v>
      </c>
      <c r="D843" s="10" t="s">
        <v>516</v>
      </c>
    </row>
    <row r="844" customFormat="false" ht="15" hidden="false" customHeight="false" outlineLevel="0" collapsed="false">
      <c r="A844" s="10" t="s">
        <v>69</v>
      </c>
      <c r="B844" s="10" t="s">
        <v>86</v>
      </c>
      <c r="C844" s="10" t="s">
        <v>427</v>
      </c>
      <c r="D844" s="10" t="s">
        <v>887</v>
      </c>
    </row>
    <row r="845" customFormat="false" ht="35.05" hidden="false" customHeight="false" outlineLevel="0" collapsed="false">
      <c r="A845" s="10" t="s">
        <v>69</v>
      </c>
      <c r="B845" s="10" t="s">
        <v>86</v>
      </c>
      <c r="C845" s="10" t="s">
        <v>427</v>
      </c>
      <c r="D845" s="10" t="s">
        <v>178</v>
      </c>
    </row>
    <row r="846" customFormat="false" ht="15" hidden="false" customHeight="false" outlineLevel="0" collapsed="false">
      <c r="A846" s="10" t="s">
        <v>69</v>
      </c>
      <c r="B846" s="10" t="s">
        <v>86</v>
      </c>
      <c r="C846" s="10" t="s">
        <v>427</v>
      </c>
      <c r="D846" s="10" t="s">
        <v>888</v>
      </c>
    </row>
    <row r="847" customFormat="false" ht="15" hidden="false" customHeight="false" outlineLevel="0" collapsed="false">
      <c r="A847" s="10" t="s">
        <v>69</v>
      </c>
      <c r="B847" s="10" t="s">
        <v>86</v>
      </c>
      <c r="C847" s="10" t="s">
        <v>427</v>
      </c>
      <c r="D847" s="10" t="s">
        <v>889</v>
      </c>
    </row>
    <row r="848" customFormat="false" ht="46.25" hidden="false" customHeight="false" outlineLevel="0" collapsed="false">
      <c r="A848" s="10" t="s">
        <v>69</v>
      </c>
      <c r="B848" s="10" t="s">
        <v>86</v>
      </c>
      <c r="C848" s="10" t="s">
        <v>427</v>
      </c>
      <c r="D848" s="10" t="s">
        <v>519</v>
      </c>
    </row>
    <row r="849" customFormat="false" ht="15" hidden="false" customHeight="false" outlineLevel="0" collapsed="false">
      <c r="A849" s="10" t="s">
        <v>69</v>
      </c>
      <c r="B849" s="10" t="s">
        <v>58</v>
      </c>
      <c r="C849" s="10" t="s">
        <v>427</v>
      </c>
      <c r="D849" s="10" t="s">
        <v>890</v>
      </c>
    </row>
    <row r="850" customFormat="false" ht="23.85" hidden="false" customHeight="false" outlineLevel="0" collapsed="false">
      <c r="A850" s="10" t="s">
        <v>69</v>
      </c>
      <c r="B850" s="10" t="s">
        <v>58</v>
      </c>
      <c r="C850" s="10" t="s">
        <v>427</v>
      </c>
      <c r="D850" s="10" t="s">
        <v>691</v>
      </c>
    </row>
    <row r="851" customFormat="false" ht="35.05" hidden="false" customHeight="false" outlineLevel="0" collapsed="false">
      <c r="A851" s="10" t="s">
        <v>69</v>
      </c>
      <c r="B851" s="10" t="s">
        <v>58</v>
      </c>
      <c r="C851" s="10" t="s">
        <v>427</v>
      </c>
      <c r="D851" s="10" t="s">
        <v>65</v>
      </c>
    </row>
    <row r="852" customFormat="false" ht="23.85" hidden="false" customHeight="false" outlineLevel="0" collapsed="false">
      <c r="A852" s="10" t="s">
        <v>69</v>
      </c>
      <c r="B852" s="10" t="s">
        <v>71</v>
      </c>
      <c r="C852" s="10" t="s">
        <v>427</v>
      </c>
      <c r="D852" s="10" t="s">
        <v>72</v>
      </c>
    </row>
    <row r="853" customFormat="false" ht="23.85" hidden="false" customHeight="false" outlineLevel="0" collapsed="false">
      <c r="A853" s="10" t="s">
        <v>121</v>
      </c>
      <c r="B853" s="10" t="s">
        <v>57</v>
      </c>
      <c r="C853" s="10" t="s">
        <v>427</v>
      </c>
      <c r="D853" s="10" t="s">
        <v>891</v>
      </c>
    </row>
    <row r="854" customFormat="false" ht="35.05" hidden="false" customHeight="false" outlineLevel="0" collapsed="false">
      <c r="A854" s="10" t="s">
        <v>121</v>
      </c>
      <c r="B854" s="10" t="s">
        <v>57</v>
      </c>
      <c r="C854" s="10" t="s">
        <v>427</v>
      </c>
      <c r="D854" s="10" t="s">
        <v>676</v>
      </c>
    </row>
    <row r="855" customFormat="false" ht="23.85" hidden="false" customHeight="false" outlineLevel="0" collapsed="false">
      <c r="A855" s="10" t="s">
        <v>121</v>
      </c>
      <c r="B855" s="10" t="s">
        <v>76</v>
      </c>
      <c r="C855" s="10" t="s">
        <v>427</v>
      </c>
      <c r="D855" s="10" t="s">
        <v>490</v>
      </c>
    </row>
    <row r="856" customFormat="false" ht="23.85" hidden="false" customHeight="false" outlineLevel="0" collapsed="false">
      <c r="A856" s="10" t="s">
        <v>121</v>
      </c>
      <c r="B856" s="10" t="s">
        <v>76</v>
      </c>
      <c r="C856" s="10" t="s">
        <v>427</v>
      </c>
      <c r="D856" s="10" t="s">
        <v>491</v>
      </c>
    </row>
    <row r="857" customFormat="false" ht="57.45" hidden="false" customHeight="false" outlineLevel="0" collapsed="false">
      <c r="A857" s="10" t="s">
        <v>121</v>
      </c>
      <c r="B857" s="10" t="s">
        <v>76</v>
      </c>
      <c r="C857" s="10" t="s">
        <v>427</v>
      </c>
      <c r="D857" s="10" t="s">
        <v>892</v>
      </c>
    </row>
    <row r="858" customFormat="false" ht="23.85" hidden="false" customHeight="false" outlineLevel="0" collapsed="false">
      <c r="A858" s="10" t="s">
        <v>121</v>
      </c>
      <c r="B858" s="10" t="s">
        <v>76</v>
      </c>
      <c r="C858" s="10" t="s">
        <v>427</v>
      </c>
      <c r="D858" s="10" t="s">
        <v>893</v>
      </c>
    </row>
    <row r="859" customFormat="false" ht="57.45" hidden="false" customHeight="false" outlineLevel="0" collapsed="false">
      <c r="A859" s="10" t="s">
        <v>121</v>
      </c>
      <c r="B859" s="10" t="s">
        <v>76</v>
      </c>
      <c r="C859" s="10" t="s">
        <v>427</v>
      </c>
      <c r="D859" s="10" t="s">
        <v>894</v>
      </c>
    </row>
    <row r="860" customFormat="false" ht="23.85" hidden="false" customHeight="false" outlineLevel="0" collapsed="false">
      <c r="A860" s="10" t="s">
        <v>121</v>
      </c>
      <c r="B860" s="10" t="s">
        <v>76</v>
      </c>
      <c r="C860" s="10" t="s">
        <v>427</v>
      </c>
      <c r="D860" s="10" t="s">
        <v>895</v>
      </c>
    </row>
    <row r="861" customFormat="false" ht="35.05" hidden="false" customHeight="false" outlineLevel="0" collapsed="false">
      <c r="A861" s="10" t="s">
        <v>121</v>
      </c>
      <c r="B861" s="10" t="s">
        <v>76</v>
      </c>
      <c r="C861" s="10" t="s">
        <v>427</v>
      </c>
      <c r="D861" s="10" t="s">
        <v>896</v>
      </c>
    </row>
    <row r="862" customFormat="false" ht="15" hidden="false" customHeight="false" outlineLevel="0" collapsed="false">
      <c r="A862" s="10" t="s">
        <v>121</v>
      </c>
      <c r="B862" s="10" t="s">
        <v>76</v>
      </c>
      <c r="C862" s="10" t="s">
        <v>427</v>
      </c>
      <c r="D862" s="10" t="s">
        <v>897</v>
      </c>
    </row>
    <row r="863" customFormat="false" ht="15" hidden="false" customHeight="false" outlineLevel="0" collapsed="false">
      <c r="A863" s="10" t="s">
        <v>121</v>
      </c>
      <c r="B863" s="10" t="s">
        <v>76</v>
      </c>
      <c r="C863" s="10" t="s">
        <v>427</v>
      </c>
      <c r="D863" s="10" t="s">
        <v>898</v>
      </c>
    </row>
    <row r="864" customFormat="false" ht="23.85" hidden="false" customHeight="false" outlineLevel="0" collapsed="false">
      <c r="A864" s="10" t="s">
        <v>121</v>
      </c>
      <c r="B864" s="10" t="s">
        <v>76</v>
      </c>
      <c r="C864" s="10" t="s">
        <v>427</v>
      </c>
      <c r="D864" s="10" t="s">
        <v>736</v>
      </c>
    </row>
    <row r="865" customFormat="false" ht="35.05" hidden="false" customHeight="false" outlineLevel="0" collapsed="false">
      <c r="A865" s="10" t="s">
        <v>121</v>
      </c>
      <c r="B865" s="10" t="s">
        <v>76</v>
      </c>
      <c r="C865" s="10" t="s">
        <v>427</v>
      </c>
      <c r="D865" s="10" t="s">
        <v>899</v>
      </c>
    </row>
    <row r="866" customFormat="false" ht="23.85" hidden="false" customHeight="false" outlineLevel="0" collapsed="false">
      <c r="A866" s="10" t="s">
        <v>121</v>
      </c>
      <c r="B866" s="10" t="s">
        <v>76</v>
      </c>
      <c r="C866" s="10" t="s">
        <v>427</v>
      </c>
      <c r="D866" s="10" t="s">
        <v>900</v>
      </c>
    </row>
    <row r="867" customFormat="false" ht="23.85" hidden="false" customHeight="false" outlineLevel="0" collapsed="false">
      <c r="A867" s="10" t="s">
        <v>121</v>
      </c>
      <c r="B867" s="10" t="s">
        <v>76</v>
      </c>
      <c r="C867" s="10" t="s">
        <v>427</v>
      </c>
      <c r="D867" s="10" t="s">
        <v>901</v>
      </c>
    </row>
    <row r="868" customFormat="false" ht="23.85" hidden="false" customHeight="false" outlineLevel="0" collapsed="false">
      <c r="A868" s="10" t="s">
        <v>121</v>
      </c>
      <c r="B868" s="10" t="s">
        <v>76</v>
      </c>
      <c r="C868" s="10" t="s">
        <v>427</v>
      </c>
      <c r="D868" s="10" t="s">
        <v>902</v>
      </c>
    </row>
    <row r="869" customFormat="false" ht="15" hidden="false" customHeight="false" outlineLevel="0" collapsed="false">
      <c r="A869" s="10" t="s">
        <v>121</v>
      </c>
      <c r="B869" s="10" t="s">
        <v>76</v>
      </c>
      <c r="C869" s="10" t="s">
        <v>427</v>
      </c>
      <c r="D869" s="10" t="s">
        <v>737</v>
      </c>
    </row>
    <row r="870" customFormat="false" ht="23.85" hidden="false" customHeight="false" outlineLevel="0" collapsed="false">
      <c r="A870" s="10" t="s">
        <v>121</v>
      </c>
      <c r="B870" s="10" t="s">
        <v>76</v>
      </c>
      <c r="C870" s="10" t="s">
        <v>427</v>
      </c>
      <c r="D870" s="10" t="s">
        <v>804</v>
      </c>
    </row>
    <row r="871" customFormat="false" ht="46.25" hidden="false" customHeight="false" outlineLevel="0" collapsed="false">
      <c r="A871" s="10" t="s">
        <v>121</v>
      </c>
      <c r="B871" s="10" t="s">
        <v>76</v>
      </c>
      <c r="C871" s="10" t="s">
        <v>427</v>
      </c>
      <c r="D871" s="10" t="s">
        <v>739</v>
      </c>
    </row>
    <row r="872" customFormat="false" ht="23.85" hidden="false" customHeight="false" outlineLevel="0" collapsed="false">
      <c r="A872" s="10" t="s">
        <v>121</v>
      </c>
      <c r="B872" s="10" t="s">
        <v>76</v>
      </c>
      <c r="C872" s="10" t="s">
        <v>427</v>
      </c>
      <c r="D872" s="10" t="s">
        <v>903</v>
      </c>
    </row>
    <row r="873" customFormat="false" ht="15" hidden="false" customHeight="false" outlineLevel="0" collapsed="false">
      <c r="A873" s="10" t="s">
        <v>121</v>
      </c>
      <c r="B873" s="10" t="s">
        <v>76</v>
      </c>
      <c r="C873" s="10" t="s">
        <v>427</v>
      </c>
      <c r="D873" s="10" t="s">
        <v>740</v>
      </c>
    </row>
    <row r="874" customFormat="false" ht="35.05" hidden="false" customHeight="false" outlineLevel="0" collapsed="false">
      <c r="A874" s="10" t="s">
        <v>121</v>
      </c>
      <c r="B874" s="10" t="s">
        <v>76</v>
      </c>
      <c r="C874" s="10" t="s">
        <v>427</v>
      </c>
      <c r="D874" s="10" t="s">
        <v>545</v>
      </c>
    </row>
    <row r="875" customFormat="false" ht="46.25" hidden="false" customHeight="false" outlineLevel="0" collapsed="false">
      <c r="A875" s="10" t="s">
        <v>121</v>
      </c>
      <c r="B875" s="10" t="s">
        <v>76</v>
      </c>
      <c r="C875" s="10" t="s">
        <v>427</v>
      </c>
      <c r="D875" s="10" t="s">
        <v>546</v>
      </c>
    </row>
    <row r="876" customFormat="false" ht="46.25" hidden="false" customHeight="false" outlineLevel="0" collapsed="false">
      <c r="A876" s="10" t="s">
        <v>121</v>
      </c>
      <c r="B876" s="10" t="s">
        <v>76</v>
      </c>
      <c r="C876" s="10" t="s">
        <v>427</v>
      </c>
      <c r="D876" s="10" t="s">
        <v>548</v>
      </c>
    </row>
    <row r="877" customFormat="false" ht="15" hidden="false" customHeight="false" outlineLevel="0" collapsed="false">
      <c r="A877" s="10" t="s">
        <v>121</v>
      </c>
      <c r="B877" s="10" t="s">
        <v>76</v>
      </c>
      <c r="C877" s="10" t="s">
        <v>427</v>
      </c>
      <c r="D877" s="10" t="s">
        <v>549</v>
      </c>
    </row>
    <row r="878" customFormat="false" ht="35.05" hidden="false" customHeight="false" outlineLevel="0" collapsed="false">
      <c r="A878" s="10" t="s">
        <v>121</v>
      </c>
      <c r="B878" s="10" t="s">
        <v>76</v>
      </c>
      <c r="C878" s="10" t="s">
        <v>427</v>
      </c>
      <c r="D878" s="10" t="s">
        <v>904</v>
      </c>
    </row>
    <row r="879" customFormat="false" ht="15" hidden="false" customHeight="false" outlineLevel="0" collapsed="false">
      <c r="A879" s="10" t="s">
        <v>121</v>
      </c>
      <c r="B879" s="10" t="s">
        <v>76</v>
      </c>
      <c r="C879" s="10" t="s">
        <v>427</v>
      </c>
      <c r="D879" s="10" t="s">
        <v>741</v>
      </c>
    </row>
    <row r="880" customFormat="false" ht="35.05" hidden="false" customHeight="false" outlineLevel="0" collapsed="false">
      <c r="A880" s="10" t="s">
        <v>121</v>
      </c>
      <c r="B880" s="10" t="s">
        <v>76</v>
      </c>
      <c r="C880" s="10" t="s">
        <v>427</v>
      </c>
      <c r="D880" s="10" t="s">
        <v>905</v>
      </c>
    </row>
    <row r="881" customFormat="false" ht="35.05" hidden="false" customHeight="false" outlineLevel="0" collapsed="false">
      <c r="A881" s="10" t="s">
        <v>121</v>
      </c>
      <c r="B881" s="10" t="s">
        <v>76</v>
      </c>
      <c r="C881" s="10" t="s">
        <v>427</v>
      </c>
      <c r="D881" s="10" t="s">
        <v>906</v>
      </c>
    </row>
    <row r="882" customFormat="false" ht="15" hidden="false" customHeight="false" outlineLevel="0" collapsed="false">
      <c r="A882" s="10" t="s">
        <v>121</v>
      </c>
      <c r="B882" s="10" t="s">
        <v>90</v>
      </c>
      <c r="C882" s="10" t="s">
        <v>427</v>
      </c>
      <c r="D882" s="10" t="s">
        <v>907</v>
      </c>
    </row>
    <row r="883" customFormat="false" ht="23.85" hidden="false" customHeight="false" outlineLevel="0" collapsed="false">
      <c r="A883" s="10" t="s">
        <v>121</v>
      </c>
      <c r="B883" s="10" t="s">
        <v>90</v>
      </c>
      <c r="C883" s="10" t="s">
        <v>427</v>
      </c>
      <c r="D883" s="10" t="s">
        <v>743</v>
      </c>
    </row>
    <row r="884" customFormat="false" ht="23.85" hidden="false" customHeight="false" outlineLevel="0" collapsed="false">
      <c r="A884" s="10" t="s">
        <v>121</v>
      </c>
      <c r="B884" s="10" t="s">
        <v>90</v>
      </c>
      <c r="C884" s="10" t="s">
        <v>427</v>
      </c>
      <c r="D884" s="10" t="s">
        <v>744</v>
      </c>
    </row>
    <row r="885" customFormat="false" ht="15" hidden="false" customHeight="false" outlineLevel="0" collapsed="false">
      <c r="A885" s="10" t="s">
        <v>121</v>
      </c>
      <c r="B885" s="10" t="s">
        <v>90</v>
      </c>
      <c r="C885" s="10" t="s">
        <v>427</v>
      </c>
      <c r="D885" s="10" t="s">
        <v>908</v>
      </c>
    </row>
    <row r="886" customFormat="false" ht="23.85" hidden="false" customHeight="false" outlineLevel="0" collapsed="false">
      <c r="A886" s="10" t="s">
        <v>121</v>
      </c>
      <c r="B886" s="10" t="s">
        <v>90</v>
      </c>
      <c r="C886" s="10" t="s">
        <v>427</v>
      </c>
      <c r="D886" s="10" t="s">
        <v>597</v>
      </c>
    </row>
    <row r="887" customFormat="false" ht="35.05" hidden="false" customHeight="false" outlineLevel="0" collapsed="false">
      <c r="A887" s="10" t="s">
        <v>121</v>
      </c>
      <c r="B887" s="10" t="s">
        <v>90</v>
      </c>
      <c r="C887" s="10" t="s">
        <v>427</v>
      </c>
      <c r="D887" s="10" t="s">
        <v>582</v>
      </c>
    </row>
    <row r="888" customFormat="false" ht="35.05" hidden="false" customHeight="false" outlineLevel="0" collapsed="false">
      <c r="A888" s="10" t="s">
        <v>121</v>
      </c>
      <c r="B888" s="10" t="s">
        <v>90</v>
      </c>
      <c r="C888" s="10" t="s">
        <v>427</v>
      </c>
      <c r="D888" s="10" t="s">
        <v>909</v>
      </c>
    </row>
    <row r="889" customFormat="false" ht="46.25" hidden="false" customHeight="false" outlineLevel="0" collapsed="false">
      <c r="A889" s="10" t="s">
        <v>121</v>
      </c>
      <c r="B889" s="10" t="s">
        <v>90</v>
      </c>
      <c r="C889" s="10" t="s">
        <v>427</v>
      </c>
      <c r="D889" s="10" t="s">
        <v>910</v>
      </c>
    </row>
    <row r="890" customFormat="false" ht="46.25" hidden="false" customHeight="false" outlineLevel="0" collapsed="false">
      <c r="A890" s="10" t="s">
        <v>121</v>
      </c>
      <c r="B890" s="10" t="s">
        <v>90</v>
      </c>
      <c r="C890" s="10" t="s">
        <v>427</v>
      </c>
      <c r="D890" s="10" t="s">
        <v>487</v>
      </c>
    </row>
    <row r="891" customFormat="false" ht="35.05" hidden="false" customHeight="false" outlineLevel="0" collapsed="false">
      <c r="A891" s="10" t="s">
        <v>121</v>
      </c>
      <c r="B891" s="10" t="s">
        <v>90</v>
      </c>
      <c r="C891" s="10" t="s">
        <v>427</v>
      </c>
      <c r="D891" s="10" t="s">
        <v>911</v>
      </c>
    </row>
    <row r="892" customFormat="false" ht="35.05" hidden="false" customHeight="false" outlineLevel="0" collapsed="false">
      <c r="A892" s="10" t="s">
        <v>121</v>
      </c>
      <c r="B892" s="10" t="s">
        <v>90</v>
      </c>
      <c r="C892" s="10" t="s">
        <v>427</v>
      </c>
      <c r="D892" s="10" t="s">
        <v>912</v>
      </c>
    </row>
    <row r="893" customFormat="false" ht="23.85" hidden="false" customHeight="false" outlineLevel="0" collapsed="false">
      <c r="A893" s="10" t="s">
        <v>121</v>
      </c>
      <c r="B893" s="10" t="s">
        <v>90</v>
      </c>
      <c r="C893" s="10" t="s">
        <v>427</v>
      </c>
      <c r="D893" s="10" t="s">
        <v>486</v>
      </c>
    </row>
    <row r="894" customFormat="false" ht="35.05" hidden="false" customHeight="false" outlineLevel="0" collapsed="false">
      <c r="A894" s="10" t="s">
        <v>121</v>
      </c>
      <c r="B894" s="10" t="s">
        <v>147</v>
      </c>
      <c r="C894" s="10" t="s">
        <v>427</v>
      </c>
      <c r="D894" s="10" t="s">
        <v>913</v>
      </c>
    </row>
    <row r="895" customFormat="false" ht="35.05" hidden="false" customHeight="false" outlineLevel="0" collapsed="false">
      <c r="A895" s="10" t="s">
        <v>121</v>
      </c>
      <c r="B895" s="10" t="s">
        <v>147</v>
      </c>
      <c r="C895" s="10" t="s">
        <v>427</v>
      </c>
      <c r="D895" s="10" t="s">
        <v>914</v>
      </c>
    </row>
    <row r="896" customFormat="false" ht="46.25" hidden="false" customHeight="false" outlineLevel="0" collapsed="false">
      <c r="A896" s="10" t="s">
        <v>121</v>
      </c>
      <c r="B896" s="10" t="s">
        <v>147</v>
      </c>
      <c r="C896" s="10" t="s">
        <v>427</v>
      </c>
      <c r="D896" s="10" t="s">
        <v>522</v>
      </c>
    </row>
    <row r="897" customFormat="false" ht="23.85" hidden="false" customHeight="false" outlineLevel="0" collapsed="false">
      <c r="A897" s="10" t="s">
        <v>121</v>
      </c>
      <c r="B897" s="10" t="s">
        <v>147</v>
      </c>
      <c r="C897" s="10" t="s">
        <v>427</v>
      </c>
      <c r="D897" s="10" t="s">
        <v>523</v>
      </c>
    </row>
    <row r="898" customFormat="false" ht="35.05" hidden="false" customHeight="false" outlineLevel="0" collapsed="false">
      <c r="A898" s="10" t="s">
        <v>121</v>
      </c>
      <c r="B898" s="10" t="s">
        <v>147</v>
      </c>
      <c r="C898" s="10" t="s">
        <v>427</v>
      </c>
      <c r="D898" s="10" t="s">
        <v>524</v>
      </c>
    </row>
    <row r="899" customFormat="false" ht="23.85" hidden="false" customHeight="false" outlineLevel="0" collapsed="false">
      <c r="A899" s="10" t="s">
        <v>121</v>
      </c>
      <c r="B899" s="10" t="s">
        <v>147</v>
      </c>
      <c r="C899" s="10" t="s">
        <v>427</v>
      </c>
      <c r="D899" s="10" t="s">
        <v>915</v>
      </c>
    </row>
    <row r="900" customFormat="false" ht="15" hidden="false" customHeight="false" outlineLevel="0" collapsed="false">
      <c r="A900" s="10" t="s">
        <v>121</v>
      </c>
      <c r="B900" s="10" t="s">
        <v>147</v>
      </c>
      <c r="C900" s="10" t="s">
        <v>427</v>
      </c>
      <c r="D900" s="10" t="s">
        <v>916</v>
      </c>
    </row>
    <row r="901" customFormat="false" ht="23.85" hidden="false" customHeight="false" outlineLevel="0" collapsed="false">
      <c r="A901" s="10" t="s">
        <v>121</v>
      </c>
      <c r="B901" s="10" t="s">
        <v>147</v>
      </c>
      <c r="C901" s="10" t="s">
        <v>427</v>
      </c>
      <c r="D901" s="10" t="s">
        <v>917</v>
      </c>
    </row>
    <row r="902" customFormat="false" ht="23.85" hidden="false" customHeight="false" outlineLevel="0" collapsed="false">
      <c r="A902" s="10" t="s">
        <v>121</v>
      </c>
      <c r="B902" s="10" t="s">
        <v>147</v>
      </c>
      <c r="C902" s="10" t="s">
        <v>427</v>
      </c>
      <c r="D902" s="10" t="s">
        <v>918</v>
      </c>
    </row>
    <row r="903" customFormat="false" ht="35.05" hidden="false" customHeight="false" outlineLevel="0" collapsed="false">
      <c r="A903" s="10" t="s">
        <v>121</v>
      </c>
      <c r="B903" s="10" t="s">
        <v>183</v>
      </c>
      <c r="C903" s="10" t="s">
        <v>427</v>
      </c>
      <c r="D903" s="10" t="s">
        <v>653</v>
      </c>
    </row>
    <row r="904" customFormat="false" ht="15" hidden="false" customHeight="false" outlineLevel="0" collapsed="false">
      <c r="A904" s="10" t="s">
        <v>121</v>
      </c>
      <c r="B904" s="10" t="s">
        <v>919</v>
      </c>
      <c r="C904" s="10" t="s">
        <v>427</v>
      </c>
      <c r="D904" s="10" t="s">
        <v>920</v>
      </c>
    </row>
    <row r="905" customFormat="false" ht="23.85" hidden="false" customHeight="false" outlineLevel="0" collapsed="false">
      <c r="A905" s="10" t="s">
        <v>121</v>
      </c>
      <c r="B905" s="10" t="s">
        <v>919</v>
      </c>
      <c r="C905" s="10" t="s">
        <v>427</v>
      </c>
      <c r="D905" s="10" t="s">
        <v>921</v>
      </c>
    </row>
    <row r="906" customFormat="false" ht="15" hidden="false" customHeight="false" outlineLevel="0" collapsed="false">
      <c r="A906" s="10" t="s">
        <v>121</v>
      </c>
      <c r="B906" s="10" t="s">
        <v>919</v>
      </c>
      <c r="C906" s="10" t="s">
        <v>427</v>
      </c>
      <c r="D906" s="10" t="s">
        <v>922</v>
      </c>
    </row>
    <row r="907" customFormat="false" ht="35.05" hidden="false" customHeight="false" outlineLevel="0" collapsed="false">
      <c r="A907" s="10" t="s">
        <v>121</v>
      </c>
      <c r="B907" s="10" t="s">
        <v>919</v>
      </c>
      <c r="C907" s="10" t="s">
        <v>427</v>
      </c>
      <c r="D907" s="10" t="s">
        <v>923</v>
      </c>
    </row>
    <row r="908" customFormat="false" ht="35.05" hidden="false" customHeight="false" outlineLevel="0" collapsed="false">
      <c r="A908" s="10" t="s">
        <v>121</v>
      </c>
      <c r="B908" s="10" t="s">
        <v>919</v>
      </c>
      <c r="C908" s="10" t="s">
        <v>427</v>
      </c>
      <c r="D908" s="10" t="s">
        <v>924</v>
      </c>
    </row>
    <row r="909" customFormat="false" ht="23.85" hidden="false" customHeight="false" outlineLevel="0" collapsed="false">
      <c r="A909" s="10" t="s">
        <v>121</v>
      </c>
      <c r="B909" s="10" t="s">
        <v>919</v>
      </c>
      <c r="C909" s="10" t="s">
        <v>427</v>
      </c>
      <c r="D909" s="10" t="s">
        <v>925</v>
      </c>
    </row>
    <row r="910" customFormat="false" ht="15" hidden="false" customHeight="false" outlineLevel="0" collapsed="false">
      <c r="A910" s="10" t="s">
        <v>121</v>
      </c>
      <c r="B910" s="10" t="s">
        <v>919</v>
      </c>
      <c r="C910" s="10" t="s">
        <v>427</v>
      </c>
      <c r="D910" s="10" t="s">
        <v>926</v>
      </c>
    </row>
    <row r="911" customFormat="false" ht="23.85" hidden="false" customHeight="false" outlineLevel="0" collapsed="false">
      <c r="A911" s="10" t="s">
        <v>121</v>
      </c>
      <c r="B911" s="10" t="s">
        <v>919</v>
      </c>
      <c r="C911" s="10" t="s">
        <v>427</v>
      </c>
      <c r="D911" s="10" t="s">
        <v>927</v>
      </c>
    </row>
    <row r="912" customFormat="false" ht="15" hidden="false" customHeight="false" outlineLevel="0" collapsed="false">
      <c r="A912" s="10" t="s">
        <v>121</v>
      </c>
      <c r="B912" s="10" t="s">
        <v>919</v>
      </c>
      <c r="C912" s="10" t="s">
        <v>427</v>
      </c>
      <c r="D912" s="10" t="s">
        <v>928</v>
      </c>
    </row>
    <row r="913" customFormat="false" ht="23.85" hidden="false" customHeight="false" outlineLevel="0" collapsed="false">
      <c r="A913" s="10" t="s">
        <v>121</v>
      </c>
      <c r="B913" s="10" t="s">
        <v>919</v>
      </c>
      <c r="C913" s="10" t="s">
        <v>427</v>
      </c>
      <c r="D913" s="10" t="s">
        <v>929</v>
      </c>
    </row>
    <row r="914" customFormat="false" ht="46.25" hidden="false" customHeight="false" outlineLevel="0" collapsed="false">
      <c r="A914" s="10" t="s">
        <v>121</v>
      </c>
      <c r="B914" s="10" t="s">
        <v>919</v>
      </c>
      <c r="C914" s="10" t="s">
        <v>427</v>
      </c>
      <c r="D914" s="10" t="s">
        <v>930</v>
      </c>
    </row>
    <row r="915" customFormat="false" ht="15" hidden="false" customHeight="false" outlineLevel="0" collapsed="false">
      <c r="A915" s="10" t="s">
        <v>121</v>
      </c>
      <c r="B915" s="10" t="s">
        <v>259</v>
      </c>
      <c r="C915" s="10" t="s">
        <v>427</v>
      </c>
      <c r="D915" s="10" t="s">
        <v>931</v>
      </c>
    </row>
    <row r="916" customFormat="false" ht="15" hidden="false" customHeight="false" outlineLevel="0" collapsed="false">
      <c r="A916" s="10" t="s">
        <v>121</v>
      </c>
      <c r="B916" s="10" t="s">
        <v>259</v>
      </c>
      <c r="C916" s="10" t="s">
        <v>427</v>
      </c>
      <c r="D916" s="10" t="s">
        <v>932</v>
      </c>
    </row>
    <row r="917" customFormat="false" ht="15" hidden="false" customHeight="false" outlineLevel="0" collapsed="false">
      <c r="A917" s="10" t="s">
        <v>121</v>
      </c>
      <c r="B917" s="10" t="s">
        <v>259</v>
      </c>
      <c r="C917" s="10" t="s">
        <v>427</v>
      </c>
      <c r="D917" s="10" t="s">
        <v>933</v>
      </c>
    </row>
    <row r="918" customFormat="false" ht="46.25" hidden="false" customHeight="false" outlineLevel="0" collapsed="false">
      <c r="A918" s="10" t="s">
        <v>121</v>
      </c>
      <c r="B918" s="10" t="s">
        <v>259</v>
      </c>
      <c r="C918" s="10" t="s">
        <v>427</v>
      </c>
      <c r="D918" s="10" t="s">
        <v>934</v>
      </c>
    </row>
    <row r="919" customFormat="false" ht="23.85" hidden="false" customHeight="false" outlineLevel="0" collapsed="false">
      <c r="A919" s="10" t="s">
        <v>121</v>
      </c>
      <c r="B919" s="10" t="s">
        <v>259</v>
      </c>
      <c r="C919" s="10" t="s">
        <v>427</v>
      </c>
      <c r="D919" s="10" t="s">
        <v>935</v>
      </c>
    </row>
    <row r="920" customFormat="false" ht="57.45" hidden="false" customHeight="false" outlineLevel="0" collapsed="false">
      <c r="A920" s="10" t="s">
        <v>121</v>
      </c>
      <c r="B920" s="10" t="s">
        <v>259</v>
      </c>
      <c r="C920" s="10" t="s">
        <v>427</v>
      </c>
      <c r="D920" s="10" t="s">
        <v>936</v>
      </c>
    </row>
    <row r="921" customFormat="false" ht="23.85" hidden="false" customHeight="false" outlineLevel="0" collapsed="false">
      <c r="A921" s="10" t="s">
        <v>121</v>
      </c>
      <c r="B921" s="10" t="s">
        <v>259</v>
      </c>
      <c r="C921" s="10" t="s">
        <v>427</v>
      </c>
      <c r="D921" s="10" t="s">
        <v>937</v>
      </c>
    </row>
    <row r="922" customFormat="false" ht="23.85" hidden="false" customHeight="false" outlineLevel="0" collapsed="false">
      <c r="A922" s="10" t="s">
        <v>121</v>
      </c>
      <c r="B922" s="10" t="s">
        <v>259</v>
      </c>
      <c r="C922" s="10" t="s">
        <v>427</v>
      </c>
      <c r="D922" s="10" t="s">
        <v>938</v>
      </c>
    </row>
    <row r="923" customFormat="false" ht="15" hidden="false" customHeight="false" outlineLevel="0" collapsed="false">
      <c r="A923" s="10" t="s">
        <v>121</v>
      </c>
      <c r="B923" s="10" t="s">
        <v>259</v>
      </c>
      <c r="C923" s="10" t="s">
        <v>427</v>
      </c>
      <c r="D923" s="10" t="s">
        <v>939</v>
      </c>
    </row>
    <row r="924" customFormat="false" ht="23.85" hidden="false" customHeight="false" outlineLevel="0" collapsed="false">
      <c r="A924" s="10" t="s">
        <v>121</v>
      </c>
      <c r="B924" s="10" t="s">
        <v>259</v>
      </c>
      <c r="C924" s="10" t="s">
        <v>427</v>
      </c>
      <c r="D924" s="10" t="s">
        <v>940</v>
      </c>
    </row>
    <row r="925" customFormat="false" ht="15" hidden="false" customHeight="false" outlineLevel="0" collapsed="false">
      <c r="A925" s="10" t="s">
        <v>121</v>
      </c>
      <c r="B925" s="10" t="s">
        <v>259</v>
      </c>
      <c r="C925" s="10" t="s">
        <v>427</v>
      </c>
      <c r="D925" s="10" t="s">
        <v>941</v>
      </c>
    </row>
    <row r="926" customFormat="false" ht="23.85" hidden="false" customHeight="false" outlineLevel="0" collapsed="false">
      <c r="A926" s="10" t="s">
        <v>121</v>
      </c>
      <c r="B926" s="10" t="s">
        <v>133</v>
      </c>
      <c r="C926" s="10" t="s">
        <v>427</v>
      </c>
      <c r="D926" s="10" t="s">
        <v>562</v>
      </c>
    </row>
    <row r="927" customFormat="false" ht="23.85" hidden="false" customHeight="false" outlineLevel="0" collapsed="false">
      <c r="A927" s="10" t="s">
        <v>121</v>
      </c>
      <c r="B927" s="10" t="s">
        <v>133</v>
      </c>
      <c r="C927" s="10" t="s">
        <v>427</v>
      </c>
      <c r="D927" s="10" t="s">
        <v>499</v>
      </c>
    </row>
    <row r="928" customFormat="false" ht="35.05" hidden="false" customHeight="false" outlineLevel="0" collapsed="false">
      <c r="A928" s="10" t="s">
        <v>121</v>
      </c>
      <c r="B928" s="10" t="s">
        <v>133</v>
      </c>
      <c r="C928" s="10" t="s">
        <v>427</v>
      </c>
      <c r="D928" s="10" t="s">
        <v>563</v>
      </c>
    </row>
    <row r="929" customFormat="false" ht="23.85" hidden="false" customHeight="false" outlineLevel="0" collapsed="false">
      <c r="A929" s="10" t="s">
        <v>121</v>
      </c>
      <c r="B929" s="10" t="s">
        <v>133</v>
      </c>
      <c r="C929" s="10" t="s">
        <v>427</v>
      </c>
      <c r="D929" s="10" t="s">
        <v>110</v>
      </c>
    </row>
    <row r="930" customFormat="false" ht="15" hidden="false" customHeight="false" outlineLevel="0" collapsed="false">
      <c r="A930" s="10" t="s">
        <v>121</v>
      </c>
      <c r="B930" s="10" t="s">
        <v>133</v>
      </c>
      <c r="C930" s="10" t="s">
        <v>427</v>
      </c>
      <c r="D930" s="10" t="s">
        <v>942</v>
      </c>
    </row>
    <row r="931" customFormat="false" ht="23.85" hidden="false" customHeight="false" outlineLevel="0" collapsed="false">
      <c r="A931" s="10" t="s">
        <v>121</v>
      </c>
      <c r="B931" s="10" t="s">
        <v>133</v>
      </c>
      <c r="C931" s="10" t="s">
        <v>427</v>
      </c>
      <c r="D931" s="10" t="s">
        <v>943</v>
      </c>
    </row>
    <row r="932" customFormat="false" ht="23.85" hidden="false" customHeight="false" outlineLevel="0" collapsed="false">
      <c r="A932" s="10" t="s">
        <v>121</v>
      </c>
      <c r="B932" s="10" t="s">
        <v>116</v>
      </c>
      <c r="C932" s="10" t="s">
        <v>427</v>
      </c>
      <c r="D932" s="10" t="s">
        <v>572</v>
      </c>
    </row>
    <row r="933" customFormat="false" ht="23.85" hidden="false" customHeight="false" outlineLevel="0" collapsed="false">
      <c r="A933" s="10" t="s">
        <v>121</v>
      </c>
      <c r="B933" s="10" t="s">
        <v>116</v>
      </c>
      <c r="C933" s="10" t="s">
        <v>427</v>
      </c>
      <c r="D933" s="10" t="s">
        <v>488</v>
      </c>
    </row>
    <row r="934" customFormat="false" ht="23.85" hidden="false" customHeight="false" outlineLevel="0" collapsed="false">
      <c r="A934" s="10" t="s">
        <v>121</v>
      </c>
      <c r="B934" s="10" t="s">
        <v>116</v>
      </c>
      <c r="C934" s="10" t="s">
        <v>427</v>
      </c>
      <c r="D934" s="10" t="s">
        <v>214</v>
      </c>
    </row>
    <row r="935" customFormat="false" ht="23.85" hidden="false" customHeight="false" outlineLevel="0" collapsed="false">
      <c r="A935" s="10" t="s">
        <v>121</v>
      </c>
      <c r="B935" s="10" t="s">
        <v>116</v>
      </c>
      <c r="C935" s="10" t="s">
        <v>427</v>
      </c>
      <c r="D935" s="10" t="s">
        <v>193</v>
      </c>
    </row>
    <row r="936" customFormat="false" ht="23.85" hidden="false" customHeight="false" outlineLevel="0" collapsed="false">
      <c r="A936" s="10" t="s">
        <v>121</v>
      </c>
      <c r="B936" s="10" t="s">
        <v>134</v>
      </c>
      <c r="C936" s="10" t="s">
        <v>427</v>
      </c>
      <c r="D936" s="10" t="s">
        <v>944</v>
      </c>
    </row>
    <row r="937" customFormat="false" ht="15" hidden="false" customHeight="false" outlineLevel="0" collapsed="false">
      <c r="A937" s="10" t="s">
        <v>121</v>
      </c>
      <c r="B937" s="10" t="s">
        <v>86</v>
      </c>
      <c r="C937" s="10" t="s">
        <v>427</v>
      </c>
      <c r="D937" s="10" t="s">
        <v>847</v>
      </c>
    </row>
    <row r="938" customFormat="false" ht="23.85" hidden="false" customHeight="false" outlineLevel="0" collapsed="false">
      <c r="A938" s="10" t="s">
        <v>121</v>
      </c>
      <c r="B938" s="10" t="s">
        <v>86</v>
      </c>
      <c r="C938" s="10" t="s">
        <v>427</v>
      </c>
      <c r="D938" s="10" t="s">
        <v>945</v>
      </c>
    </row>
    <row r="939" customFormat="false" ht="35.05" hidden="false" customHeight="false" outlineLevel="0" collapsed="false">
      <c r="A939" s="10" t="s">
        <v>121</v>
      </c>
      <c r="B939" s="10" t="s">
        <v>86</v>
      </c>
      <c r="C939" s="10" t="s">
        <v>427</v>
      </c>
      <c r="D939" s="10" t="s">
        <v>946</v>
      </c>
    </row>
    <row r="940" customFormat="false" ht="15" hidden="false" customHeight="false" outlineLevel="0" collapsed="false">
      <c r="A940" s="10" t="s">
        <v>121</v>
      </c>
      <c r="B940" s="10" t="s">
        <v>86</v>
      </c>
      <c r="C940" s="10" t="s">
        <v>427</v>
      </c>
      <c r="D940" s="10" t="s">
        <v>947</v>
      </c>
    </row>
    <row r="941" customFormat="false" ht="35.05" hidden="false" customHeight="false" outlineLevel="0" collapsed="false">
      <c r="A941" s="10" t="s">
        <v>121</v>
      </c>
      <c r="B941" s="10" t="s">
        <v>86</v>
      </c>
      <c r="C941" s="10" t="s">
        <v>427</v>
      </c>
      <c r="D941" s="10" t="s">
        <v>178</v>
      </c>
    </row>
    <row r="942" customFormat="false" ht="35.05" hidden="false" customHeight="false" outlineLevel="0" collapsed="false">
      <c r="A942" s="10" t="s">
        <v>121</v>
      </c>
      <c r="B942" s="10" t="s">
        <v>86</v>
      </c>
      <c r="C942" s="10" t="s">
        <v>427</v>
      </c>
      <c r="D942" s="10" t="s">
        <v>948</v>
      </c>
    </row>
    <row r="943" customFormat="false" ht="15" hidden="false" customHeight="false" outlineLevel="0" collapsed="false">
      <c r="A943" s="10" t="s">
        <v>121</v>
      </c>
      <c r="B943" s="10" t="s">
        <v>86</v>
      </c>
      <c r="C943" s="10" t="s">
        <v>427</v>
      </c>
      <c r="D943" s="10" t="s">
        <v>949</v>
      </c>
    </row>
    <row r="944" customFormat="false" ht="23.85" hidden="false" customHeight="false" outlineLevel="0" collapsed="false">
      <c r="A944" s="10" t="s">
        <v>121</v>
      </c>
      <c r="B944" s="10" t="s">
        <v>58</v>
      </c>
      <c r="C944" s="10" t="s">
        <v>427</v>
      </c>
      <c r="D944" s="10" t="s">
        <v>950</v>
      </c>
    </row>
    <row r="945" customFormat="false" ht="23.85" hidden="false" customHeight="false" outlineLevel="0" collapsed="false">
      <c r="A945" s="10" t="s">
        <v>121</v>
      </c>
      <c r="B945" s="10" t="s">
        <v>58</v>
      </c>
      <c r="C945" s="10" t="s">
        <v>427</v>
      </c>
      <c r="D945" s="10" t="s">
        <v>124</v>
      </c>
    </row>
    <row r="946" customFormat="false" ht="15" hidden="false" customHeight="false" outlineLevel="0" collapsed="false">
      <c r="A946" s="10" t="s">
        <v>331</v>
      </c>
      <c r="B946" s="10" t="s">
        <v>76</v>
      </c>
      <c r="C946" s="10" t="s">
        <v>427</v>
      </c>
      <c r="D946" s="10" t="s">
        <v>616</v>
      </c>
    </row>
    <row r="947" customFormat="false" ht="23.85" hidden="false" customHeight="false" outlineLevel="0" collapsed="false">
      <c r="A947" s="10" t="s">
        <v>331</v>
      </c>
      <c r="B947" s="10" t="s">
        <v>76</v>
      </c>
      <c r="C947" s="10" t="s">
        <v>427</v>
      </c>
      <c r="D947" s="10" t="s">
        <v>590</v>
      </c>
    </row>
    <row r="948" customFormat="false" ht="35.05" hidden="false" customHeight="false" outlineLevel="0" collapsed="false">
      <c r="A948" s="10" t="s">
        <v>331</v>
      </c>
      <c r="B948" s="10" t="s">
        <v>76</v>
      </c>
      <c r="C948" s="10" t="s">
        <v>427</v>
      </c>
      <c r="D948" s="10" t="s">
        <v>719</v>
      </c>
    </row>
    <row r="949" customFormat="false" ht="23.85" hidden="false" customHeight="false" outlineLevel="0" collapsed="false">
      <c r="A949" s="10" t="s">
        <v>331</v>
      </c>
      <c r="B949" s="10" t="s">
        <v>76</v>
      </c>
      <c r="C949" s="10" t="s">
        <v>427</v>
      </c>
      <c r="D949" s="10" t="s">
        <v>720</v>
      </c>
    </row>
    <row r="950" customFormat="false" ht="23.85" hidden="false" customHeight="false" outlineLevel="0" collapsed="false">
      <c r="A950" s="10" t="s">
        <v>331</v>
      </c>
      <c r="B950" s="10" t="s">
        <v>76</v>
      </c>
      <c r="C950" s="10" t="s">
        <v>427</v>
      </c>
      <c r="D950" s="10" t="s">
        <v>721</v>
      </c>
    </row>
    <row r="951" customFormat="false" ht="23.85" hidden="false" customHeight="false" outlineLevel="0" collapsed="false">
      <c r="A951" s="10" t="s">
        <v>331</v>
      </c>
      <c r="B951" s="10" t="s">
        <v>76</v>
      </c>
      <c r="C951" s="10" t="s">
        <v>427</v>
      </c>
      <c r="D951" s="10" t="s">
        <v>591</v>
      </c>
    </row>
    <row r="952" customFormat="false" ht="15" hidden="false" customHeight="false" outlineLevel="0" collapsed="false">
      <c r="A952" s="10" t="s">
        <v>331</v>
      </c>
      <c r="B952" s="10" t="s">
        <v>76</v>
      </c>
      <c r="C952" s="10" t="s">
        <v>427</v>
      </c>
      <c r="D952" s="10" t="s">
        <v>723</v>
      </c>
    </row>
    <row r="953" customFormat="false" ht="23.85" hidden="false" customHeight="false" outlineLevel="0" collapsed="false">
      <c r="A953" s="10" t="s">
        <v>331</v>
      </c>
      <c r="B953" s="10" t="s">
        <v>76</v>
      </c>
      <c r="C953" s="10" t="s">
        <v>427</v>
      </c>
      <c r="D953" s="10" t="s">
        <v>724</v>
      </c>
    </row>
    <row r="954" customFormat="false" ht="15" hidden="false" customHeight="false" outlineLevel="0" collapsed="false">
      <c r="A954" s="10" t="s">
        <v>331</v>
      </c>
      <c r="B954" s="10" t="s">
        <v>76</v>
      </c>
      <c r="C954" s="10" t="s">
        <v>427</v>
      </c>
      <c r="D954" s="10" t="s">
        <v>725</v>
      </c>
    </row>
    <row r="955" customFormat="false" ht="35.05" hidden="false" customHeight="false" outlineLevel="0" collapsed="false">
      <c r="A955" s="10" t="s">
        <v>331</v>
      </c>
      <c r="B955" s="10" t="s">
        <v>76</v>
      </c>
      <c r="C955" s="10" t="s">
        <v>427</v>
      </c>
      <c r="D955" s="10" t="s">
        <v>726</v>
      </c>
    </row>
    <row r="956" customFormat="false" ht="15" hidden="false" customHeight="false" outlineLevel="0" collapsed="false">
      <c r="A956" s="10" t="s">
        <v>331</v>
      </c>
      <c r="B956" s="10" t="s">
        <v>76</v>
      </c>
      <c r="C956" s="10" t="s">
        <v>427</v>
      </c>
      <c r="D956" s="10" t="s">
        <v>951</v>
      </c>
    </row>
    <row r="957" customFormat="false" ht="15" hidden="false" customHeight="false" outlineLevel="0" collapsed="false">
      <c r="A957" s="10" t="s">
        <v>331</v>
      </c>
      <c r="B957" s="10" t="s">
        <v>76</v>
      </c>
      <c r="C957" s="10" t="s">
        <v>427</v>
      </c>
      <c r="D957" s="10" t="s">
        <v>952</v>
      </c>
    </row>
    <row r="958" customFormat="false" ht="23.85" hidden="false" customHeight="false" outlineLevel="0" collapsed="false">
      <c r="A958" s="10" t="s">
        <v>331</v>
      </c>
      <c r="B958" s="10" t="s">
        <v>76</v>
      </c>
      <c r="C958" s="10" t="s">
        <v>427</v>
      </c>
      <c r="D958" s="10" t="s">
        <v>730</v>
      </c>
    </row>
    <row r="959" customFormat="false" ht="23.85" hidden="false" customHeight="false" outlineLevel="0" collapsed="false">
      <c r="A959" s="10" t="s">
        <v>331</v>
      </c>
      <c r="B959" s="10" t="s">
        <v>76</v>
      </c>
      <c r="C959" s="10" t="s">
        <v>427</v>
      </c>
      <c r="D959" s="10" t="s">
        <v>731</v>
      </c>
    </row>
    <row r="960" customFormat="false" ht="15" hidden="false" customHeight="false" outlineLevel="0" collapsed="false">
      <c r="A960" s="10" t="s">
        <v>331</v>
      </c>
      <c r="B960" s="10" t="s">
        <v>76</v>
      </c>
      <c r="C960" s="10" t="s">
        <v>427</v>
      </c>
      <c r="D960" s="10" t="s">
        <v>732</v>
      </c>
    </row>
    <row r="961" customFormat="false" ht="23.85" hidden="false" customHeight="false" outlineLevel="0" collapsed="false">
      <c r="A961" s="10" t="s">
        <v>331</v>
      </c>
      <c r="B961" s="10" t="s">
        <v>76</v>
      </c>
      <c r="C961" s="10" t="s">
        <v>427</v>
      </c>
      <c r="D961" s="10" t="s">
        <v>736</v>
      </c>
    </row>
    <row r="962" customFormat="false" ht="15" hidden="false" customHeight="false" outlineLevel="0" collapsed="false">
      <c r="A962" s="10" t="s">
        <v>331</v>
      </c>
      <c r="B962" s="10" t="s">
        <v>76</v>
      </c>
      <c r="C962" s="10" t="s">
        <v>427</v>
      </c>
      <c r="D962" s="10" t="s">
        <v>737</v>
      </c>
    </row>
    <row r="963" customFormat="false" ht="15" hidden="false" customHeight="false" outlineLevel="0" collapsed="false">
      <c r="A963" s="10" t="s">
        <v>331</v>
      </c>
      <c r="B963" s="10" t="s">
        <v>76</v>
      </c>
      <c r="C963" s="10" t="s">
        <v>427</v>
      </c>
      <c r="D963" s="10" t="s">
        <v>740</v>
      </c>
    </row>
    <row r="964" customFormat="false" ht="15" hidden="false" customHeight="false" outlineLevel="0" collapsed="false">
      <c r="A964" s="10" t="s">
        <v>331</v>
      </c>
      <c r="B964" s="10" t="s">
        <v>76</v>
      </c>
      <c r="C964" s="10" t="s">
        <v>427</v>
      </c>
      <c r="D964" s="10" t="s">
        <v>549</v>
      </c>
    </row>
    <row r="965" customFormat="false" ht="15" hidden="false" customHeight="false" outlineLevel="0" collapsed="false">
      <c r="A965" s="10" t="s">
        <v>331</v>
      </c>
      <c r="B965" s="10" t="s">
        <v>76</v>
      </c>
      <c r="C965" s="10" t="s">
        <v>427</v>
      </c>
      <c r="D965" s="10" t="s">
        <v>741</v>
      </c>
    </row>
    <row r="966" customFormat="false" ht="23.85" hidden="false" customHeight="false" outlineLevel="0" collapsed="false">
      <c r="A966" s="10" t="s">
        <v>331</v>
      </c>
      <c r="B966" s="10" t="s">
        <v>90</v>
      </c>
      <c r="C966" s="10" t="s">
        <v>427</v>
      </c>
      <c r="D966" s="10" t="s">
        <v>743</v>
      </c>
    </row>
    <row r="967" customFormat="false" ht="23.85" hidden="false" customHeight="false" outlineLevel="0" collapsed="false">
      <c r="A967" s="10" t="s">
        <v>331</v>
      </c>
      <c r="B967" s="10" t="s">
        <v>90</v>
      </c>
      <c r="C967" s="10" t="s">
        <v>427</v>
      </c>
      <c r="D967" s="10" t="s">
        <v>744</v>
      </c>
    </row>
    <row r="968" customFormat="false" ht="15" hidden="false" customHeight="false" outlineLevel="0" collapsed="false">
      <c r="A968" s="10" t="s">
        <v>331</v>
      </c>
      <c r="B968" s="10" t="s">
        <v>90</v>
      </c>
      <c r="C968" s="10" t="s">
        <v>427</v>
      </c>
      <c r="D968" s="10" t="s">
        <v>659</v>
      </c>
    </row>
    <row r="969" customFormat="false" ht="46.25" hidden="false" customHeight="false" outlineLevel="0" collapsed="false">
      <c r="A969" s="10" t="s">
        <v>331</v>
      </c>
      <c r="B969" s="10" t="s">
        <v>90</v>
      </c>
      <c r="C969" s="10" t="s">
        <v>427</v>
      </c>
      <c r="D969" s="10" t="s">
        <v>746</v>
      </c>
    </row>
    <row r="970" customFormat="false" ht="68.65" hidden="false" customHeight="false" outlineLevel="0" collapsed="false">
      <c r="A970" s="10" t="s">
        <v>331</v>
      </c>
      <c r="B970" s="10" t="s">
        <v>90</v>
      </c>
      <c r="C970" s="10" t="s">
        <v>427</v>
      </c>
      <c r="D970" s="10" t="s">
        <v>639</v>
      </c>
    </row>
    <row r="971" customFormat="false" ht="23.85" hidden="false" customHeight="false" outlineLevel="0" collapsed="false">
      <c r="A971" s="10" t="s">
        <v>331</v>
      </c>
      <c r="B971" s="10" t="s">
        <v>83</v>
      </c>
      <c r="C971" s="10" t="s">
        <v>427</v>
      </c>
      <c r="D971" s="10" t="s">
        <v>749</v>
      </c>
    </row>
    <row r="972" customFormat="false" ht="57.45" hidden="false" customHeight="false" outlineLevel="0" collapsed="false">
      <c r="A972" s="10" t="s">
        <v>331</v>
      </c>
      <c r="B972" s="10" t="s">
        <v>83</v>
      </c>
      <c r="C972" s="10" t="s">
        <v>427</v>
      </c>
      <c r="D972" s="10" t="s">
        <v>696</v>
      </c>
    </row>
    <row r="973" customFormat="false" ht="23.85" hidden="false" customHeight="false" outlineLevel="0" collapsed="false">
      <c r="A973" s="10" t="s">
        <v>331</v>
      </c>
      <c r="B973" s="10" t="s">
        <v>83</v>
      </c>
      <c r="C973" s="10" t="s">
        <v>427</v>
      </c>
      <c r="D973" s="10" t="s">
        <v>953</v>
      </c>
    </row>
    <row r="974" customFormat="false" ht="46.25" hidden="false" customHeight="false" outlineLevel="0" collapsed="false">
      <c r="A974" s="10" t="s">
        <v>331</v>
      </c>
      <c r="B974" s="10" t="s">
        <v>83</v>
      </c>
      <c r="C974" s="10" t="s">
        <v>427</v>
      </c>
      <c r="D974" s="10" t="s">
        <v>716</v>
      </c>
    </row>
    <row r="975" customFormat="false" ht="35.05" hidden="false" customHeight="false" outlineLevel="0" collapsed="false">
      <c r="A975" s="10" t="s">
        <v>331</v>
      </c>
      <c r="B975" s="10" t="s">
        <v>83</v>
      </c>
      <c r="C975" s="10" t="s">
        <v>427</v>
      </c>
      <c r="D975" s="10" t="s">
        <v>750</v>
      </c>
    </row>
    <row r="976" customFormat="false" ht="23.85" hidden="false" customHeight="false" outlineLevel="0" collapsed="false">
      <c r="A976" s="10" t="s">
        <v>331</v>
      </c>
      <c r="B976" s="10" t="s">
        <v>147</v>
      </c>
      <c r="C976" s="10" t="s">
        <v>427</v>
      </c>
      <c r="D976" s="10" t="s">
        <v>954</v>
      </c>
    </row>
    <row r="977" customFormat="false" ht="23.85" hidden="false" customHeight="false" outlineLevel="0" collapsed="false">
      <c r="A977" s="10" t="s">
        <v>331</v>
      </c>
      <c r="B977" s="10" t="s">
        <v>183</v>
      </c>
      <c r="C977" s="10" t="s">
        <v>427</v>
      </c>
      <c r="D977" s="10" t="s">
        <v>434</v>
      </c>
    </row>
    <row r="978" customFormat="false" ht="15" hidden="false" customHeight="false" outlineLevel="0" collapsed="false">
      <c r="A978" s="10" t="s">
        <v>331</v>
      </c>
      <c r="B978" s="10" t="s">
        <v>183</v>
      </c>
      <c r="C978" s="10" t="s">
        <v>427</v>
      </c>
      <c r="D978" s="10" t="s">
        <v>530</v>
      </c>
    </row>
    <row r="979" customFormat="false" ht="57.45" hidden="false" customHeight="false" outlineLevel="0" collapsed="false">
      <c r="A979" s="10" t="s">
        <v>331</v>
      </c>
      <c r="B979" s="10" t="s">
        <v>183</v>
      </c>
      <c r="C979" s="10" t="s">
        <v>427</v>
      </c>
      <c r="D979" s="10" t="s">
        <v>409</v>
      </c>
    </row>
    <row r="980" customFormat="false" ht="35.05" hidden="false" customHeight="false" outlineLevel="0" collapsed="false">
      <c r="A980" s="10" t="s">
        <v>331</v>
      </c>
      <c r="B980" s="10" t="s">
        <v>116</v>
      </c>
      <c r="C980" s="10" t="s">
        <v>427</v>
      </c>
      <c r="D980" s="10" t="s">
        <v>127</v>
      </c>
    </row>
    <row r="981" customFormat="false" ht="23.85" hidden="false" customHeight="false" outlineLevel="0" collapsed="false">
      <c r="A981" s="10" t="s">
        <v>331</v>
      </c>
      <c r="B981" s="10" t="s">
        <v>86</v>
      </c>
      <c r="C981" s="10" t="s">
        <v>500</v>
      </c>
      <c r="D981" s="10" t="s">
        <v>501</v>
      </c>
    </row>
    <row r="982" customFormat="false" ht="68.65" hidden="false" customHeight="false" outlineLevel="0" collapsed="false">
      <c r="A982" s="10" t="s">
        <v>194</v>
      </c>
      <c r="B982" s="10" t="s">
        <v>183</v>
      </c>
      <c r="C982" s="10" t="s">
        <v>427</v>
      </c>
      <c r="D982" s="10" t="s">
        <v>184</v>
      </c>
    </row>
    <row r="983" customFormat="false" ht="23.85" hidden="false" customHeight="false" outlineLevel="0" collapsed="false">
      <c r="A983" s="10" t="s">
        <v>194</v>
      </c>
      <c r="B983" s="10" t="s">
        <v>183</v>
      </c>
      <c r="C983" s="10" t="s">
        <v>427</v>
      </c>
      <c r="D983" s="10" t="s">
        <v>196</v>
      </c>
    </row>
    <row r="984" customFormat="false" ht="23.85" hidden="false" customHeight="false" outlineLevel="0" collapsed="false">
      <c r="A984" s="10" t="s">
        <v>194</v>
      </c>
      <c r="B984" s="10" t="s">
        <v>58</v>
      </c>
      <c r="C984" s="10" t="s">
        <v>427</v>
      </c>
      <c r="D984" s="10" t="s">
        <v>662</v>
      </c>
    </row>
    <row r="985" customFormat="false" ht="15" hidden="false" customHeight="false" outlineLevel="0" collapsed="false">
      <c r="A985" s="10" t="s">
        <v>382</v>
      </c>
      <c r="B985" s="10" t="s">
        <v>183</v>
      </c>
      <c r="C985" s="10" t="s">
        <v>427</v>
      </c>
      <c r="D985" s="10" t="s">
        <v>635</v>
      </c>
    </row>
    <row r="986" customFormat="false" ht="15" hidden="false" customHeight="false" outlineLevel="0" collapsed="false">
      <c r="A986" s="10" t="s">
        <v>382</v>
      </c>
      <c r="B986" s="10" t="s">
        <v>183</v>
      </c>
      <c r="C986" s="10" t="s">
        <v>427</v>
      </c>
      <c r="D986" s="10" t="s">
        <v>955</v>
      </c>
    </row>
    <row r="987" customFormat="false" ht="46.25" hidden="false" customHeight="false" outlineLevel="0" collapsed="false">
      <c r="A987" s="10" t="s">
        <v>382</v>
      </c>
      <c r="B987" s="10" t="s">
        <v>183</v>
      </c>
      <c r="C987" s="10" t="s">
        <v>427</v>
      </c>
      <c r="D987" s="10" t="s">
        <v>956</v>
      </c>
    </row>
    <row r="988" customFormat="false" ht="35.05" hidden="false" customHeight="false" outlineLevel="0" collapsed="false">
      <c r="A988" s="10" t="s">
        <v>382</v>
      </c>
      <c r="B988" s="10" t="s">
        <v>183</v>
      </c>
      <c r="C988" s="10" t="s">
        <v>427</v>
      </c>
      <c r="D988" s="10" t="s">
        <v>387</v>
      </c>
    </row>
    <row r="989" customFormat="false" ht="23.85" hidden="false" customHeight="false" outlineLevel="0" collapsed="false">
      <c r="A989" s="10" t="s">
        <v>382</v>
      </c>
      <c r="B989" s="10" t="s">
        <v>56</v>
      </c>
      <c r="C989" s="10" t="s">
        <v>427</v>
      </c>
      <c r="D989" s="10" t="s">
        <v>384</v>
      </c>
    </row>
    <row r="990" customFormat="false" ht="46.25" hidden="false" customHeight="false" outlineLevel="0" collapsed="false">
      <c r="A990" s="10" t="s">
        <v>401</v>
      </c>
      <c r="B990" s="10" t="s">
        <v>183</v>
      </c>
      <c r="C990" s="10" t="s">
        <v>427</v>
      </c>
      <c r="D990" s="10" t="s">
        <v>657</v>
      </c>
    </row>
    <row r="991" customFormat="false" ht="23.85" hidden="false" customHeight="false" outlineLevel="0" collapsed="false">
      <c r="A991" s="10" t="s">
        <v>401</v>
      </c>
      <c r="B991" s="10" t="s">
        <v>150</v>
      </c>
      <c r="C991" s="10" t="s">
        <v>427</v>
      </c>
      <c r="D991" s="10" t="s">
        <v>403</v>
      </c>
    </row>
    <row r="992" customFormat="false" ht="23.85" hidden="false" customHeight="false" outlineLevel="0" collapsed="false">
      <c r="A992" s="10" t="s">
        <v>333</v>
      </c>
      <c r="B992" s="10" t="s">
        <v>86</v>
      </c>
      <c r="C992" s="10" t="s">
        <v>427</v>
      </c>
      <c r="D992" s="10" t="s">
        <v>503</v>
      </c>
    </row>
    <row r="993" customFormat="false" ht="23.85" hidden="false" customHeight="false" outlineLevel="0" collapsed="false">
      <c r="A993" s="10" t="s">
        <v>333</v>
      </c>
      <c r="B993" s="10" t="s">
        <v>86</v>
      </c>
      <c r="C993" s="10" t="s">
        <v>427</v>
      </c>
      <c r="D993" s="10" t="s">
        <v>335</v>
      </c>
    </row>
    <row r="994" customFormat="false" ht="23.85" hidden="false" customHeight="false" outlineLevel="0" collapsed="false">
      <c r="A994" s="10" t="s">
        <v>333</v>
      </c>
      <c r="B994" s="10" t="s">
        <v>86</v>
      </c>
      <c r="C994" s="10" t="s">
        <v>469</v>
      </c>
      <c r="D994" s="10" t="s">
        <v>470</v>
      </c>
    </row>
    <row r="995" customFormat="false" ht="23.85" hidden="false" customHeight="false" outlineLevel="0" collapsed="false">
      <c r="A995" s="10" t="s">
        <v>276</v>
      </c>
      <c r="B995" s="10" t="s">
        <v>150</v>
      </c>
      <c r="C995" s="10" t="s">
        <v>427</v>
      </c>
      <c r="D995" s="10" t="s">
        <v>283</v>
      </c>
    </row>
    <row r="996" customFormat="false" ht="46.25" hidden="false" customHeight="false" outlineLevel="0" collapsed="false">
      <c r="A996" s="10" t="s">
        <v>276</v>
      </c>
      <c r="B996" s="10" t="s">
        <v>71</v>
      </c>
      <c r="C996" s="10" t="s">
        <v>427</v>
      </c>
      <c r="D996" s="10" t="s">
        <v>263</v>
      </c>
    </row>
    <row r="997" customFormat="false" ht="35.05" hidden="false" customHeight="false" outlineLevel="0" collapsed="false">
      <c r="A997" s="10" t="s">
        <v>92</v>
      </c>
      <c r="B997" s="10" t="s">
        <v>57</v>
      </c>
      <c r="C997" s="10" t="s">
        <v>427</v>
      </c>
      <c r="D997" s="10" t="s">
        <v>675</v>
      </c>
    </row>
    <row r="998" customFormat="false" ht="15" hidden="false" customHeight="false" outlineLevel="0" collapsed="false">
      <c r="A998" s="10" t="s">
        <v>92</v>
      </c>
      <c r="B998" s="10" t="s">
        <v>57</v>
      </c>
      <c r="C998" s="10" t="s">
        <v>427</v>
      </c>
      <c r="D998" s="10" t="s">
        <v>957</v>
      </c>
    </row>
    <row r="999" customFormat="false" ht="46.25" hidden="false" customHeight="false" outlineLevel="0" collapsed="false">
      <c r="A999" s="10" t="s">
        <v>92</v>
      </c>
      <c r="B999" s="10" t="s">
        <v>57</v>
      </c>
      <c r="C999" s="10" t="s">
        <v>427</v>
      </c>
      <c r="D999" s="10" t="s">
        <v>678</v>
      </c>
    </row>
    <row r="1000" customFormat="false" ht="23.85" hidden="false" customHeight="false" outlineLevel="0" collapsed="false">
      <c r="A1000" s="10" t="s">
        <v>92</v>
      </c>
      <c r="B1000" s="10" t="s">
        <v>76</v>
      </c>
      <c r="C1000" s="10" t="s">
        <v>427</v>
      </c>
      <c r="D1000" s="10" t="s">
        <v>958</v>
      </c>
    </row>
    <row r="1001" customFormat="false" ht="15" hidden="false" customHeight="false" outlineLevel="0" collapsed="false">
      <c r="A1001" s="10" t="s">
        <v>92</v>
      </c>
      <c r="B1001" s="10" t="s">
        <v>76</v>
      </c>
      <c r="C1001" s="10" t="s">
        <v>427</v>
      </c>
      <c r="D1001" s="10" t="s">
        <v>877</v>
      </c>
    </row>
    <row r="1002" customFormat="false" ht="15" hidden="false" customHeight="false" outlineLevel="0" collapsed="false">
      <c r="A1002" s="10" t="s">
        <v>92</v>
      </c>
      <c r="B1002" s="10" t="s">
        <v>76</v>
      </c>
      <c r="C1002" s="10" t="s">
        <v>427</v>
      </c>
      <c r="D1002" s="10" t="s">
        <v>959</v>
      </c>
    </row>
    <row r="1003" customFormat="false" ht="57.45" hidden="false" customHeight="false" outlineLevel="0" collapsed="false">
      <c r="A1003" s="10" t="s">
        <v>92</v>
      </c>
      <c r="B1003" s="10" t="s">
        <v>76</v>
      </c>
      <c r="C1003" s="10" t="s">
        <v>427</v>
      </c>
      <c r="D1003" s="10" t="s">
        <v>593</v>
      </c>
    </row>
    <row r="1004" customFormat="false" ht="46.25" hidden="false" customHeight="false" outlineLevel="0" collapsed="false">
      <c r="A1004" s="10" t="s">
        <v>92</v>
      </c>
      <c r="B1004" s="10" t="s">
        <v>76</v>
      </c>
      <c r="C1004" s="10" t="s">
        <v>427</v>
      </c>
      <c r="D1004" s="10" t="s">
        <v>960</v>
      </c>
    </row>
    <row r="1005" customFormat="false" ht="46.25" hidden="false" customHeight="false" outlineLevel="0" collapsed="false">
      <c r="A1005" s="10" t="s">
        <v>92</v>
      </c>
      <c r="B1005" s="10" t="s">
        <v>76</v>
      </c>
      <c r="C1005" s="10" t="s">
        <v>427</v>
      </c>
      <c r="D1005" s="10" t="s">
        <v>961</v>
      </c>
    </row>
    <row r="1006" customFormat="false" ht="23.85" hidden="false" customHeight="false" outlineLevel="0" collapsed="false">
      <c r="A1006" s="10" t="s">
        <v>92</v>
      </c>
      <c r="B1006" s="10" t="s">
        <v>76</v>
      </c>
      <c r="C1006" s="10" t="s">
        <v>427</v>
      </c>
      <c r="D1006" s="10" t="s">
        <v>962</v>
      </c>
    </row>
    <row r="1007" customFormat="false" ht="35.05" hidden="false" customHeight="false" outlineLevel="0" collapsed="false">
      <c r="A1007" s="10" t="s">
        <v>92</v>
      </c>
      <c r="B1007" s="10" t="s">
        <v>76</v>
      </c>
      <c r="C1007" s="10" t="s">
        <v>427</v>
      </c>
      <c r="D1007" s="10" t="s">
        <v>489</v>
      </c>
    </row>
    <row r="1008" customFormat="false" ht="15" hidden="false" customHeight="false" outlineLevel="0" collapsed="false">
      <c r="A1008" s="10" t="s">
        <v>92</v>
      </c>
      <c r="B1008" s="10" t="s">
        <v>76</v>
      </c>
      <c r="C1008" s="10" t="s">
        <v>427</v>
      </c>
      <c r="D1008" s="10" t="s">
        <v>446</v>
      </c>
    </row>
    <row r="1009" customFormat="false" ht="46.25" hidden="false" customHeight="false" outlineLevel="0" collapsed="false">
      <c r="A1009" s="10" t="s">
        <v>92</v>
      </c>
      <c r="B1009" s="10" t="s">
        <v>76</v>
      </c>
      <c r="C1009" s="10" t="s">
        <v>427</v>
      </c>
      <c r="D1009" s="10" t="s">
        <v>483</v>
      </c>
    </row>
    <row r="1010" customFormat="false" ht="23.85" hidden="false" customHeight="false" outlineLevel="0" collapsed="false">
      <c r="A1010" s="10" t="s">
        <v>92</v>
      </c>
      <c r="B1010" s="10" t="s">
        <v>76</v>
      </c>
      <c r="C1010" s="10" t="s">
        <v>427</v>
      </c>
      <c r="D1010" s="10" t="s">
        <v>490</v>
      </c>
    </row>
    <row r="1011" customFormat="false" ht="15" hidden="false" customHeight="false" outlineLevel="0" collapsed="false">
      <c r="A1011" s="10" t="s">
        <v>92</v>
      </c>
      <c r="B1011" s="10" t="s">
        <v>76</v>
      </c>
      <c r="C1011" s="10" t="s">
        <v>427</v>
      </c>
      <c r="D1011" s="10" t="s">
        <v>963</v>
      </c>
    </row>
    <row r="1012" customFormat="false" ht="23.85" hidden="false" customHeight="false" outlineLevel="0" collapsed="false">
      <c r="A1012" s="10" t="s">
        <v>92</v>
      </c>
      <c r="B1012" s="10" t="s">
        <v>76</v>
      </c>
      <c r="C1012" s="10" t="s">
        <v>427</v>
      </c>
      <c r="D1012" s="10" t="s">
        <v>491</v>
      </c>
    </row>
    <row r="1013" customFormat="false" ht="46.25" hidden="false" customHeight="false" outlineLevel="0" collapsed="false">
      <c r="A1013" s="10" t="s">
        <v>92</v>
      </c>
      <c r="B1013" s="10" t="s">
        <v>76</v>
      </c>
      <c r="C1013" s="10" t="s">
        <v>427</v>
      </c>
      <c r="D1013" s="10" t="s">
        <v>498</v>
      </c>
    </row>
    <row r="1014" customFormat="false" ht="23.85" hidden="false" customHeight="false" outlineLevel="0" collapsed="false">
      <c r="A1014" s="10" t="s">
        <v>92</v>
      </c>
      <c r="B1014" s="10" t="s">
        <v>76</v>
      </c>
      <c r="C1014" s="10" t="s">
        <v>427</v>
      </c>
      <c r="D1014" s="10" t="s">
        <v>578</v>
      </c>
    </row>
    <row r="1015" customFormat="false" ht="57.45" hidden="false" customHeight="false" outlineLevel="0" collapsed="false">
      <c r="A1015" s="10" t="s">
        <v>92</v>
      </c>
      <c r="B1015" s="10" t="s">
        <v>76</v>
      </c>
      <c r="C1015" s="10" t="s">
        <v>427</v>
      </c>
      <c r="D1015" s="10" t="s">
        <v>892</v>
      </c>
    </row>
    <row r="1016" customFormat="false" ht="46.25" hidden="false" customHeight="false" outlineLevel="0" collapsed="false">
      <c r="A1016" s="10" t="s">
        <v>92</v>
      </c>
      <c r="B1016" s="10" t="s">
        <v>76</v>
      </c>
      <c r="C1016" s="10" t="s">
        <v>427</v>
      </c>
      <c r="D1016" s="10" t="s">
        <v>544</v>
      </c>
    </row>
    <row r="1017" customFormat="false" ht="46.25" hidden="false" customHeight="false" outlineLevel="0" collapsed="false">
      <c r="A1017" s="10" t="s">
        <v>92</v>
      </c>
      <c r="B1017" s="10" t="s">
        <v>76</v>
      </c>
      <c r="C1017" s="10" t="s">
        <v>427</v>
      </c>
      <c r="D1017" s="10" t="s">
        <v>546</v>
      </c>
    </row>
    <row r="1018" customFormat="false" ht="35.05" hidden="false" customHeight="false" outlineLevel="0" collapsed="false">
      <c r="A1018" s="10" t="s">
        <v>92</v>
      </c>
      <c r="B1018" s="10" t="s">
        <v>90</v>
      </c>
      <c r="C1018" s="10" t="s">
        <v>427</v>
      </c>
      <c r="D1018" s="10" t="s">
        <v>911</v>
      </c>
    </row>
    <row r="1019" customFormat="false" ht="23.85" hidden="false" customHeight="false" outlineLevel="0" collapsed="false">
      <c r="A1019" s="10" t="s">
        <v>92</v>
      </c>
      <c r="B1019" s="10" t="s">
        <v>83</v>
      </c>
      <c r="C1019" s="10" t="s">
        <v>427</v>
      </c>
      <c r="D1019" s="10" t="s">
        <v>584</v>
      </c>
    </row>
    <row r="1020" customFormat="false" ht="46.25" hidden="false" customHeight="false" outlineLevel="0" collapsed="false">
      <c r="A1020" s="10" t="s">
        <v>92</v>
      </c>
      <c r="B1020" s="10" t="s">
        <v>147</v>
      </c>
      <c r="C1020" s="10" t="s">
        <v>427</v>
      </c>
      <c r="D1020" s="10" t="s">
        <v>311</v>
      </c>
    </row>
    <row r="1021" customFormat="false" ht="35.05" hidden="false" customHeight="false" outlineLevel="0" collapsed="false">
      <c r="A1021" s="10" t="s">
        <v>92</v>
      </c>
      <c r="B1021" s="10" t="s">
        <v>147</v>
      </c>
      <c r="C1021" s="10" t="s">
        <v>427</v>
      </c>
      <c r="D1021" s="10" t="s">
        <v>914</v>
      </c>
    </row>
    <row r="1022" customFormat="false" ht="46.25" hidden="false" customHeight="false" outlineLevel="0" collapsed="false">
      <c r="A1022" s="10" t="s">
        <v>92</v>
      </c>
      <c r="B1022" s="10" t="s">
        <v>147</v>
      </c>
      <c r="C1022" s="10" t="s">
        <v>427</v>
      </c>
      <c r="D1022" s="10" t="s">
        <v>522</v>
      </c>
    </row>
    <row r="1023" customFormat="false" ht="23.85" hidden="false" customHeight="false" outlineLevel="0" collapsed="false">
      <c r="A1023" s="10" t="s">
        <v>92</v>
      </c>
      <c r="B1023" s="10" t="s">
        <v>147</v>
      </c>
      <c r="C1023" s="10" t="s">
        <v>427</v>
      </c>
      <c r="D1023" s="10" t="s">
        <v>523</v>
      </c>
    </row>
    <row r="1024" customFormat="false" ht="35.05" hidden="false" customHeight="false" outlineLevel="0" collapsed="false">
      <c r="A1024" s="10" t="s">
        <v>92</v>
      </c>
      <c r="B1024" s="10" t="s">
        <v>147</v>
      </c>
      <c r="C1024" s="10" t="s">
        <v>427</v>
      </c>
      <c r="D1024" s="10" t="s">
        <v>524</v>
      </c>
    </row>
    <row r="1025" customFormat="false" ht="15" hidden="false" customHeight="false" outlineLevel="0" collapsed="false">
      <c r="A1025" s="10" t="s">
        <v>92</v>
      </c>
      <c r="B1025" s="10" t="s">
        <v>147</v>
      </c>
      <c r="C1025" s="10" t="s">
        <v>427</v>
      </c>
      <c r="D1025" s="10" t="s">
        <v>964</v>
      </c>
    </row>
    <row r="1026" customFormat="false" ht="23.85" hidden="false" customHeight="false" outlineLevel="0" collapsed="false">
      <c r="A1026" s="10" t="s">
        <v>92</v>
      </c>
      <c r="B1026" s="10" t="s">
        <v>147</v>
      </c>
      <c r="C1026" s="10" t="s">
        <v>427</v>
      </c>
      <c r="D1026" s="10" t="s">
        <v>829</v>
      </c>
    </row>
    <row r="1027" customFormat="false" ht="15" hidden="false" customHeight="false" outlineLevel="0" collapsed="false">
      <c r="A1027" s="10" t="s">
        <v>92</v>
      </c>
      <c r="B1027" s="10" t="s">
        <v>147</v>
      </c>
      <c r="C1027" s="10" t="s">
        <v>427</v>
      </c>
      <c r="D1027" s="10" t="s">
        <v>965</v>
      </c>
    </row>
    <row r="1028" customFormat="false" ht="46.25" hidden="false" customHeight="false" outlineLevel="0" collapsed="false">
      <c r="A1028" s="10" t="s">
        <v>92</v>
      </c>
      <c r="B1028" s="10" t="s">
        <v>147</v>
      </c>
      <c r="C1028" s="10" t="s">
        <v>427</v>
      </c>
      <c r="D1028" s="10" t="s">
        <v>966</v>
      </c>
    </row>
    <row r="1029" customFormat="false" ht="23.85" hidden="false" customHeight="false" outlineLevel="0" collapsed="false">
      <c r="A1029" s="10" t="s">
        <v>92</v>
      </c>
      <c r="B1029" s="10" t="s">
        <v>147</v>
      </c>
      <c r="C1029" s="10" t="s">
        <v>427</v>
      </c>
      <c r="D1029" s="10" t="s">
        <v>967</v>
      </c>
    </row>
    <row r="1030" customFormat="false" ht="35.05" hidden="false" customHeight="false" outlineLevel="0" collapsed="false">
      <c r="A1030" s="10" t="s">
        <v>92</v>
      </c>
      <c r="B1030" s="10" t="s">
        <v>147</v>
      </c>
      <c r="C1030" s="10" t="s">
        <v>427</v>
      </c>
      <c r="D1030" s="10" t="s">
        <v>968</v>
      </c>
    </row>
    <row r="1031" customFormat="false" ht="35.05" hidden="false" customHeight="false" outlineLevel="0" collapsed="false">
      <c r="A1031" s="10" t="s">
        <v>92</v>
      </c>
      <c r="B1031" s="10" t="s">
        <v>147</v>
      </c>
      <c r="C1031" s="10" t="s">
        <v>427</v>
      </c>
      <c r="D1031" s="10" t="s">
        <v>969</v>
      </c>
    </row>
    <row r="1032" customFormat="false" ht="15" hidden="false" customHeight="false" outlineLevel="0" collapsed="false">
      <c r="A1032" s="10" t="s">
        <v>92</v>
      </c>
      <c r="B1032" s="10" t="s">
        <v>147</v>
      </c>
      <c r="C1032" s="10" t="s">
        <v>427</v>
      </c>
      <c r="D1032" s="10" t="s">
        <v>970</v>
      </c>
    </row>
    <row r="1033" customFormat="false" ht="15" hidden="false" customHeight="false" outlineLevel="0" collapsed="false">
      <c r="A1033" s="10" t="s">
        <v>92</v>
      </c>
      <c r="B1033" s="10" t="s">
        <v>183</v>
      </c>
      <c r="C1033" s="10" t="s">
        <v>427</v>
      </c>
      <c r="D1033" s="10" t="s">
        <v>971</v>
      </c>
    </row>
    <row r="1034" customFormat="false" ht="35.05" hidden="false" customHeight="false" outlineLevel="0" collapsed="false">
      <c r="A1034" s="10" t="s">
        <v>92</v>
      </c>
      <c r="B1034" s="10" t="s">
        <v>183</v>
      </c>
      <c r="C1034" s="10" t="s">
        <v>427</v>
      </c>
      <c r="D1034" s="10" t="s">
        <v>972</v>
      </c>
    </row>
    <row r="1035" customFormat="false" ht="23.85" hidden="false" customHeight="false" outlineLevel="0" collapsed="false">
      <c r="A1035" s="10" t="s">
        <v>92</v>
      </c>
      <c r="B1035" s="10" t="s">
        <v>183</v>
      </c>
      <c r="C1035" s="10" t="s">
        <v>427</v>
      </c>
      <c r="D1035" s="10" t="s">
        <v>973</v>
      </c>
    </row>
    <row r="1036" customFormat="false" ht="35.05" hidden="false" customHeight="false" outlineLevel="0" collapsed="false">
      <c r="A1036" s="10" t="s">
        <v>92</v>
      </c>
      <c r="B1036" s="10" t="s">
        <v>183</v>
      </c>
      <c r="C1036" s="10" t="s">
        <v>427</v>
      </c>
      <c r="D1036" s="10" t="s">
        <v>306</v>
      </c>
    </row>
    <row r="1037" customFormat="false" ht="23.85" hidden="false" customHeight="false" outlineLevel="0" collapsed="false">
      <c r="A1037" s="10" t="s">
        <v>92</v>
      </c>
      <c r="B1037" s="10" t="s">
        <v>183</v>
      </c>
      <c r="C1037" s="10" t="s">
        <v>427</v>
      </c>
      <c r="D1037" s="10" t="s">
        <v>751</v>
      </c>
    </row>
    <row r="1038" customFormat="false" ht="23.85" hidden="false" customHeight="false" outlineLevel="0" collapsed="false">
      <c r="A1038" s="10" t="s">
        <v>92</v>
      </c>
      <c r="B1038" s="10" t="s">
        <v>183</v>
      </c>
      <c r="C1038" s="10" t="s">
        <v>427</v>
      </c>
      <c r="D1038" s="10" t="s">
        <v>752</v>
      </c>
    </row>
    <row r="1039" customFormat="false" ht="15" hidden="false" customHeight="false" outlineLevel="0" collapsed="false">
      <c r="A1039" s="10" t="s">
        <v>92</v>
      </c>
      <c r="B1039" s="10" t="s">
        <v>183</v>
      </c>
      <c r="C1039" s="10" t="s">
        <v>427</v>
      </c>
      <c r="D1039" s="10" t="s">
        <v>974</v>
      </c>
    </row>
    <row r="1040" customFormat="false" ht="46.25" hidden="false" customHeight="false" outlineLevel="0" collapsed="false">
      <c r="A1040" s="10" t="s">
        <v>92</v>
      </c>
      <c r="B1040" s="10" t="s">
        <v>183</v>
      </c>
      <c r="C1040" s="10" t="s">
        <v>427</v>
      </c>
      <c r="D1040" s="10" t="s">
        <v>975</v>
      </c>
    </row>
    <row r="1041" customFormat="false" ht="46.25" hidden="false" customHeight="false" outlineLevel="0" collapsed="false">
      <c r="A1041" s="10" t="s">
        <v>92</v>
      </c>
      <c r="B1041" s="10" t="s">
        <v>919</v>
      </c>
      <c r="C1041" s="10" t="s">
        <v>427</v>
      </c>
      <c r="D1041" s="10" t="s">
        <v>930</v>
      </c>
    </row>
    <row r="1042" customFormat="false" ht="15" hidden="false" customHeight="false" outlineLevel="0" collapsed="false">
      <c r="A1042" s="10" t="s">
        <v>92</v>
      </c>
      <c r="B1042" s="10" t="s">
        <v>259</v>
      </c>
      <c r="C1042" s="10" t="s">
        <v>427</v>
      </c>
      <c r="D1042" s="10" t="s">
        <v>932</v>
      </c>
    </row>
    <row r="1043" customFormat="false" ht="46.25" hidden="false" customHeight="false" outlineLevel="0" collapsed="false">
      <c r="A1043" s="10" t="s">
        <v>92</v>
      </c>
      <c r="B1043" s="10" t="s">
        <v>259</v>
      </c>
      <c r="C1043" s="10" t="s">
        <v>427</v>
      </c>
      <c r="D1043" s="10" t="s">
        <v>934</v>
      </c>
    </row>
    <row r="1044" customFormat="false" ht="23.85" hidden="false" customHeight="false" outlineLevel="0" collapsed="false">
      <c r="A1044" s="10" t="s">
        <v>92</v>
      </c>
      <c r="B1044" s="10" t="s">
        <v>259</v>
      </c>
      <c r="C1044" s="10" t="s">
        <v>427</v>
      </c>
      <c r="D1044" s="10" t="s">
        <v>976</v>
      </c>
    </row>
    <row r="1045" customFormat="false" ht="15" hidden="false" customHeight="false" outlineLevel="0" collapsed="false">
      <c r="A1045" s="10" t="s">
        <v>92</v>
      </c>
      <c r="B1045" s="10" t="s">
        <v>259</v>
      </c>
      <c r="C1045" s="10" t="s">
        <v>427</v>
      </c>
      <c r="D1045" s="10" t="s">
        <v>977</v>
      </c>
    </row>
    <row r="1046" customFormat="false" ht="23.85" hidden="false" customHeight="false" outlineLevel="0" collapsed="false">
      <c r="A1046" s="10" t="s">
        <v>92</v>
      </c>
      <c r="B1046" s="10" t="s">
        <v>259</v>
      </c>
      <c r="C1046" s="10" t="s">
        <v>427</v>
      </c>
      <c r="D1046" s="10" t="s">
        <v>938</v>
      </c>
    </row>
    <row r="1047" customFormat="false" ht="15" hidden="false" customHeight="false" outlineLevel="0" collapsed="false">
      <c r="A1047" s="10" t="s">
        <v>92</v>
      </c>
      <c r="B1047" s="10" t="s">
        <v>259</v>
      </c>
      <c r="C1047" s="10" t="s">
        <v>427</v>
      </c>
      <c r="D1047" s="10" t="s">
        <v>978</v>
      </c>
    </row>
    <row r="1048" customFormat="false" ht="23.85" hidden="false" customHeight="false" outlineLevel="0" collapsed="false">
      <c r="A1048" s="10" t="s">
        <v>92</v>
      </c>
      <c r="B1048" s="10" t="s">
        <v>259</v>
      </c>
      <c r="C1048" s="10" t="s">
        <v>427</v>
      </c>
      <c r="D1048" s="10" t="s">
        <v>979</v>
      </c>
    </row>
    <row r="1049" customFormat="false" ht="23.85" hidden="false" customHeight="false" outlineLevel="0" collapsed="false">
      <c r="A1049" s="10" t="s">
        <v>92</v>
      </c>
      <c r="B1049" s="10" t="s">
        <v>133</v>
      </c>
      <c r="C1049" s="10" t="s">
        <v>427</v>
      </c>
      <c r="D1049" s="10" t="s">
        <v>980</v>
      </c>
    </row>
    <row r="1050" customFormat="false" ht="23.85" hidden="false" customHeight="false" outlineLevel="0" collapsed="false">
      <c r="A1050" s="10" t="s">
        <v>92</v>
      </c>
      <c r="B1050" s="10" t="s">
        <v>133</v>
      </c>
      <c r="C1050" s="10" t="s">
        <v>427</v>
      </c>
      <c r="D1050" s="10" t="s">
        <v>981</v>
      </c>
    </row>
    <row r="1051" customFormat="false" ht="15" hidden="false" customHeight="false" outlineLevel="0" collapsed="false">
      <c r="A1051" s="10" t="s">
        <v>92</v>
      </c>
      <c r="B1051" s="10" t="s">
        <v>133</v>
      </c>
      <c r="C1051" s="10" t="s">
        <v>427</v>
      </c>
      <c r="D1051" s="10" t="s">
        <v>982</v>
      </c>
    </row>
    <row r="1052" customFormat="false" ht="15" hidden="false" customHeight="false" outlineLevel="0" collapsed="false">
      <c r="A1052" s="10" t="s">
        <v>92</v>
      </c>
      <c r="B1052" s="10" t="s">
        <v>133</v>
      </c>
      <c r="C1052" s="10" t="s">
        <v>427</v>
      </c>
      <c r="D1052" s="10" t="s">
        <v>983</v>
      </c>
    </row>
    <row r="1053" customFormat="false" ht="35.05" hidden="false" customHeight="false" outlineLevel="0" collapsed="false">
      <c r="A1053" s="10" t="s">
        <v>92</v>
      </c>
      <c r="B1053" s="10" t="s">
        <v>133</v>
      </c>
      <c r="C1053" s="10" t="s">
        <v>427</v>
      </c>
      <c r="D1053" s="10" t="s">
        <v>984</v>
      </c>
    </row>
    <row r="1054" customFormat="false" ht="23.85" hidden="false" customHeight="false" outlineLevel="0" collapsed="false">
      <c r="A1054" s="10" t="s">
        <v>92</v>
      </c>
      <c r="B1054" s="10" t="s">
        <v>133</v>
      </c>
      <c r="C1054" s="10" t="s">
        <v>427</v>
      </c>
      <c r="D1054" s="10" t="s">
        <v>985</v>
      </c>
    </row>
    <row r="1055" customFormat="false" ht="23.85" hidden="false" customHeight="false" outlineLevel="0" collapsed="false">
      <c r="A1055" s="10" t="s">
        <v>92</v>
      </c>
      <c r="B1055" s="10" t="s">
        <v>133</v>
      </c>
      <c r="C1055" s="10" t="s">
        <v>427</v>
      </c>
      <c r="D1055" s="10" t="s">
        <v>986</v>
      </c>
    </row>
    <row r="1056" customFormat="false" ht="23.85" hidden="false" customHeight="false" outlineLevel="0" collapsed="false">
      <c r="A1056" s="10" t="s">
        <v>92</v>
      </c>
      <c r="B1056" s="10" t="s">
        <v>133</v>
      </c>
      <c r="C1056" s="10" t="s">
        <v>427</v>
      </c>
      <c r="D1056" s="10" t="s">
        <v>987</v>
      </c>
    </row>
    <row r="1057" customFormat="false" ht="23.85" hidden="false" customHeight="false" outlineLevel="0" collapsed="false">
      <c r="A1057" s="10" t="s">
        <v>92</v>
      </c>
      <c r="B1057" s="10" t="s">
        <v>133</v>
      </c>
      <c r="C1057" s="10" t="s">
        <v>427</v>
      </c>
      <c r="D1057" s="10" t="s">
        <v>943</v>
      </c>
    </row>
    <row r="1058" customFormat="false" ht="23.85" hidden="false" customHeight="false" outlineLevel="0" collapsed="false">
      <c r="A1058" s="10" t="s">
        <v>92</v>
      </c>
      <c r="B1058" s="10" t="s">
        <v>133</v>
      </c>
      <c r="C1058" s="10" t="s">
        <v>427</v>
      </c>
      <c r="D1058" s="10" t="s">
        <v>201</v>
      </c>
    </row>
    <row r="1059" customFormat="false" ht="35.05" hidden="false" customHeight="false" outlineLevel="0" collapsed="false">
      <c r="A1059" s="10" t="s">
        <v>92</v>
      </c>
      <c r="B1059" s="10" t="s">
        <v>150</v>
      </c>
      <c r="C1059" s="10" t="s">
        <v>427</v>
      </c>
      <c r="D1059" s="10" t="s">
        <v>570</v>
      </c>
    </row>
    <row r="1060" customFormat="false" ht="35.05" hidden="false" customHeight="false" outlineLevel="0" collapsed="false">
      <c r="A1060" s="10" t="s">
        <v>92</v>
      </c>
      <c r="B1060" s="10" t="s">
        <v>150</v>
      </c>
      <c r="C1060" s="10" t="s">
        <v>427</v>
      </c>
      <c r="D1060" s="10" t="s">
        <v>988</v>
      </c>
    </row>
    <row r="1061" customFormat="false" ht="35.05" hidden="false" customHeight="false" outlineLevel="0" collapsed="false">
      <c r="A1061" s="10" t="s">
        <v>92</v>
      </c>
      <c r="B1061" s="10" t="s">
        <v>116</v>
      </c>
      <c r="C1061" s="10" t="s">
        <v>427</v>
      </c>
      <c r="D1061" s="10" t="s">
        <v>838</v>
      </c>
    </row>
    <row r="1062" customFormat="false" ht="15" hidden="false" customHeight="false" outlineLevel="0" collapsed="false">
      <c r="A1062" s="10" t="s">
        <v>92</v>
      </c>
      <c r="B1062" s="10" t="s">
        <v>116</v>
      </c>
      <c r="C1062" s="10" t="s">
        <v>427</v>
      </c>
      <c r="D1062" s="10" t="s">
        <v>989</v>
      </c>
    </row>
    <row r="1063" customFormat="false" ht="35.05" hidden="false" customHeight="false" outlineLevel="0" collapsed="false">
      <c r="A1063" s="10" t="s">
        <v>92</v>
      </c>
      <c r="B1063" s="10" t="s">
        <v>86</v>
      </c>
      <c r="C1063" s="10" t="s">
        <v>427</v>
      </c>
      <c r="D1063" s="10" t="s">
        <v>178</v>
      </c>
    </row>
    <row r="1064" customFormat="false" ht="23.85" hidden="false" customHeight="false" outlineLevel="0" collapsed="false">
      <c r="A1064" s="10" t="s">
        <v>92</v>
      </c>
      <c r="B1064" s="10" t="s">
        <v>86</v>
      </c>
      <c r="C1064" s="10" t="s">
        <v>427</v>
      </c>
      <c r="D1064" s="10" t="s">
        <v>452</v>
      </c>
    </row>
    <row r="1065" customFormat="false" ht="23.85" hidden="false" customHeight="false" outlineLevel="0" collapsed="false">
      <c r="A1065" s="10" t="s">
        <v>92</v>
      </c>
      <c r="B1065" s="10" t="s">
        <v>86</v>
      </c>
      <c r="C1065" s="10" t="s">
        <v>427</v>
      </c>
      <c r="D1065" s="10" t="s">
        <v>990</v>
      </c>
    </row>
    <row r="1066" customFormat="false" ht="15" hidden="false" customHeight="false" outlineLevel="0" collapsed="false">
      <c r="A1066" s="10" t="s">
        <v>92</v>
      </c>
      <c r="B1066" s="10" t="s">
        <v>86</v>
      </c>
      <c r="C1066" s="10" t="s">
        <v>427</v>
      </c>
      <c r="D1066" s="10" t="s">
        <v>949</v>
      </c>
    </row>
    <row r="1067" customFormat="false" ht="15" hidden="false" customHeight="false" outlineLevel="0" collapsed="false">
      <c r="A1067" s="10" t="s">
        <v>92</v>
      </c>
      <c r="B1067" s="10" t="s">
        <v>71</v>
      </c>
      <c r="C1067" s="10" t="s">
        <v>427</v>
      </c>
      <c r="D1067" s="10" t="s">
        <v>991</v>
      </c>
    </row>
    <row r="1068" customFormat="false" ht="23.85" hidden="false" customHeight="false" outlineLevel="0" collapsed="false">
      <c r="A1068" s="10" t="s">
        <v>92</v>
      </c>
      <c r="B1068" s="10" t="s">
        <v>71</v>
      </c>
      <c r="C1068" s="10" t="s">
        <v>427</v>
      </c>
      <c r="D1068" s="10" t="s">
        <v>992</v>
      </c>
    </row>
    <row r="1069" customFormat="false" ht="79.85" hidden="false" customHeight="false" outlineLevel="0" collapsed="false">
      <c r="A1069" s="10" t="s">
        <v>92</v>
      </c>
      <c r="B1069" s="10" t="s">
        <v>71</v>
      </c>
      <c r="C1069" s="10" t="s">
        <v>427</v>
      </c>
      <c r="D1069" s="10" t="s">
        <v>77</v>
      </c>
    </row>
    <row r="1070" customFormat="false" ht="15" hidden="false" customHeight="false" outlineLevel="0" collapsed="false">
      <c r="A1070" s="10" t="s">
        <v>92</v>
      </c>
      <c r="B1070" s="10" t="s">
        <v>71</v>
      </c>
      <c r="C1070" s="10" t="s">
        <v>427</v>
      </c>
      <c r="D1070" s="10" t="s">
        <v>993</v>
      </c>
    </row>
    <row r="1071" customFormat="false" ht="23.85" hidden="false" customHeight="false" outlineLevel="0" collapsed="false">
      <c r="A1071" s="10" t="s">
        <v>92</v>
      </c>
      <c r="B1071" s="10" t="s">
        <v>71</v>
      </c>
      <c r="C1071" s="10" t="s">
        <v>427</v>
      </c>
      <c r="D1071" s="10" t="s">
        <v>994</v>
      </c>
    </row>
    <row r="1072" customFormat="false" ht="35.05" hidden="false" customHeight="false" outlineLevel="0" collapsed="false">
      <c r="A1072" s="10" t="s">
        <v>92</v>
      </c>
      <c r="B1072" s="10" t="s">
        <v>71</v>
      </c>
      <c r="C1072" s="10" t="s">
        <v>427</v>
      </c>
      <c r="D1072" s="10" t="s">
        <v>625</v>
      </c>
    </row>
    <row r="1073" customFormat="false" ht="23.85" hidden="false" customHeight="false" outlineLevel="0" collapsed="false">
      <c r="A1073" s="10" t="s">
        <v>92</v>
      </c>
      <c r="B1073" s="10" t="s">
        <v>71</v>
      </c>
      <c r="C1073" s="10" t="s">
        <v>427</v>
      </c>
      <c r="D1073" s="10" t="s">
        <v>995</v>
      </c>
    </row>
    <row r="1074" customFormat="false" ht="35.05" hidden="false" customHeight="false" outlineLevel="0" collapsed="false">
      <c r="A1074" s="10" t="s">
        <v>92</v>
      </c>
      <c r="B1074" s="10" t="s">
        <v>71</v>
      </c>
      <c r="C1074" s="10" t="s">
        <v>427</v>
      </c>
      <c r="D1074" s="10" t="s">
        <v>94</v>
      </c>
    </row>
    <row r="1075" customFormat="false" ht="23.85" hidden="false" customHeight="false" outlineLevel="0" collapsed="false">
      <c r="A1075" s="10" t="s">
        <v>92</v>
      </c>
      <c r="B1075" s="10" t="s">
        <v>71</v>
      </c>
      <c r="C1075" s="10" t="s">
        <v>427</v>
      </c>
      <c r="D1075" s="10" t="s">
        <v>996</v>
      </c>
    </row>
    <row r="1076" customFormat="false" ht="15" hidden="false" customHeight="false" outlineLevel="0" collapsed="false">
      <c r="A1076" s="10" t="s">
        <v>92</v>
      </c>
      <c r="B1076" s="10" t="s">
        <v>71</v>
      </c>
      <c r="C1076" s="10" t="s">
        <v>427</v>
      </c>
      <c r="D1076" s="10" t="s">
        <v>997</v>
      </c>
    </row>
    <row r="1077" customFormat="false" ht="15" hidden="false" customHeight="false" outlineLevel="0" collapsed="false">
      <c r="A1077" s="10" t="s">
        <v>92</v>
      </c>
      <c r="B1077" s="10" t="s">
        <v>71</v>
      </c>
      <c r="C1077" s="10" t="s">
        <v>427</v>
      </c>
      <c r="D1077" s="10" t="s">
        <v>998</v>
      </c>
    </row>
    <row r="1078" customFormat="false" ht="79.85" hidden="false" customHeight="false" outlineLevel="0" collapsed="false">
      <c r="A1078" s="10" t="s">
        <v>92</v>
      </c>
      <c r="B1078" s="10" t="s">
        <v>71</v>
      </c>
      <c r="C1078" s="10" t="s">
        <v>628</v>
      </c>
      <c r="D1078" s="10" t="s">
        <v>629</v>
      </c>
    </row>
    <row r="1079" customFormat="false" ht="35.05" hidden="false" customHeight="false" outlineLevel="0" collapsed="false">
      <c r="A1079" s="10" t="s">
        <v>418</v>
      </c>
      <c r="B1079" s="10" t="s">
        <v>56</v>
      </c>
      <c r="C1079" s="10" t="s">
        <v>427</v>
      </c>
      <c r="D1079" s="10" t="s">
        <v>413</v>
      </c>
    </row>
    <row r="1080" customFormat="false" ht="15" hidden="false" customHeight="false" outlineLevel="0" collapsed="false">
      <c r="A1080" s="10" t="s">
        <v>418</v>
      </c>
      <c r="B1080" s="10" t="s">
        <v>56</v>
      </c>
      <c r="C1080" s="10" t="s">
        <v>427</v>
      </c>
      <c r="D1080" s="10" t="s">
        <v>999</v>
      </c>
    </row>
    <row r="1081" customFormat="false" ht="35.05" hidden="false" customHeight="false" outlineLevel="0" collapsed="false">
      <c r="A1081" s="10" t="s">
        <v>418</v>
      </c>
      <c r="B1081" s="10" t="s">
        <v>56</v>
      </c>
      <c r="C1081" s="10" t="s">
        <v>427</v>
      </c>
      <c r="D1081" s="10" t="s">
        <v>390</v>
      </c>
    </row>
    <row r="1082" customFormat="false" ht="23.85" hidden="false" customHeight="false" outlineLevel="0" collapsed="false">
      <c r="A1082" s="10" t="s">
        <v>404</v>
      </c>
      <c r="B1082" s="10" t="s">
        <v>76</v>
      </c>
      <c r="C1082" s="10" t="s">
        <v>427</v>
      </c>
      <c r="D1082" s="10" t="s">
        <v>541</v>
      </c>
    </row>
    <row r="1083" customFormat="false" ht="35.05" hidden="false" customHeight="false" outlineLevel="0" collapsed="false">
      <c r="A1083" s="10" t="s">
        <v>404</v>
      </c>
      <c r="B1083" s="10" t="s">
        <v>76</v>
      </c>
      <c r="C1083" s="10" t="s">
        <v>427</v>
      </c>
      <c r="D1083" s="10" t="s">
        <v>459</v>
      </c>
    </row>
    <row r="1084" customFormat="false" ht="23.85" hidden="false" customHeight="false" outlineLevel="0" collapsed="false">
      <c r="A1084" s="10" t="s">
        <v>404</v>
      </c>
      <c r="B1084" s="10" t="s">
        <v>76</v>
      </c>
      <c r="C1084" s="10" t="s">
        <v>427</v>
      </c>
      <c r="D1084" s="10" t="s">
        <v>649</v>
      </c>
    </row>
    <row r="1085" customFormat="false" ht="46.25" hidden="false" customHeight="false" outlineLevel="0" collapsed="false">
      <c r="A1085" s="10" t="s">
        <v>404</v>
      </c>
      <c r="B1085" s="10" t="s">
        <v>183</v>
      </c>
      <c r="C1085" s="10" t="s">
        <v>427</v>
      </c>
      <c r="D1085" s="10" t="s">
        <v>657</v>
      </c>
    </row>
    <row r="1086" customFormat="false" ht="23.85" hidden="false" customHeight="false" outlineLevel="0" collapsed="false">
      <c r="A1086" s="10" t="s">
        <v>404</v>
      </c>
      <c r="B1086" s="10" t="s">
        <v>183</v>
      </c>
      <c r="C1086" s="10" t="s">
        <v>427</v>
      </c>
      <c r="D1086" s="10" t="s">
        <v>196</v>
      </c>
    </row>
    <row r="1087" customFormat="false" ht="23.85" hidden="false" customHeight="false" outlineLevel="0" collapsed="false">
      <c r="A1087" s="10" t="s">
        <v>404</v>
      </c>
      <c r="B1087" s="10" t="s">
        <v>183</v>
      </c>
      <c r="C1087" s="10" t="s">
        <v>427</v>
      </c>
      <c r="D1087" s="10" t="s">
        <v>808</v>
      </c>
    </row>
    <row r="1088" customFormat="false" ht="23.85" hidden="false" customHeight="false" outlineLevel="0" collapsed="false">
      <c r="A1088" s="10" t="s">
        <v>404</v>
      </c>
      <c r="B1088" s="10" t="s">
        <v>116</v>
      </c>
      <c r="C1088" s="10" t="s">
        <v>427</v>
      </c>
      <c r="D1088" s="10" t="s">
        <v>467</v>
      </c>
    </row>
    <row r="1089" customFormat="false" ht="23.85" hidden="false" customHeight="false" outlineLevel="0" collapsed="false">
      <c r="A1089" s="10" t="s">
        <v>404</v>
      </c>
      <c r="B1089" s="10" t="s">
        <v>116</v>
      </c>
      <c r="C1089" s="10" t="s">
        <v>427</v>
      </c>
      <c r="D1089" s="10" t="s">
        <v>406</v>
      </c>
    </row>
    <row r="1090" customFormat="false" ht="23.85" hidden="false" customHeight="false" outlineLevel="0" collapsed="false">
      <c r="A1090" s="10" t="s">
        <v>246</v>
      </c>
      <c r="B1090" s="10" t="s">
        <v>57</v>
      </c>
      <c r="C1090" s="10" t="s">
        <v>427</v>
      </c>
      <c r="D1090" s="10" t="s">
        <v>581</v>
      </c>
    </row>
    <row r="1091" customFormat="false" ht="35.05" hidden="false" customHeight="false" outlineLevel="0" collapsed="false">
      <c r="A1091" s="10" t="s">
        <v>246</v>
      </c>
      <c r="B1091" s="10" t="s">
        <v>57</v>
      </c>
      <c r="C1091" s="10" t="s">
        <v>427</v>
      </c>
      <c r="D1091" s="10" t="s">
        <v>710</v>
      </c>
    </row>
    <row r="1092" customFormat="false" ht="46.25" hidden="false" customHeight="false" outlineLevel="0" collapsed="false">
      <c r="A1092" s="10" t="s">
        <v>246</v>
      </c>
      <c r="B1092" s="10" t="s">
        <v>57</v>
      </c>
      <c r="C1092" s="10" t="s">
        <v>427</v>
      </c>
      <c r="D1092" s="10" t="s">
        <v>678</v>
      </c>
    </row>
    <row r="1093" customFormat="false" ht="23.85" hidden="false" customHeight="false" outlineLevel="0" collapsed="false">
      <c r="A1093" s="10" t="s">
        <v>246</v>
      </c>
      <c r="B1093" s="10" t="s">
        <v>76</v>
      </c>
      <c r="C1093" s="10" t="s">
        <v>427</v>
      </c>
      <c r="D1093" s="10" t="s">
        <v>211</v>
      </c>
    </row>
    <row r="1094" customFormat="false" ht="23.85" hidden="false" customHeight="false" outlineLevel="0" collapsed="false">
      <c r="A1094" s="10" t="s">
        <v>246</v>
      </c>
      <c r="B1094" s="10" t="s">
        <v>76</v>
      </c>
      <c r="C1094" s="10" t="s">
        <v>427</v>
      </c>
      <c r="D1094" s="10" t="s">
        <v>1000</v>
      </c>
    </row>
    <row r="1095" customFormat="false" ht="23.85" hidden="false" customHeight="false" outlineLevel="0" collapsed="false">
      <c r="A1095" s="10" t="s">
        <v>246</v>
      </c>
      <c r="B1095" s="10" t="s">
        <v>83</v>
      </c>
      <c r="C1095" s="10" t="s">
        <v>427</v>
      </c>
      <c r="D1095" s="10" t="s">
        <v>245</v>
      </c>
    </row>
    <row r="1096" customFormat="false" ht="15" hidden="false" customHeight="false" outlineLevel="0" collapsed="false">
      <c r="A1096" s="10" t="s">
        <v>246</v>
      </c>
      <c r="B1096" s="10" t="s">
        <v>83</v>
      </c>
      <c r="C1096" s="10" t="s">
        <v>427</v>
      </c>
      <c r="D1096" s="10" t="s">
        <v>583</v>
      </c>
    </row>
    <row r="1097" customFormat="false" ht="23.85" hidden="false" customHeight="false" outlineLevel="0" collapsed="false">
      <c r="A1097" s="10" t="s">
        <v>246</v>
      </c>
      <c r="B1097" s="10" t="s">
        <v>83</v>
      </c>
      <c r="C1097" s="10" t="s">
        <v>427</v>
      </c>
      <c r="D1097" s="10" t="s">
        <v>1001</v>
      </c>
    </row>
    <row r="1098" customFormat="false" ht="35.05" hidden="false" customHeight="false" outlineLevel="0" collapsed="false">
      <c r="A1098" s="10" t="s">
        <v>246</v>
      </c>
      <c r="B1098" s="10" t="s">
        <v>83</v>
      </c>
      <c r="C1098" s="10" t="s">
        <v>427</v>
      </c>
      <c r="D1098" s="10" t="s">
        <v>1002</v>
      </c>
    </row>
    <row r="1099" customFormat="false" ht="46.25" hidden="false" customHeight="false" outlineLevel="0" collapsed="false">
      <c r="A1099" s="10" t="s">
        <v>246</v>
      </c>
      <c r="B1099" s="10" t="s">
        <v>83</v>
      </c>
      <c r="C1099" s="10" t="s">
        <v>427</v>
      </c>
      <c r="D1099" s="10" t="s">
        <v>91</v>
      </c>
    </row>
    <row r="1100" customFormat="false" ht="15" hidden="false" customHeight="false" outlineLevel="0" collapsed="false">
      <c r="A1100" s="10" t="s">
        <v>246</v>
      </c>
      <c r="B1100" s="10" t="s">
        <v>83</v>
      </c>
      <c r="C1100" s="10" t="s">
        <v>427</v>
      </c>
      <c r="D1100" s="10" t="s">
        <v>1003</v>
      </c>
    </row>
    <row r="1101" customFormat="false" ht="23.85" hidden="false" customHeight="false" outlineLevel="0" collapsed="false">
      <c r="A1101" s="10" t="s">
        <v>246</v>
      </c>
      <c r="B1101" s="10" t="s">
        <v>83</v>
      </c>
      <c r="C1101" s="10" t="s">
        <v>427</v>
      </c>
      <c r="D1101" s="10" t="s">
        <v>1004</v>
      </c>
    </row>
    <row r="1102" customFormat="false" ht="15" hidden="false" customHeight="false" outlineLevel="0" collapsed="false">
      <c r="A1102" s="10" t="s">
        <v>246</v>
      </c>
      <c r="B1102" s="10" t="s">
        <v>919</v>
      </c>
      <c r="C1102" s="10" t="s">
        <v>427</v>
      </c>
      <c r="D1102" s="10" t="s">
        <v>1005</v>
      </c>
    </row>
    <row r="1103" customFormat="false" ht="15" hidden="false" customHeight="false" outlineLevel="0" collapsed="false">
      <c r="A1103" s="10" t="s">
        <v>246</v>
      </c>
      <c r="B1103" s="10" t="s">
        <v>919</v>
      </c>
      <c r="C1103" s="10" t="s">
        <v>427</v>
      </c>
      <c r="D1103" s="10" t="s">
        <v>922</v>
      </c>
    </row>
    <row r="1104" customFormat="false" ht="23.85" hidden="false" customHeight="false" outlineLevel="0" collapsed="false">
      <c r="A1104" s="10" t="s">
        <v>246</v>
      </c>
      <c r="B1104" s="10" t="s">
        <v>919</v>
      </c>
      <c r="C1104" s="10" t="s">
        <v>427</v>
      </c>
      <c r="D1104" s="10" t="s">
        <v>1006</v>
      </c>
    </row>
    <row r="1105" customFormat="false" ht="23.85" hidden="false" customHeight="false" outlineLevel="0" collapsed="false">
      <c r="A1105" s="10" t="s">
        <v>246</v>
      </c>
      <c r="B1105" s="10" t="s">
        <v>919</v>
      </c>
      <c r="C1105" s="10" t="s">
        <v>427</v>
      </c>
      <c r="D1105" s="10" t="s">
        <v>925</v>
      </c>
    </row>
    <row r="1106" customFormat="false" ht="23.85" hidden="false" customHeight="false" outlineLevel="0" collapsed="false">
      <c r="A1106" s="10" t="s">
        <v>246</v>
      </c>
      <c r="B1106" s="10" t="s">
        <v>919</v>
      </c>
      <c r="C1106" s="10" t="s">
        <v>427</v>
      </c>
      <c r="D1106" s="10" t="s">
        <v>929</v>
      </c>
    </row>
    <row r="1107" customFormat="false" ht="23.85" hidden="false" customHeight="false" outlineLevel="0" collapsed="false">
      <c r="A1107" s="10" t="s">
        <v>246</v>
      </c>
      <c r="B1107" s="10" t="s">
        <v>86</v>
      </c>
      <c r="C1107" s="10" t="s">
        <v>500</v>
      </c>
      <c r="D1107" s="10" t="s">
        <v>501</v>
      </c>
    </row>
    <row r="1108" customFormat="false" ht="15" hidden="false" customHeight="false" outlineLevel="0" collapsed="false">
      <c r="A1108" s="10" t="s">
        <v>246</v>
      </c>
      <c r="B1108" s="10" t="s">
        <v>58</v>
      </c>
      <c r="C1108" s="10" t="s">
        <v>427</v>
      </c>
      <c r="D1108" s="10" t="s">
        <v>1007</v>
      </c>
    </row>
    <row r="1109" customFormat="false" ht="35.05" hidden="false" customHeight="false" outlineLevel="0" collapsed="false">
      <c r="A1109" s="10" t="s">
        <v>246</v>
      </c>
      <c r="B1109" s="10" t="s">
        <v>58</v>
      </c>
      <c r="C1109" s="10" t="s">
        <v>427</v>
      </c>
      <c r="D1109" s="10" t="s">
        <v>248</v>
      </c>
    </row>
    <row r="1110" customFormat="false" ht="23.85" hidden="false" customHeight="false" outlineLevel="0" collapsed="false">
      <c r="A1110" s="10" t="s">
        <v>278</v>
      </c>
      <c r="B1110" s="10" t="s">
        <v>57</v>
      </c>
      <c r="C1110" s="10" t="s">
        <v>427</v>
      </c>
      <c r="D1110" s="10" t="s">
        <v>441</v>
      </c>
    </row>
    <row r="1111" customFormat="false" ht="35.05" hidden="false" customHeight="false" outlineLevel="0" collapsed="false">
      <c r="A1111" s="10" t="s">
        <v>278</v>
      </c>
      <c r="B1111" s="10" t="s">
        <v>57</v>
      </c>
      <c r="C1111" s="10" t="s">
        <v>427</v>
      </c>
      <c r="D1111" s="10" t="s">
        <v>442</v>
      </c>
    </row>
    <row r="1112" customFormat="false" ht="35.05" hidden="false" customHeight="false" outlineLevel="0" collapsed="false">
      <c r="A1112" s="10" t="s">
        <v>278</v>
      </c>
      <c r="B1112" s="10" t="s">
        <v>57</v>
      </c>
      <c r="C1112" s="10" t="s">
        <v>427</v>
      </c>
      <c r="D1112" s="10" t="s">
        <v>675</v>
      </c>
    </row>
    <row r="1113" customFormat="false" ht="23.85" hidden="false" customHeight="false" outlineLevel="0" collapsed="false">
      <c r="A1113" s="10" t="s">
        <v>278</v>
      </c>
      <c r="B1113" s="10" t="s">
        <v>57</v>
      </c>
      <c r="C1113" s="10" t="s">
        <v>427</v>
      </c>
      <c r="D1113" s="10" t="s">
        <v>875</v>
      </c>
    </row>
    <row r="1114" customFormat="false" ht="35.05" hidden="false" customHeight="false" outlineLevel="0" collapsed="false">
      <c r="A1114" s="10" t="s">
        <v>278</v>
      </c>
      <c r="B1114" s="10" t="s">
        <v>57</v>
      </c>
      <c r="C1114" s="10" t="s">
        <v>427</v>
      </c>
      <c r="D1114" s="10" t="s">
        <v>676</v>
      </c>
    </row>
    <row r="1115" customFormat="false" ht="23.85" hidden="false" customHeight="false" outlineLevel="0" collapsed="false">
      <c r="A1115" s="10" t="s">
        <v>278</v>
      </c>
      <c r="B1115" s="10" t="s">
        <v>57</v>
      </c>
      <c r="C1115" s="10" t="s">
        <v>427</v>
      </c>
      <c r="D1115" s="10" t="s">
        <v>1008</v>
      </c>
    </row>
    <row r="1116" customFormat="false" ht="23.85" hidden="false" customHeight="false" outlineLevel="0" collapsed="false">
      <c r="A1116" s="10" t="s">
        <v>278</v>
      </c>
      <c r="B1116" s="10" t="s">
        <v>57</v>
      </c>
      <c r="C1116" s="10" t="s">
        <v>427</v>
      </c>
      <c r="D1116" s="10" t="s">
        <v>1009</v>
      </c>
    </row>
    <row r="1117" customFormat="false" ht="46.25" hidden="false" customHeight="false" outlineLevel="0" collapsed="false">
      <c r="A1117" s="10" t="s">
        <v>278</v>
      </c>
      <c r="B1117" s="10" t="s">
        <v>57</v>
      </c>
      <c r="C1117" s="10" t="s">
        <v>427</v>
      </c>
      <c r="D1117" s="10" t="s">
        <v>678</v>
      </c>
    </row>
    <row r="1118" customFormat="false" ht="23.85" hidden="false" customHeight="false" outlineLevel="0" collapsed="false">
      <c r="A1118" s="10" t="s">
        <v>278</v>
      </c>
      <c r="B1118" s="10" t="s">
        <v>76</v>
      </c>
      <c r="C1118" s="10" t="s">
        <v>427</v>
      </c>
      <c r="D1118" s="10" t="s">
        <v>632</v>
      </c>
    </row>
    <row r="1119" customFormat="false" ht="35.05" hidden="false" customHeight="false" outlineLevel="0" collapsed="false">
      <c r="A1119" s="10" t="s">
        <v>278</v>
      </c>
      <c r="B1119" s="10" t="s">
        <v>76</v>
      </c>
      <c r="C1119" s="10" t="s">
        <v>427</v>
      </c>
      <c r="D1119" s="10" t="s">
        <v>1010</v>
      </c>
    </row>
    <row r="1120" customFormat="false" ht="23.85" hidden="false" customHeight="false" outlineLevel="0" collapsed="false">
      <c r="A1120" s="10" t="s">
        <v>278</v>
      </c>
      <c r="B1120" s="10" t="s">
        <v>76</v>
      </c>
      <c r="C1120" s="10" t="s">
        <v>427</v>
      </c>
      <c r="D1120" s="10" t="s">
        <v>679</v>
      </c>
    </row>
    <row r="1121" customFormat="false" ht="35.05" hidden="false" customHeight="false" outlineLevel="0" collapsed="false">
      <c r="A1121" s="10" t="s">
        <v>278</v>
      </c>
      <c r="B1121" s="10" t="s">
        <v>76</v>
      </c>
      <c r="C1121" s="10" t="s">
        <v>427</v>
      </c>
      <c r="D1121" s="10" t="s">
        <v>1011</v>
      </c>
    </row>
    <row r="1122" customFormat="false" ht="15" hidden="false" customHeight="false" outlineLevel="0" collapsed="false">
      <c r="A1122" s="10" t="s">
        <v>278</v>
      </c>
      <c r="B1122" s="10" t="s">
        <v>76</v>
      </c>
      <c r="C1122" s="10" t="s">
        <v>427</v>
      </c>
      <c r="D1122" s="10" t="s">
        <v>963</v>
      </c>
    </row>
    <row r="1123" customFormat="false" ht="23.85" hidden="false" customHeight="false" outlineLevel="0" collapsed="false">
      <c r="A1123" s="10" t="s">
        <v>278</v>
      </c>
      <c r="B1123" s="10" t="s">
        <v>76</v>
      </c>
      <c r="C1123" s="10" t="s">
        <v>427</v>
      </c>
      <c r="D1123" s="10" t="s">
        <v>491</v>
      </c>
    </row>
    <row r="1124" customFormat="false" ht="23.85" hidden="false" customHeight="false" outlineLevel="0" collapsed="false">
      <c r="A1124" s="10" t="s">
        <v>278</v>
      </c>
      <c r="B1124" s="10" t="s">
        <v>76</v>
      </c>
      <c r="C1124" s="10" t="s">
        <v>427</v>
      </c>
      <c r="D1124" s="10" t="s">
        <v>617</v>
      </c>
    </row>
    <row r="1125" customFormat="false" ht="35.05" hidden="false" customHeight="false" outlineLevel="0" collapsed="false">
      <c r="A1125" s="10" t="s">
        <v>278</v>
      </c>
      <c r="B1125" s="10" t="s">
        <v>90</v>
      </c>
      <c r="C1125" s="10" t="s">
        <v>427</v>
      </c>
      <c r="D1125" s="10" t="s">
        <v>596</v>
      </c>
    </row>
    <row r="1126" customFormat="false" ht="23.85" hidden="false" customHeight="false" outlineLevel="0" collapsed="false">
      <c r="A1126" s="10" t="s">
        <v>278</v>
      </c>
      <c r="B1126" s="10" t="s">
        <v>90</v>
      </c>
      <c r="C1126" s="10" t="s">
        <v>427</v>
      </c>
      <c r="D1126" s="10" t="s">
        <v>597</v>
      </c>
    </row>
    <row r="1127" customFormat="false" ht="23.85" hidden="false" customHeight="false" outlineLevel="0" collapsed="false">
      <c r="A1127" s="10" t="s">
        <v>278</v>
      </c>
      <c r="B1127" s="10" t="s">
        <v>90</v>
      </c>
      <c r="C1127" s="10" t="s">
        <v>427</v>
      </c>
      <c r="D1127" s="10" t="s">
        <v>598</v>
      </c>
    </row>
    <row r="1128" customFormat="false" ht="35.05" hidden="false" customHeight="false" outlineLevel="0" collapsed="false">
      <c r="A1128" s="10" t="s">
        <v>278</v>
      </c>
      <c r="B1128" s="10" t="s">
        <v>90</v>
      </c>
      <c r="C1128" s="10" t="s">
        <v>427</v>
      </c>
      <c r="D1128" s="10" t="s">
        <v>582</v>
      </c>
    </row>
    <row r="1129" customFormat="false" ht="35.05" hidden="false" customHeight="false" outlineLevel="0" collapsed="false">
      <c r="A1129" s="10" t="s">
        <v>278</v>
      </c>
      <c r="B1129" s="10" t="s">
        <v>90</v>
      </c>
      <c r="C1129" s="10" t="s">
        <v>427</v>
      </c>
      <c r="D1129" s="10" t="s">
        <v>912</v>
      </c>
    </row>
    <row r="1130" customFormat="false" ht="57.45" hidden="false" customHeight="false" outlineLevel="0" collapsed="false">
      <c r="A1130" s="10" t="s">
        <v>278</v>
      </c>
      <c r="B1130" s="10" t="s">
        <v>83</v>
      </c>
      <c r="C1130" s="10" t="s">
        <v>427</v>
      </c>
      <c r="D1130" s="10" t="s">
        <v>696</v>
      </c>
    </row>
    <row r="1131" customFormat="false" ht="46.25" hidden="false" customHeight="false" outlineLevel="0" collapsed="false">
      <c r="A1131" s="10" t="s">
        <v>278</v>
      </c>
      <c r="B1131" s="10" t="s">
        <v>83</v>
      </c>
      <c r="C1131" s="10" t="s">
        <v>427</v>
      </c>
      <c r="D1131" s="10" t="s">
        <v>716</v>
      </c>
    </row>
    <row r="1132" customFormat="false" ht="23.85" hidden="false" customHeight="false" outlineLevel="0" collapsed="false">
      <c r="A1132" s="10" t="s">
        <v>278</v>
      </c>
      <c r="B1132" s="10" t="s">
        <v>83</v>
      </c>
      <c r="C1132" s="10" t="s">
        <v>427</v>
      </c>
      <c r="D1132" s="10" t="s">
        <v>1012</v>
      </c>
    </row>
    <row r="1133" customFormat="false" ht="46.25" hidden="false" customHeight="false" outlineLevel="0" collapsed="false">
      <c r="A1133" s="10" t="s">
        <v>278</v>
      </c>
      <c r="B1133" s="10" t="s">
        <v>83</v>
      </c>
      <c r="C1133" s="10" t="s">
        <v>427</v>
      </c>
      <c r="D1133" s="10" t="s">
        <v>511</v>
      </c>
    </row>
    <row r="1134" customFormat="false" ht="23.85" hidden="false" customHeight="false" outlineLevel="0" collapsed="false">
      <c r="A1134" s="10" t="s">
        <v>278</v>
      </c>
      <c r="B1134" s="10" t="s">
        <v>83</v>
      </c>
      <c r="C1134" s="10" t="s">
        <v>427</v>
      </c>
      <c r="D1134" s="10" t="s">
        <v>717</v>
      </c>
    </row>
    <row r="1135" customFormat="false" ht="23.85" hidden="false" customHeight="false" outlineLevel="0" collapsed="false">
      <c r="A1135" s="10" t="s">
        <v>278</v>
      </c>
      <c r="B1135" s="10" t="s">
        <v>83</v>
      </c>
      <c r="C1135" s="10" t="s">
        <v>427</v>
      </c>
      <c r="D1135" s="10" t="s">
        <v>1013</v>
      </c>
    </row>
    <row r="1136" customFormat="false" ht="23.85" hidden="false" customHeight="false" outlineLevel="0" collapsed="false">
      <c r="A1136" s="10" t="s">
        <v>278</v>
      </c>
      <c r="B1136" s="10" t="s">
        <v>83</v>
      </c>
      <c r="C1136" s="10" t="s">
        <v>427</v>
      </c>
      <c r="D1136" s="10" t="s">
        <v>1014</v>
      </c>
    </row>
    <row r="1137" customFormat="false" ht="23.85" hidden="false" customHeight="false" outlineLevel="0" collapsed="false">
      <c r="A1137" s="10" t="s">
        <v>278</v>
      </c>
      <c r="B1137" s="10" t="s">
        <v>147</v>
      </c>
      <c r="C1137" s="10" t="s">
        <v>427</v>
      </c>
      <c r="D1137" s="10" t="s">
        <v>954</v>
      </c>
    </row>
    <row r="1138" customFormat="false" ht="15" hidden="false" customHeight="false" outlineLevel="0" collapsed="false">
      <c r="A1138" s="10" t="s">
        <v>278</v>
      </c>
      <c r="B1138" s="10" t="s">
        <v>259</v>
      </c>
      <c r="C1138" s="10" t="s">
        <v>427</v>
      </c>
      <c r="D1138" s="10" t="s">
        <v>932</v>
      </c>
    </row>
    <row r="1139" customFormat="false" ht="46.25" hidden="false" customHeight="false" outlineLevel="0" collapsed="false">
      <c r="A1139" s="10" t="s">
        <v>278</v>
      </c>
      <c r="B1139" s="10" t="s">
        <v>259</v>
      </c>
      <c r="C1139" s="10" t="s">
        <v>427</v>
      </c>
      <c r="D1139" s="10" t="s">
        <v>934</v>
      </c>
    </row>
    <row r="1140" customFormat="false" ht="57.45" hidden="false" customHeight="false" outlineLevel="0" collapsed="false">
      <c r="A1140" s="10" t="s">
        <v>278</v>
      </c>
      <c r="B1140" s="10" t="s">
        <v>259</v>
      </c>
      <c r="C1140" s="10" t="s">
        <v>427</v>
      </c>
      <c r="D1140" s="10" t="s">
        <v>936</v>
      </c>
    </row>
    <row r="1141" customFormat="false" ht="23.85" hidden="false" customHeight="false" outlineLevel="0" collapsed="false">
      <c r="A1141" s="10" t="s">
        <v>278</v>
      </c>
      <c r="B1141" s="10" t="s">
        <v>133</v>
      </c>
      <c r="C1141" s="10" t="s">
        <v>427</v>
      </c>
      <c r="D1141" s="10" t="s">
        <v>499</v>
      </c>
    </row>
    <row r="1142" customFormat="false" ht="23.85" hidden="false" customHeight="false" outlineLevel="0" collapsed="false">
      <c r="A1142" s="10" t="s">
        <v>278</v>
      </c>
      <c r="B1142" s="10" t="s">
        <v>133</v>
      </c>
      <c r="C1142" s="10" t="s">
        <v>427</v>
      </c>
      <c r="D1142" s="10" t="s">
        <v>110</v>
      </c>
    </row>
    <row r="1143" customFormat="false" ht="15" hidden="false" customHeight="false" outlineLevel="0" collapsed="false">
      <c r="A1143" s="10" t="s">
        <v>278</v>
      </c>
      <c r="B1143" s="10" t="s">
        <v>133</v>
      </c>
      <c r="C1143" s="10" t="s">
        <v>427</v>
      </c>
      <c r="D1143" s="10" t="s">
        <v>1015</v>
      </c>
    </row>
    <row r="1144" customFormat="false" ht="35.05" hidden="false" customHeight="false" outlineLevel="0" collapsed="false">
      <c r="A1144" s="10" t="s">
        <v>278</v>
      </c>
      <c r="B1144" s="10" t="s">
        <v>133</v>
      </c>
      <c r="C1144" s="10" t="s">
        <v>427</v>
      </c>
      <c r="D1144" s="10" t="s">
        <v>1016</v>
      </c>
    </row>
    <row r="1145" customFormat="false" ht="23.85" hidden="false" customHeight="false" outlineLevel="0" collapsed="false">
      <c r="A1145" s="10" t="s">
        <v>278</v>
      </c>
      <c r="B1145" s="10" t="s">
        <v>58</v>
      </c>
      <c r="C1145" s="10" t="s">
        <v>427</v>
      </c>
      <c r="D1145" s="10" t="s">
        <v>1017</v>
      </c>
    </row>
    <row r="1146" customFormat="false" ht="15" hidden="false" customHeight="false" outlineLevel="0" collapsed="false">
      <c r="A1146" s="10" t="s">
        <v>278</v>
      </c>
      <c r="B1146" s="10" t="s">
        <v>71</v>
      </c>
      <c r="C1146" s="10" t="s">
        <v>427</v>
      </c>
      <c r="D1146" s="10" t="s">
        <v>1018</v>
      </c>
    </row>
    <row r="1147" customFormat="false" ht="23.85" hidden="false" customHeight="false" outlineLevel="0" collapsed="false">
      <c r="A1147" s="10" t="s">
        <v>278</v>
      </c>
      <c r="B1147" s="10" t="s">
        <v>71</v>
      </c>
      <c r="C1147" s="10" t="s">
        <v>427</v>
      </c>
      <c r="D1147" s="10" t="s">
        <v>1019</v>
      </c>
    </row>
    <row r="1148" customFormat="false" ht="23.85" hidden="false" customHeight="false" outlineLevel="0" collapsed="false">
      <c r="A1148" s="10" t="s">
        <v>278</v>
      </c>
      <c r="B1148" s="10" t="s">
        <v>71</v>
      </c>
      <c r="C1148" s="10" t="s">
        <v>427</v>
      </c>
      <c r="D1148" s="10" t="s">
        <v>280</v>
      </c>
    </row>
    <row r="1149" customFormat="false" ht="35.05" hidden="false" customHeight="false" outlineLevel="0" collapsed="false">
      <c r="A1149" s="10" t="s">
        <v>278</v>
      </c>
      <c r="B1149" s="10" t="s">
        <v>71</v>
      </c>
      <c r="C1149" s="10" t="s">
        <v>599</v>
      </c>
      <c r="D1149" s="10" t="s">
        <v>600</v>
      </c>
    </row>
    <row r="1150" customFormat="false" ht="15" hidden="false" customHeight="false" outlineLevel="0" collapsed="false">
      <c r="A1150" s="10" t="s">
        <v>215</v>
      </c>
      <c r="B1150" s="10" t="s">
        <v>83</v>
      </c>
      <c r="C1150" s="10" t="s">
        <v>427</v>
      </c>
      <c r="D1150" s="10" t="s">
        <v>816</v>
      </c>
    </row>
    <row r="1151" customFormat="false" ht="23.85" hidden="false" customHeight="false" outlineLevel="0" collapsed="false">
      <c r="A1151" s="10" t="s">
        <v>215</v>
      </c>
      <c r="B1151" s="10" t="s">
        <v>83</v>
      </c>
      <c r="C1151" s="10" t="s">
        <v>427</v>
      </c>
      <c r="D1151" s="10" t="s">
        <v>1020</v>
      </c>
    </row>
    <row r="1152" customFormat="false" ht="35.05" hidden="false" customHeight="false" outlineLevel="0" collapsed="false">
      <c r="A1152" s="10" t="s">
        <v>215</v>
      </c>
      <c r="B1152" s="10" t="s">
        <v>147</v>
      </c>
      <c r="C1152" s="10" t="s">
        <v>427</v>
      </c>
      <c r="D1152" s="10" t="s">
        <v>217</v>
      </c>
    </row>
    <row r="1153" customFormat="false" ht="15" hidden="false" customHeight="false" outlineLevel="0" collapsed="false">
      <c r="A1153" s="10" t="s">
        <v>385</v>
      </c>
      <c r="B1153" s="10" t="s">
        <v>76</v>
      </c>
      <c r="C1153" s="10" t="s">
        <v>427</v>
      </c>
      <c r="D1153" s="10" t="s">
        <v>631</v>
      </c>
    </row>
    <row r="1154" customFormat="false" ht="23.85" hidden="false" customHeight="false" outlineLevel="0" collapsed="false">
      <c r="A1154" s="10" t="s">
        <v>385</v>
      </c>
      <c r="B1154" s="10" t="s">
        <v>76</v>
      </c>
      <c r="C1154" s="10" t="s">
        <v>427</v>
      </c>
      <c r="D1154" s="10" t="s">
        <v>632</v>
      </c>
    </row>
    <row r="1155" customFormat="false" ht="15" hidden="false" customHeight="false" outlineLevel="0" collapsed="false">
      <c r="A1155" s="10" t="s">
        <v>385</v>
      </c>
      <c r="B1155" s="10" t="s">
        <v>183</v>
      </c>
      <c r="C1155" s="10" t="s">
        <v>427</v>
      </c>
      <c r="D1155" s="10" t="s">
        <v>635</v>
      </c>
    </row>
    <row r="1156" customFormat="false" ht="15" hidden="false" customHeight="false" outlineLevel="0" collapsed="false">
      <c r="A1156" s="10" t="s">
        <v>385</v>
      </c>
      <c r="B1156" s="10" t="s">
        <v>183</v>
      </c>
      <c r="C1156" s="10" t="s">
        <v>427</v>
      </c>
      <c r="D1156" s="10" t="s">
        <v>636</v>
      </c>
    </row>
    <row r="1157" customFormat="false" ht="23.85" hidden="false" customHeight="false" outlineLevel="0" collapsed="false">
      <c r="A1157" s="10" t="s">
        <v>385</v>
      </c>
      <c r="B1157" s="10" t="s">
        <v>183</v>
      </c>
      <c r="C1157" s="10" t="s">
        <v>427</v>
      </c>
      <c r="D1157" s="10" t="s">
        <v>637</v>
      </c>
    </row>
    <row r="1158" customFormat="false" ht="35.05" hidden="false" customHeight="false" outlineLevel="0" collapsed="false">
      <c r="A1158" s="10" t="s">
        <v>385</v>
      </c>
      <c r="B1158" s="10" t="s">
        <v>183</v>
      </c>
      <c r="C1158" s="10" t="s">
        <v>427</v>
      </c>
      <c r="D1158" s="10" t="s">
        <v>387</v>
      </c>
    </row>
    <row r="1159" customFormat="false" ht="15" hidden="false" customHeight="false" outlineLevel="0" collapsed="false">
      <c r="A1159" s="10" t="s">
        <v>234</v>
      </c>
      <c r="B1159" s="10" t="s">
        <v>56</v>
      </c>
      <c r="C1159" s="10" t="s">
        <v>427</v>
      </c>
      <c r="D1159" s="10" t="s">
        <v>1021</v>
      </c>
    </row>
    <row r="1160" customFormat="false" ht="15" hidden="false" customHeight="false" outlineLevel="0" collapsed="false">
      <c r="A1160" s="10" t="s">
        <v>234</v>
      </c>
      <c r="B1160" s="10" t="s">
        <v>56</v>
      </c>
      <c r="C1160" s="10" t="s">
        <v>427</v>
      </c>
      <c r="D1160" s="10" t="s">
        <v>236</v>
      </c>
    </row>
    <row r="1161" customFormat="false" ht="15" hidden="false" customHeight="false" outlineLevel="0" collapsed="false">
      <c r="A1161" s="10" t="s">
        <v>249</v>
      </c>
      <c r="B1161" s="10" t="s">
        <v>57</v>
      </c>
      <c r="C1161" s="10" t="s">
        <v>427</v>
      </c>
      <c r="D1161" s="10" t="s">
        <v>485</v>
      </c>
    </row>
    <row r="1162" customFormat="false" ht="23.85" hidden="false" customHeight="false" outlineLevel="0" collapsed="false">
      <c r="A1162" s="10" t="s">
        <v>249</v>
      </c>
      <c r="B1162" s="10" t="s">
        <v>83</v>
      </c>
      <c r="C1162" s="10" t="s">
        <v>427</v>
      </c>
      <c r="D1162" s="10" t="s">
        <v>245</v>
      </c>
    </row>
    <row r="1163" customFormat="false" ht="15" hidden="false" customHeight="false" outlineLevel="0" collapsed="false">
      <c r="A1163" s="10" t="s">
        <v>249</v>
      </c>
      <c r="B1163" s="10" t="s">
        <v>83</v>
      </c>
      <c r="C1163" s="10" t="s">
        <v>427</v>
      </c>
      <c r="D1163" s="10" t="s">
        <v>583</v>
      </c>
    </row>
    <row r="1164" customFormat="false" ht="35.05" hidden="false" customHeight="false" outlineLevel="0" collapsed="false">
      <c r="A1164" s="10" t="s">
        <v>249</v>
      </c>
      <c r="B1164" s="10" t="s">
        <v>259</v>
      </c>
      <c r="C1164" s="10" t="s">
        <v>427</v>
      </c>
      <c r="D1164" s="10" t="s">
        <v>1022</v>
      </c>
    </row>
    <row r="1165" customFormat="false" ht="15" hidden="false" customHeight="false" outlineLevel="0" collapsed="false">
      <c r="A1165" s="10" t="s">
        <v>249</v>
      </c>
      <c r="B1165" s="10" t="s">
        <v>86</v>
      </c>
      <c r="C1165" s="10" t="s">
        <v>427</v>
      </c>
      <c r="D1165" s="10" t="s">
        <v>1023</v>
      </c>
    </row>
    <row r="1166" customFormat="false" ht="23.85" hidden="false" customHeight="false" outlineLevel="0" collapsed="false">
      <c r="A1166" s="10" t="s">
        <v>249</v>
      </c>
      <c r="B1166" s="10" t="s">
        <v>86</v>
      </c>
      <c r="C1166" s="10" t="s">
        <v>427</v>
      </c>
      <c r="D1166" s="10" t="s">
        <v>187</v>
      </c>
    </row>
    <row r="1167" customFormat="false" ht="35.05" hidden="false" customHeight="false" outlineLevel="0" collapsed="false">
      <c r="A1167" s="10" t="s">
        <v>249</v>
      </c>
      <c r="B1167" s="10" t="s">
        <v>86</v>
      </c>
      <c r="C1167" s="10" t="s">
        <v>427</v>
      </c>
      <c r="D1167" s="10" t="s">
        <v>800</v>
      </c>
    </row>
    <row r="1168" customFormat="false" ht="35.05" hidden="false" customHeight="false" outlineLevel="0" collapsed="false">
      <c r="A1168" s="10" t="s">
        <v>249</v>
      </c>
      <c r="B1168" s="10" t="s">
        <v>58</v>
      </c>
      <c r="C1168" s="10" t="s">
        <v>427</v>
      </c>
      <c r="D1168" s="10" t="s">
        <v>587</v>
      </c>
    </row>
    <row r="1169" customFormat="false" ht="35.05" hidden="false" customHeight="false" outlineLevel="0" collapsed="false">
      <c r="A1169" s="10" t="s">
        <v>249</v>
      </c>
      <c r="B1169" s="10" t="s">
        <v>58</v>
      </c>
      <c r="C1169" s="10" t="s">
        <v>427</v>
      </c>
      <c r="D1169" s="10" t="s">
        <v>1024</v>
      </c>
    </row>
    <row r="1170" customFormat="false" ht="23.85" hidden="false" customHeight="false" outlineLevel="0" collapsed="false">
      <c r="A1170" s="10" t="s">
        <v>249</v>
      </c>
      <c r="B1170" s="10" t="s">
        <v>56</v>
      </c>
      <c r="C1170" s="10" t="s">
        <v>427</v>
      </c>
      <c r="D1170" s="10" t="s">
        <v>80</v>
      </c>
    </row>
    <row r="1171" customFormat="false" ht="23.85" hidden="false" customHeight="false" outlineLevel="0" collapsed="false">
      <c r="A1171" s="10" t="s">
        <v>170</v>
      </c>
      <c r="B1171" s="10" t="s">
        <v>116</v>
      </c>
      <c r="C1171" s="10" t="s">
        <v>427</v>
      </c>
      <c r="D1171" s="10" t="s">
        <v>502</v>
      </c>
    </row>
    <row r="1172" customFormat="false" ht="35.05" hidden="false" customHeight="false" outlineLevel="0" collapsed="false">
      <c r="A1172" s="10" t="s">
        <v>170</v>
      </c>
      <c r="B1172" s="10" t="s">
        <v>134</v>
      </c>
      <c r="C1172" s="10" t="s">
        <v>427</v>
      </c>
      <c r="D1172" s="10" t="s">
        <v>468</v>
      </c>
    </row>
    <row r="1173" customFormat="false" ht="23.85" hidden="false" customHeight="false" outlineLevel="0" collapsed="false">
      <c r="A1173" s="10" t="s">
        <v>170</v>
      </c>
      <c r="B1173" s="10" t="s">
        <v>86</v>
      </c>
      <c r="C1173" s="10" t="s">
        <v>427</v>
      </c>
      <c r="D1173" s="10" t="s">
        <v>503</v>
      </c>
    </row>
    <row r="1174" customFormat="false" ht="23.85" hidden="false" customHeight="false" outlineLevel="0" collapsed="false">
      <c r="A1174" s="10" t="s">
        <v>170</v>
      </c>
      <c r="B1174" s="10" t="s">
        <v>86</v>
      </c>
      <c r="C1174" s="10" t="s">
        <v>427</v>
      </c>
      <c r="D1174" s="10" t="s">
        <v>1025</v>
      </c>
    </row>
    <row r="1175" customFormat="false" ht="35.05" hidden="false" customHeight="false" outlineLevel="0" collapsed="false">
      <c r="A1175" s="10" t="s">
        <v>170</v>
      </c>
      <c r="B1175" s="10" t="s">
        <v>86</v>
      </c>
      <c r="C1175" s="10" t="s">
        <v>427</v>
      </c>
      <c r="D1175" s="10" t="s">
        <v>1026</v>
      </c>
    </row>
    <row r="1176" customFormat="false" ht="23.85" hidden="false" customHeight="false" outlineLevel="0" collapsed="false">
      <c r="A1176" s="10" t="s">
        <v>170</v>
      </c>
      <c r="B1176" s="10" t="s">
        <v>86</v>
      </c>
      <c r="C1176" s="10" t="s">
        <v>427</v>
      </c>
      <c r="D1176" s="10" t="s">
        <v>437</v>
      </c>
    </row>
    <row r="1177" customFormat="false" ht="23.85" hidden="false" customHeight="false" outlineLevel="0" collapsed="false">
      <c r="A1177" s="10" t="s">
        <v>170</v>
      </c>
      <c r="B1177" s="10" t="s">
        <v>86</v>
      </c>
      <c r="C1177" s="10" t="s">
        <v>469</v>
      </c>
      <c r="D1177" s="10" t="s">
        <v>470</v>
      </c>
    </row>
    <row r="1178" customFormat="false" ht="23.85" hidden="false" customHeight="false" outlineLevel="0" collapsed="false">
      <c r="A1178" s="10" t="s">
        <v>170</v>
      </c>
      <c r="B1178" s="10" t="s">
        <v>71</v>
      </c>
      <c r="C1178" s="10" t="s">
        <v>427</v>
      </c>
      <c r="D1178" s="10" t="s">
        <v>169</v>
      </c>
    </row>
    <row r="1179" customFormat="false" ht="15" hidden="false" customHeight="false" outlineLevel="0" collapsed="false">
      <c r="A1179" s="10" t="s">
        <v>170</v>
      </c>
      <c r="B1179" s="10" t="s">
        <v>71</v>
      </c>
      <c r="C1179" s="10" t="s">
        <v>427</v>
      </c>
      <c r="D1179" s="10" t="s">
        <v>1027</v>
      </c>
    </row>
    <row r="1180" customFormat="false" ht="23.85" hidden="false" customHeight="false" outlineLevel="0" collapsed="false">
      <c r="A1180" s="10" t="s">
        <v>170</v>
      </c>
      <c r="B1180" s="10" t="s">
        <v>71</v>
      </c>
      <c r="C1180" s="10" t="s">
        <v>427</v>
      </c>
      <c r="D1180" s="10" t="s">
        <v>172</v>
      </c>
    </row>
    <row r="1181" customFormat="false" ht="135.8" hidden="false" customHeight="false" outlineLevel="0" collapsed="false">
      <c r="A1181" s="10" t="s">
        <v>170</v>
      </c>
      <c r="B1181" s="10" t="s">
        <v>71</v>
      </c>
      <c r="C1181" s="10" t="s">
        <v>480</v>
      </c>
      <c r="D1181" s="10" t="s">
        <v>481</v>
      </c>
    </row>
    <row r="1182" customFormat="false" ht="247.75" hidden="false" customHeight="false" outlineLevel="0" collapsed="false">
      <c r="A1182" s="10" t="s">
        <v>170</v>
      </c>
      <c r="B1182" s="10" t="s">
        <v>71</v>
      </c>
      <c r="C1182" s="10" t="s">
        <v>439</v>
      </c>
      <c r="D1182" s="10" t="s">
        <v>440</v>
      </c>
    </row>
    <row r="1183" customFormat="false" ht="35.05" hidden="false" customHeight="false" outlineLevel="0" collapsed="false">
      <c r="A1183" s="10" t="s">
        <v>420</v>
      </c>
      <c r="B1183" s="10" t="s">
        <v>56</v>
      </c>
      <c r="C1183" s="10" t="s">
        <v>427</v>
      </c>
      <c r="D1183" s="10" t="s">
        <v>413</v>
      </c>
    </row>
    <row r="1184" customFormat="false" ht="23.85" hidden="false" customHeight="false" outlineLevel="0" collapsed="false">
      <c r="A1184" s="10" t="s">
        <v>420</v>
      </c>
      <c r="B1184" s="10" t="s">
        <v>56</v>
      </c>
      <c r="C1184" s="10" t="s">
        <v>427</v>
      </c>
      <c r="D1184" s="10" t="s">
        <v>1028</v>
      </c>
    </row>
    <row r="1185" customFormat="false" ht="35.05" hidden="false" customHeight="false" outlineLevel="0" collapsed="false">
      <c r="A1185" s="10" t="s">
        <v>420</v>
      </c>
      <c r="B1185" s="10" t="s">
        <v>56</v>
      </c>
      <c r="C1185" s="10" t="s">
        <v>427</v>
      </c>
      <c r="D1185" s="10" t="s">
        <v>390</v>
      </c>
    </row>
    <row r="1186" customFormat="false" ht="35.05" hidden="false" customHeight="false" outlineLevel="0" collapsed="false">
      <c r="A1186" s="10" t="s">
        <v>422</v>
      </c>
      <c r="B1186" s="10" t="s">
        <v>56</v>
      </c>
      <c r="C1186" s="10" t="s">
        <v>427</v>
      </c>
      <c r="D1186" s="10" t="s">
        <v>413</v>
      </c>
    </row>
    <row r="1187" customFormat="false" ht="15" hidden="false" customHeight="false" outlineLevel="0" collapsed="false">
      <c r="A1187" s="10" t="s">
        <v>422</v>
      </c>
      <c r="B1187" s="10" t="s">
        <v>56</v>
      </c>
      <c r="C1187" s="10" t="s">
        <v>427</v>
      </c>
      <c r="D1187" s="10" t="s">
        <v>1029</v>
      </c>
    </row>
    <row r="1188" customFormat="false" ht="15" hidden="false" customHeight="false" outlineLevel="0" collapsed="false">
      <c r="A1188" s="10" t="s">
        <v>361</v>
      </c>
      <c r="B1188" s="10" t="s">
        <v>183</v>
      </c>
      <c r="C1188" s="10" t="s">
        <v>427</v>
      </c>
      <c r="D1188" s="10" t="s">
        <v>1030</v>
      </c>
    </row>
    <row r="1189" customFormat="false" ht="35.05" hidden="false" customHeight="false" outlineLevel="0" collapsed="false">
      <c r="A1189" s="10" t="s">
        <v>361</v>
      </c>
      <c r="B1189" s="10" t="s">
        <v>183</v>
      </c>
      <c r="C1189" s="10" t="s">
        <v>427</v>
      </c>
      <c r="D1189" s="10" t="s">
        <v>341</v>
      </c>
    </row>
    <row r="1190" customFormat="false" ht="23.85" hidden="false" customHeight="false" outlineLevel="0" collapsed="false">
      <c r="A1190" s="10" t="s">
        <v>361</v>
      </c>
      <c r="B1190" s="10" t="s">
        <v>133</v>
      </c>
      <c r="C1190" s="10" t="s">
        <v>427</v>
      </c>
      <c r="D1190" s="10" t="s">
        <v>789</v>
      </c>
    </row>
    <row r="1191" customFormat="false" ht="23.85" hidden="false" customHeight="false" outlineLevel="0" collapsed="false">
      <c r="A1191" s="10" t="s">
        <v>361</v>
      </c>
      <c r="B1191" s="10" t="s">
        <v>133</v>
      </c>
      <c r="C1191" s="10" t="s">
        <v>427</v>
      </c>
      <c r="D1191" s="10" t="s">
        <v>790</v>
      </c>
    </row>
    <row r="1192" customFormat="false" ht="23.85" hidden="false" customHeight="false" outlineLevel="0" collapsed="false">
      <c r="A1192" s="10" t="s">
        <v>361</v>
      </c>
      <c r="B1192" s="10" t="s">
        <v>133</v>
      </c>
      <c r="C1192" s="10" t="s">
        <v>427</v>
      </c>
      <c r="D1192" s="10" t="s">
        <v>791</v>
      </c>
    </row>
    <row r="1193" customFormat="false" ht="23.85" hidden="false" customHeight="false" outlineLevel="0" collapsed="false">
      <c r="A1193" s="10" t="s">
        <v>361</v>
      </c>
      <c r="B1193" s="10" t="s">
        <v>133</v>
      </c>
      <c r="C1193" s="10" t="s">
        <v>427</v>
      </c>
      <c r="D1193" s="10" t="s">
        <v>792</v>
      </c>
    </row>
    <row r="1194" customFormat="false" ht="23.85" hidden="false" customHeight="false" outlineLevel="0" collapsed="false">
      <c r="A1194" s="10" t="s">
        <v>361</v>
      </c>
      <c r="B1194" s="10" t="s">
        <v>116</v>
      </c>
      <c r="C1194" s="10" t="s">
        <v>427</v>
      </c>
      <c r="D1194" s="10" t="s">
        <v>292</v>
      </c>
    </row>
    <row r="1195" customFormat="false" ht="15" hidden="false" customHeight="false" outlineLevel="0" collapsed="false">
      <c r="A1195" s="10" t="s">
        <v>388</v>
      </c>
      <c r="B1195" s="10" t="s">
        <v>56</v>
      </c>
      <c r="C1195" s="10" t="s">
        <v>427</v>
      </c>
      <c r="D1195" s="10" t="s">
        <v>1021</v>
      </c>
    </row>
    <row r="1196" customFormat="false" ht="23.85" hidden="false" customHeight="false" outlineLevel="0" collapsed="false">
      <c r="A1196" s="10" t="s">
        <v>388</v>
      </c>
      <c r="B1196" s="10" t="s">
        <v>56</v>
      </c>
      <c r="C1196" s="10" t="s">
        <v>427</v>
      </c>
      <c r="D1196" s="10" t="s">
        <v>1031</v>
      </c>
    </row>
    <row r="1197" customFormat="false" ht="35.05" hidden="false" customHeight="false" outlineLevel="0" collapsed="false">
      <c r="A1197" s="10" t="s">
        <v>388</v>
      </c>
      <c r="B1197" s="10" t="s">
        <v>56</v>
      </c>
      <c r="C1197" s="10" t="s">
        <v>427</v>
      </c>
      <c r="D1197" s="10" t="s">
        <v>390</v>
      </c>
    </row>
    <row r="1198" customFormat="false" ht="68.65" hidden="false" customHeight="false" outlineLevel="0" collapsed="false">
      <c r="A1198" s="10" t="s">
        <v>388</v>
      </c>
      <c r="B1198" s="10" t="s">
        <v>71</v>
      </c>
      <c r="C1198" s="10" t="s">
        <v>457</v>
      </c>
      <c r="D1198" s="10" t="s">
        <v>458</v>
      </c>
    </row>
    <row r="1199" customFormat="false" ht="23.85" hidden="false" customHeight="false" outlineLevel="0" collapsed="false">
      <c r="A1199" s="10" t="s">
        <v>237</v>
      </c>
      <c r="B1199" s="10" t="s">
        <v>83</v>
      </c>
      <c r="C1199" s="10" t="s">
        <v>427</v>
      </c>
      <c r="D1199" s="10" t="s">
        <v>245</v>
      </c>
    </row>
    <row r="1200" customFormat="false" ht="15" hidden="false" customHeight="false" outlineLevel="0" collapsed="false">
      <c r="A1200" s="10" t="s">
        <v>237</v>
      </c>
      <c r="B1200" s="10" t="s">
        <v>83</v>
      </c>
      <c r="C1200" s="10" t="s">
        <v>427</v>
      </c>
      <c r="D1200" s="10" t="s">
        <v>579</v>
      </c>
    </row>
    <row r="1201" customFormat="false" ht="15" hidden="false" customHeight="false" outlineLevel="0" collapsed="false">
      <c r="A1201" s="10" t="s">
        <v>237</v>
      </c>
      <c r="B1201" s="10" t="s">
        <v>83</v>
      </c>
      <c r="C1201" s="10" t="s">
        <v>427</v>
      </c>
      <c r="D1201" s="10" t="s">
        <v>1032</v>
      </c>
    </row>
    <row r="1202" customFormat="false" ht="35.05" hidden="false" customHeight="false" outlineLevel="0" collapsed="false">
      <c r="A1202" s="10" t="s">
        <v>237</v>
      </c>
      <c r="B1202" s="10" t="s">
        <v>83</v>
      </c>
      <c r="C1202" s="10" t="s">
        <v>427</v>
      </c>
      <c r="D1202" s="10" t="s">
        <v>1002</v>
      </c>
    </row>
    <row r="1203" customFormat="false" ht="46.25" hidden="false" customHeight="false" outlineLevel="0" collapsed="false">
      <c r="A1203" s="10" t="s">
        <v>237</v>
      </c>
      <c r="B1203" s="10" t="s">
        <v>83</v>
      </c>
      <c r="C1203" s="10" t="s">
        <v>427</v>
      </c>
      <c r="D1203" s="10" t="s">
        <v>91</v>
      </c>
    </row>
    <row r="1204" customFormat="false" ht="23.85" hidden="false" customHeight="false" outlineLevel="0" collapsed="false">
      <c r="A1204" s="10" t="s">
        <v>237</v>
      </c>
      <c r="B1204" s="10" t="s">
        <v>83</v>
      </c>
      <c r="C1204" s="10" t="s">
        <v>427</v>
      </c>
      <c r="D1204" s="10" t="s">
        <v>1033</v>
      </c>
    </row>
    <row r="1205" customFormat="false" ht="23.85" hidden="false" customHeight="false" outlineLevel="0" collapsed="false">
      <c r="A1205" s="10" t="s">
        <v>237</v>
      </c>
      <c r="B1205" s="10" t="s">
        <v>83</v>
      </c>
      <c r="C1205" s="10" t="s">
        <v>427</v>
      </c>
      <c r="D1205" s="10" t="s">
        <v>512</v>
      </c>
    </row>
    <row r="1206" customFormat="false" ht="35.05" hidden="false" customHeight="false" outlineLevel="0" collapsed="false">
      <c r="A1206" s="10" t="s">
        <v>237</v>
      </c>
      <c r="B1206" s="10" t="s">
        <v>83</v>
      </c>
      <c r="C1206" s="10" t="s">
        <v>427</v>
      </c>
      <c r="D1206" s="10" t="s">
        <v>1034</v>
      </c>
    </row>
    <row r="1207" customFormat="false" ht="15" hidden="false" customHeight="false" outlineLevel="0" collapsed="false">
      <c r="A1207" s="10" t="s">
        <v>237</v>
      </c>
      <c r="B1207" s="10" t="s">
        <v>83</v>
      </c>
      <c r="C1207" s="10" t="s">
        <v>427</v>
      </c>
      <c r="D1207" s="10" t="s">
        <v>1003</v>
      </c>
    </row>
    <row r="1208" customFormat="false" ht="23.85" hidden="false" customHeight="false" outlineLevel="0" collapsed="false">
      <c r="A1208" s="10" t="s">
        <v>237</v>
      </c>
      <c r="B1208" s="10" t="s">
        <v>83</v>
      </c>
      <c r="C1208" s="10" t="s">
        <v>427</v>
      </c>
      <c r="D1208" s="10" t="s">
        <v>1035</v>
      </c>
    </row>
    <row r="1209" customFormat="false" ht="46.25" hidden="false" customHeight="false" outlineLevel="0" collapsed="false">
      <c r="A1209" s="10" t="s">
        <v>237</v>
      </c>
      <c r="B1209" s="10" t="s">
        <v>83</v>
      </c>
      <c r="C1209" s="10" t="s">
        <v>427</v>
      </c>
      <c r="D1209" s="10" t="s">
        <v>511</v>
      </c>
    </row>
    <row r="1210" customFormat="false" ht="23.85" hidden="false" customHeight="false" outlineLevel="0" collapsed="false">
      <c r="A1210" s="10" t="s">
        <v>237</v>
      </c>
      <c r="B1210" s="10" t="s">
        <v>183</v>
      </c>
      <c r="C1210" s="10" t="s">
        <v>427</v>
      </c>
      <c r="D1210" s="10" t="s">
        <v>233</v>
      </c>
    </row>
    <row r="1211" customFormat="false" ht="35.05" hidden="false" customHeight="false" outlineLevel="0" collapsed="false">
      <c r="A1211" s="10" t="s">
        <v>237</v>
      </c>
      <c r="B1211" s="10" t="s">
        <v>133</v>
      </c>
      <c r="C1211" s="10" t="s">
        <v>427</v>
      </c>
      <c r="D1211" s="10" t="s">
        <v>618</v>
      </c>
    </row>
    <row r="1212" customFormat="false" ht="23.85" hidden="false" customHeight="false" outlineLevel="0" collapsed="false">
      <c r="A1212" s="10" t="s">
        <v>237</v>
      </c>
      <c r="B1212" s="10" t="s">
        <v>133</v>
      </c>
      <c r="C1212" s="10" t="s">
        <v>427</v>
      </c>
      <c r="D1212" s="10" t="s">
        <v>1036</v>
      </c>
    </row>
    <row r="1213" customFormat="false" ht="23.85" hidden="false" customHeight="false" outlineLevel="0" collapsed="false">
      <c r="A1213" s="10" t="s">
        <v>237</v>
      </c>
      <c r="B1213" s="10" t="s">
        <v>150</v>
      </c>
      <c r="C1213" s="10" t="s">
        <v>427</v>
      </c>
      <c r="D1213" s="10" t="s">
        <v>239</v>
      </c>
    </row>
    <row r="1214" customFormat="false" ht="15" hidden="false" customHeight="false" outlineLevel="0" collapsed="false">
      <c r="A1214" s="10" t="s">
        <v>237</v>
      </c>
      <c r="B1214" s="10" t="s">
        <v>58</v>
      </c>
      <c r="C1214" s="10" t="s">
        <v>427</v>
      </c>
      <c r="D1214" s="10" t="s">
        <v>1037</v>
      </c>
    </row>
    <row r="1215" customFormat="false" ht="15" hidden="false" customHeight="false" outlineLevel="0" collapsed="false">
      <c r="A1215" s="10" t="s">
        <v>218</v>
      </c>
      <c r="B1215" s="10" t="s">
        <v>83</v>
      </c>
      <c r="C1215" s="10" t="s">
        <v>427</v>
      </c>
      <c r="D1215" s="10" t="s">
        <v>816</v>
      </c>
    </row>
    <row r="1216" customFormat="false" ht="23.85" hidden="false" customHeight="false" outlineLevel="0" collapsed="false">
      <c r="A1216" s="10" t="s">
        <v>218</v>
      </c>
      <c r="B1216" s="10" t="s">
        <v>83</v>
      </c>
      <c r="C1216" s="10" t="s">
        <v>427</v>
      </c>
      <c r="D1216" s="10" t="s">
        <v>1020</v>
      </c>
    </row>
    <row r="1217" customFormat="false" ht="35.05" hidden="false" customHeight="false" outlineLevel="0" collapsed="false">
      <c r="A1217" s="10" t="s">
        <v>218</v>
      </c>
      <c r="B1217" s="10" t="s">
        <v>147</v>
      </c>
      <c r="C1217" s="10" t="s">
        <v>427</v>
      </c>
      <c r="D1217" s="10" t="s">
        <v>217</v>
      </c>
    </row>
    <row r="1218" customFormat="false" ht="35.05" hidden="false" customHeight="false" outlineLevel="0" collapsed="false">
      <c r="A1218" s="10" t="s">
        <v>218</v>
      </c>
      <c r="B1218" s="10" t="s">
        <v>134</v>
      </c>
      <c r="C1218" s="10" t="s">
        <v>427</v>
      </c>
      <c r="D1218" s="10" t="s">
        <v>220</v>
      </c>
    </row>
    <row r="1219" customFormat="false" ht="35.05" hidden="false" customHeight="false" outlineLevel="0" collapsed="false">
      <c r="A1219" s="10" t="s">
        <v>296</v>
      </c>
      <c r="B1219" s="10" t="s">
        <v>76</v>
      </c>
      <c r="C1219" s="10" t="s">
        <v>427</v>
      </c>
      <c r="D1219" s="10" t="s">
        <v>550</v>
      </c>
    </row>
    <row r="1220" customFormat="false" ht="46.25" hidden="false" customHeight="false" outlineLevel="0" collapsed="false">
      <c r="A1220" s="10" t="s">
        <v>296</v>
      </c>
      <c r="B1220" s="10" t="s">
        <v>76</v>
      </c>
      <c r="C1220" s="10" t="s">
        <v>427</v>
      </c>
      <c r="D1220" s="10" t="s">
        <v>1038</v>
      </c>
    </row>
    <row r="1221" customFormat="false" ht="35.05" hidden="false" customHeight="false" outlineLevel="0" collapsed="false">
      <c r="A1221" s="10" t="s">
        <v>296</v>
      </c>
      <c r="B1221" s="10" t="s">
        <v>76</v>
      </c>
      <c r="C1221" s="10" t="s">
        <v>427</v>
      </c>
      <c r="D1221" s="10" t="s">
        <v>551</v>
      </c>
    </row>
    <row r="1222" customFormat="false" ht="23.85" hidden="false" customHeight="false" outlineLevel="0" collapsed="false">
      <c r="A1222" s="10" t="s">
        <v>296</v>
      </c>
      <c r="B1222" s="10" t="s">
        <v>76</v>
      </c>
      <c r="C1222" s="10" t="s">
        <v>427</v>
      </c>
      <c r="D1222" s="10" t="s">
        <v>552</v>
      </c>
    </row>
    <row r="1223" customFormat="false" ht="23.85" hidden="false" customHeight="false" outlineLevel="0" collapsed="false">
      <c r="A1223" s="10" t="s">
        <v>296</v>
      </c>
      <c r="B1223" s="10" t="s">
        <v>76</v>
      </c>
      <c r="C1223" s="10" t="s">
        <v>427</v>
      </c>
      <c r="D1223" s="10" t="s">
        <v>553</v>
      </c>
    </row>
    <row r="1224" customFormat="false" ht="15" hidden="false" customHeight="false" outlineLevel="0" collapsed="false">
      <c r="A1224" s="10" t="s">
        <v>296</v>
      </c>
      <c r="B1224" s="10" t="s">
        <v>76</v>
      </c>
      <c r="C1224" s="10" t="s">
        <v>427</v>
      </c>
      <c r="D1224" s="10" t="s">
        <v>1039</v>
      </c>
    </row>
    <row r="1225" customFormat="false" ht="35.05" hidden="false" customHeight="false" outlineLevel="0" collapsed="false">
      <c r="A1225" s="10" t="s">
        <v>296</v>
      </c>
      <c r="B1225" s="10" t="s">
        <v>147</v>
      </c>
      <c r="C1225" s="10" t="s">
        <v>427</v>
      </c>
      <c r="D1225" s="10" t="s">
        <v>815</v>
      </c>
    </row>
    <row r="1226" customFormat="false" ht="46.25" hidden="false" customHeight="false" outlineLevel="0" collapsed="false">
      <c r="A1226" s="10" t="s">
        <v>296</v>
      </c>
      <c r="B1226" s="10" t="s">
        <v>147</v>
      </c>
      <c r="C1226" s="10" t="s">
        <v>427</v>
      </c>
      <c r="D1226" s="10" t="s">
        <v>782</v>
      </c>
    </row>
    <row r="1227" customFormat="false" ht="35.05" hidden="false" customHeight="false" outlineLevel="0" collapsed="false">
      <c r="A1227" s="10" t="s">
        <v>296</v>
      </c>
      <c r="B1227" s="10" t="s">
        <v>183</v>
      </c>
      <c r="C1227" s="10" t="s">
        <v>427</v>
      </c>
      <c r="D1227" s="10" t="s">
        <v>295</v>
      </c>
    </row>
    <row r="1228" customFormat="false" ht="15" hidden="false" customHeight="false" outlineLevel="0" collapsed="false">
      <c r="A1228" s="10" t="s">
        <v>365</v>
      </c>
      <c r="B1228" s="10" t="s">
        <v>183</v>
      </c>
      <c r="C1228" s="10" t="s">
        <v>427</v>
      </c>
      <c r="D1228" s="10" t="s">
        <v>1040</v>
      </c>
    </row>
    <row r="1229" customFormat="false" ht="35.05" hidden="false" customHeight="false" outlineLevel="0" collapsed="false">
      <c r="A1229" s="10" t="s">
        <v>365</v>
      </c>
      <c r="B1229" s="10" t="s">
        <v>183</v>
      </c>
      <c r="C1229" s="10" t="s">
        <v>427</v>
      </c>
      <c r="D1229" s="10" t="s">
        <v>341</v>
      </c>
    </row>
    <row r="1230" customFormat="false" ht="35.05" hidden="false" customHeight="false" outlineLevel="0" collapsed="false">
      <c r="A1230" s="10" t="s">
        <v>125</v>
      </c>
      <c r="B1230" s="10" t="s">
        <v>76</v>
      </c>
      <c r="C1230" s="10" t="s">
        <v>427</v>
      </c>
      <c r="D1230" s="10" t="s">
        <v>905</v>
      </c>
    </row>
    <row r="1231" customFormat="false" ht="35.05" hidden="false" customHeight="false" outlineLevel="0" collapsed="false">
      <c r="A1231" s="10" t="s">
        <v>125</v>
      </c>
      <c r="B1231" s="10" t="s">
        <v>76</v>
      </c>
      <c r="C1231" s="10" t="s">
        <v>427</v>
      </c>
      <c r="D1231" s="10" t="s">
        <v>906</v>
      </c>
    </row>
    <row r="1232" customFormat="false" ht="35.05" hidden="false" customHeight="false" outlineLevel="0" collapsed="false">
      <c r="A1232" s="10" t="s">
        <v>125</v>
      </c>
      <c r="B1232" s="10" t="s">
        <v>76</v>
      </c>
      <c r="C1232" s="10" t="s">
        <v>427</v>
      </c>
      <c r="D1232" s="10" t="s">
        <v>459</v>
      </c>
    </row>
    <row r="1233" customFormat="false" ht="23.85" hidden="false" customHeight="false" outlineLevel="0" collapsed="false">
      <c r="A1233" s="10" t="s">
        <v>125</v>
      </c>
      <c r="B1233" s="10" t="s">
        <v>76</v>
      </c>
      <c r="C1233" s="10" t="s">
        <v>427</v>
      </c>
      <c r="D1233" s="10" t="s">
        <v>804</v>
      </c>
    </row>
    <row r="1234" customFormat="false" ht="23.85" hidden="false" customHeight="false" outlineLevel="0" collapsed="false">
      <c r="A1234" s="10" t="s">
        <v>125</v>
      </c>
      <c r="B1234" s="10" t="s">
        <v>76</v>
      </c>
      <c r="C1234" s="10" t="s">
        <v>427</v>
      </c>
      <c r="D1234" s="10" t="s">
        <v>903</v>
      </c>
    </row>
    <row r="1235" customFormat="false" ht="23.85" hidden="false" customHeight="false" outlineLevel="0" collapsed="false">
      <c r="A1235" s="10" t="s">
        <v>125</v>
      </c>
      <c r="B1235" s="10" t="s">
        <v>76</v>
      </c>
      <c r="C1235" s="10" t="s">
        <v>427</v>
      </c>
      <c r="D1235" s="10" t="s">
        <v>1041</v>
      </c>
    </row>
    <row r="1236" customFormat="false" ht="46.25" hidden="false" customHeight="false" outlineLevel="0" collapsed="false">
      <c r="A1236" s="10" t="s">
        <v>125</v>
      </c>
      <c r="B1236" s="10" t="s">
        <v>90</v>
      </c>
      <c r="C1236" s="10" t="s">
        <v>427</v>
      </c>
      <c r="D1236" s="10" t="s">
        <v>910</v>
      </c>
    </row>
    <row r="1237" customFormat="false" ht="35.05" hidden="false" customHeight="false" outlineLevel="0" collapsed="false">
      <c r="A1237" s="10" t="s">
        <v>125</v>
      </c>
      <c r="B1237" s="10" t="s">
        <v>183</v>
      </c>
      <c r="C1237" s="10" t="s">
        <v>427</v>
      </c>
      <c r="D1237" s="10" t="s">
        <v>653</v>
      </c>
    </row>
    <row r="1238" customFormat="false" ht="15" hidden="false" customHeight="false" outlineLevel="0" collapsed="false">
      <c r="A1238" s="10" t="s">
        <v>125</v>
      </c>
      <c r="B1238" s="10" t="s">
        <v>259</v>
      </c>
      <c r="C1238" s="10" t="s">
        <v>427</v>
      </c>
      <c r="D1238" s="10" t="s">
        <v>977</v>
      </c>
    </row>
    <row r="1239" customFormat="false" ht="23.85" hidden="false" customHeight="false" outlineLevel="0" collapsed="false">
      <c r="A1239" s="10" t="s">
        <v>125</v>
      </c>
      <c r="B1239" s="10" t="s">
        <v>259</v>
      </c>
      <c r="C1239" s="10" t="s">
        <v>427</v>
      </c>
      <c r="D1239" s="10" t="s">
        <v>938</v>
      </c>
    </row>
    <row r="1240" customFormat="false" ht="23.85" hidden="false" customHeight="false" outlineLevel="0" collapsed="false">
      <c r="A1240" s="10" t="s">
        <v>125</v>
      </c>
      <c r="B1240" s="10" t="s">
        <v>259</v>
      </c>
      <c r="C1240" s="10" t="s">
        <v>427</v>
      </c>
      <c r="D1240" s="10" t="s">
        <v>1042</v>
      </c>
    </row>
    <row r="1241" customFormat="false" ht="15" hidden="false" customHeight="false" outlineLevel="0" collapsed="false">
      <c r="A1241" s="10" t="s">
        <v>125</v>
      </c>
      <c r="B1241" s="10" t="s">
        <v>259</v>
      </c>
      <c r="C1241" s="10" t="s">
        <v>427</v>
      </c>
      <c r="D1241" s="10" t="s">
        <v>939</v>
      </c>
    </row>
    <row r="1242" customFormat="false" ht="15" hidden="false" customHeight="false" outlineLevel="0" collapsed="false">
      <c r="A1242" s="10" t="s">
        <v>125</v>
      </c>
      <c r="B1242" s="10" t="s">
        <v>259</v>
      </c>
      <c r="C1242" s="10" t="s">
        <v>427</v>
      </c>
      <c r="D1242" s="10" t="s">
        <v>1043</v>
      </c>
    </row>
    <row r="1243" customFormat="false" ht="15" hidden="false" customHeight="false" outlineLevel="0" collapsed="false">
      <c r="A1243" s="10" t="s">
        <v>125</v>
      </c>
      <c r="B1243" s="10" t="s">
        <v>259</v>
      </c>
      <c r="C1243" s="10" t="s">
        <v>427</v>
      </c>
      <c r="D1243" s="10" t="s">
        <v>941</v>
      </c>
    </row>
    <row r="1244" customFormat="false" ht="23.85" hidden="false" customHeight="false" outlineLevel="0" collapsed="false">
      <c r="A1244" s="10" t="s">
        <v>125</v>
      </c>
      <c r="B1244" s="10" t="s">
        <v>259</v>
      </c>
      <c r="C1244" s="10" t="s">
        <v>427</v>
      </c>
      <c r="D1244" s="10" t="s">
        <v>979</v>
      </c>
    </row>
    <row r="1245" customFormat="false" ht="23.85" hidden="false" customHeight="false" outlineLevel="0" collapsed="false">
      <c r="A1245" s="10" t="s">
        <v>125</v>
      </c>
      <c r="B1245" s="10" t="s">
        <v>259</v>
      </c>
      <c r="C1245" s="10" t="s">
        <v>427</v>
      </c>
      <c r="D1245" s="10" t="s">
        <v>937</v>
      </c>
    </row>
    <row r="1246" customFormat="false" ht="15" hidden="false" customHeight="false" outlineLevel="0" collapsed="false">
      <c r="A1246" s="10" t="s">
        <v>125</v>
      </c>
      <c r="B1246" s="10" t="s">
        <v>259</v>
      </c>
      <c r="C1246" s="10" t="s">
        <v>427</v>
      </c>
      <c r="D1246" s="10" t="s">
        <v>1044</v>
      </c>
    </row>
    <row r="1247" customFormat="false" ht="15" hidden="false" customHeight="false" outlineLevel="0" collapsed="false">
      <c r="A1247" s="10" t="s">
        <v>125</v>
      </c>
      <c r="B1247" s="10" t="s">
        <v>133</v>
      </c>
      <c r="C1247" s="10" t="s">
        <v>427</v>
      </c>
      <c r="D1247" s="10" t="s">
        <v>1045</v>
      </c>
    </row>
    <row r="1248" customFormat="false" ht="15" hidden="false" customHeight="false" outlineLevel="0" collapsed="false">
      <c r="A1248" s="10" t="s">
        <v>125</v>
      </c>
      <c r="B1248" s="10" t="s">
        <v>133</v>
      </c>
      <c r="C1248" s="10" t="s">
        <v>427</v>
      </c>
      <c r="D1248" s="10" t="s">
        <v>1046</v>
      </c>
    </row>
    <row r="1249" customFormat="false" ht="15" hidden="false" customHeight="false" outlineLevel="0" collapsed="false">
      <c r="A1249" s="10" t="s">
        <v>125</v>
      </c>
      <c r="B1249" s="10" t="s">
        <v>133</v>
      </c>
      <c r="C1249" s="10" t="s">
        <v>427</v>
      </c>
      <c r="D1249" s="10" t="s">
        <v>1047</v>
      </c>
    </row>
    <row r="1250" customFormat="false" ht="15" hidden="false" customHeight="false" outlineLevel="0" collapsed="false">
      <c r="A1250" s="10" t="s">
        <v>125</v>
      </c>
      <c r="B1250" s="10" t="s">
        <v>133</v>
      </c>
      <c r="C1250" s="10" t="s">
        <v>427</v>
      </c>
      <c r="D1250" s="10" t="s">
        <v>942</v>
      </c>
    </row>
    <row r="1251" customFormat="false" ht="23.85" hidden="false" customHeight="false" outlineLevel="0" collapsed="false">
      <c r="A1251" s="10" t="s">
        <v>125</v>
      </c>
      <c r="B1251" s="10" t="s">
        <v>133</v>
      </c>
      <c r="C1251" s="10" t="s">
        <v>427</v>
      </c>
      <c r="D1251" s="10" t="s">
        <v>138</v>
      </c>
    </row>
    <row r="1252" customFormat="false" ht="46.25" hidden="false" customHeight="false" outlineLevel="0" collapsed="false">
      <c r="A1252" s="10" t="s">
        <v>125</v>
      </c>
      <c r="B1252" s="10" t="s">
        <v>133</v>
      </c>
      <c r="C1252" s="10" t="s">
        <v>427</v>
      </c>
      <c r="D1252" s="10" t="s">
        <v>1048</v>
      </c>
    </row>
    <row r="1253" customFormat="false" ht="23.85" hidden="false" customHeight="false" outlineLevel="0" collapsed="false">
      <c r="A1253" s="10" t="s">
        <v>125</v>
      </c>
      <c r="B1253" s="10" t="s">
        <v>133</v>
      </c>
      <c r="C1253" s="10" t="s">
        <v>427</v>
      </c>
      <c r="D1253" s="10" t="s">
        <v>1049</v>
      </c>
    </row>
    <row r="1254" customFormat="false" ht="35.05" hidden="false" customHeight="false" outlineLevel="0" collapsed="false">
      <c r="A1254" s="10" t="s">
        <v>125</v>
      </c>
      <c r="B1254" s="10" t="s">
        <v>133</v>
      </c>
      <c r="C1254" s="10" t="s">
        <v>427</v>
      </c>
      <c r="D1254" s="10" t="s">
        <v>1050</v>
      </c>
    </row>
    <row r="1255" customFormat="false" ht="35.05" hidden="false" customHeight="false" outlineLevel="0" collapsed="false">
      <c r="A1255" s="10" t="s">
        <v>125</v>
      </c>
      <c r="B1255" s="10" t="s">
        <v>133</v>
      </c>
      <c r="C1255" s="10" t="s">
        <v>427</v>
      </c>
      <c r="D1255" s="10" t="s">
        <v>1051</v>
      </c>
    </row>
    <row r="1256" customFormat="false" ht="23.85" hidden="false" customHeight="false" outlineLevel="0" collapsed="false">
      <c r="A1256" s="10" t="s">
        <v>125</v>
      </c>
      <c r="B1256" s="10" t="s">
        <v>133</v>
      </c>
      <c r="C1256" s="10" t="s">
        <v>427</v>
      </c>
      <c r="D1256" s="10" t="s">
        <v>1052</v>
      </c>
    </row>
    <row r="1257" customFormat="false" ht="23.85" hidden="false" customHeight="false" outlineLevel="0" collapsed="false">
      <c r="A1257" s="10" t="s">
        <v>125</v>
      </c>
      <c r="B1257" s="10" t="s">
        <v>150</v>
      </c>
      <c r="C1257" s="10" t="s">
        <v>427</v>
      </c>
      <c r="D1257" s="10" t="s">
        <v>239</v>
      </c>
    </row>
    <row r="1258" customFormat="false" ht="23.85" hidden="false" customHeight="false" outlineLevel="0" collapsed="false">
      <c r="A1258" s="10" t="s">
        <v>125</v>
      </c>
      <c r="B1258" s="10" t="s">
        <v>150</v>
      </c>
      <c r="C1258" s="10" t="s">
        <v>427</v>
      </c>
      <c r="D1258" s="10" t="s">
        <v>1053</v>
      </c>
    </row>
    <row r="1259" customFormat="false" ht="46.25" hidden="false" customHeight="false" outlineLevel="0" collapsed="false">
      <c r="A1259" s="10" t="s">
        <v>125</v>
      </c>
      <c r="B1259" s="10" t="s">
        <v>150</v>
      </c>
      <c r="C1259" s="10" t="s">
        <v>427</v>
      </c>
      <c r="D1259" s="10" t="s">
        <v>1054</v>
      </c>
    </row>
    <row r="1260" customFormat="false" ht="35.05" hidden="false" customHeight="false" outlineLevel="0" collapsed="false">
      <c r="A1260" s="10" t="s">
        <v>125</v>
      </c>
      <c r="B1260" s="10" t="s">
        <v>150</v>
      </c>
      <c r="C1260" s="10" t="s">
        <v>427</v>
      </c>
      <c r="D1260" s="10" t="s">
        <v>570</v>
      </c>
    </row>
    <row r="1261" customFormat="false" ht="35.05" hidden="false" customHeight="false" outlineLevel="0" collapsed="false">
      <c r="A1261" s="10" t="s">
        <v>125</v>
      </c>
      <c r="B1261" s="10" t="s">
        <v>150</v>
      </c>
      <c r="C1261" s="10" t="s">
        <v>427</v>
      </c>
      <c r="D1261" s="10" t="s">
        <v>1055</v>
      </c>
    </row>
    <row r="1262" customFormat="false" ht="35.05" hidden="false" customHeight="false" outlineLevel="0" collapsed="false">
      <c r="A1262" s="10" t="s">
        <v>125</v>
      </c>
      <c r="B1262" s="10" t="s">
        <v>150</v>
      </c>
      <c r="C1262" s="10" t="s">
        <v>427</v>
      </c>
      <c r="D1262" s="10" t="s">
        <v>988</v>
      </c>
    </row>
    <row r="1263" customFormat="false" ht="35.05" hidden="false" customHeight="false" outlineLevel="0" collapsed="false">
      <c r="A1263" s="10" t="s">
        <v>125</v>
      </c>
      <c r="B1263" s="10" t="s">
        <v>116</v>
      </c>
      <c r="C1263" s="10" t="s">
        <v>427</v>
      </c>
      <c r="D1263" s="10" t="s">
        <v>127</v>
      </c>
    </row>
    <row r="1264" customFormat="false" ht="23.85" hidden="false" customHeight="false" outlineLevel="0" collapsed="false">
      <c r="A1264" s="10" t="s">
        <v>336</v>
      </c>
      <c r="B1264" s="10" t="s">
        <v>183</v>
      </c>
      <c r="C1264" s="10" t="s">
        <v>427</v>
      </c>
      <c r="D1264" s="10" t="s">
        <v>650</v>
      </c>
    </row>
    <row r="1265" customFormat="false" ht="15" hidden="false" customHeight="false" outlineLevel="0" collapsed="false">
      <c r="A1265" s="10" t="s">
        <v>336</v>
      </c>
      <c r="B1265" s="10" t="s">
        <v>183</v>
      </c>
      <c r="C1265" s="10" t="s">
        <v>427</v>
      </c>
      <c r="D1265" s="10" t="s">
        <v>651</v>
      </c>
    </row>
    <row r="1266" customFormat="false" ht="15" hidden="false" customHeight="false" outlineLevel="0" collapsed="false">
      <c r="A1266" s="10" t="s">
        <v>336</v>
      </c>
      <c r="B1266" s="10" t="s">
        <v>183</v>
      </c>
      <c r="C1266" s="10" t="s">
        <v>427</v>
      </c>
      <c r="D1266" s="10" t="s">
        <v>1056</v>
      </c>
    </row>
    <row r="1267" customFormat="false" ht="35.05" hidden="false" customHeight="false" outlineLevel="0" collapsed="false">
      <c r="A1267" s="10" t="s">
        <v>336</v>
      </c>
      <c r="B1267" s="10" t="s">
        <v>183</v>
      </c>
      <c r="C1267" s="10" t="s">
        <v>427</v>
      </c>
      <c r="D1267" s="10" t="s">
        <v>653</v>
      </c>
    </row>
    <row r="1268" customFormat="false" ht="46.25" hidden="false" customHeight="false" outlineLevel="0" collapsed="false">
      <c r="A1268" s="10" t="s">
        <v>336</v>
      </c>
      <c r="B1268" s="10" t="s">
        <v>183</v>
      </c>
      <c r="C1268" s="10" t="s">
        <v>427</v>
      </c>
      <c r="D1268" s="10" t="s">
        <v>654</v>
      </c>
    </row>
    <row r="1269" customFormat="false" ht="23.85" hidden="false" customHeight="false" outlineLevel="0" collapsed="false">
      <c r="A1269" s="10" t="s">
        <v>336</v>
      </c>
      <c r="B1269" s="10" t="s">
        <v>183</v>
      </c>
      <c r="C1269" s="10" t="s">
        <v>427</v>
      </c>
      <c r="D1269" s="10" t="s">
        <v>652</v>
      </c>
    </row>
    <row r="1270" customFormat="false" ht="23.85" hidden="false" customHeight="false" outlineLevel="0" collapsed="false">
      <c r="A1270" s="10" t="s">
        <v>336</v>
      </c>
      <c r="B1270" s="10" t="s">
        <v>116</v>
      </c>
      <c r="C1270" s="10" t="s">
        <v>427</v>
      </c>
      <c r="D1270" s="10" t="s">
        <v>326</v>
      </c>
    </row>
    <row r="1271" customFormat="false" ht="35.05" hidden="false" customHeight="false" outlineLevel="0" collapsed="false">
      <c r="A1271" s="10" t="s">
        <v>336</v>
      </c>
      <c r="B1271" s="10" t="s">
        <v>86</v>
      </c>
      <c r="C1271" s="10" t="s">
        <v>427</v>
      </c>
      <c r="D1271" s="10" t="s">
        <v>178</v>
      </c>
    </row>
    <row r="1272" customFormat="false" ht="23.85" hidden="false" customHeight="false" outlineLevel="0" collapsed="false">
      <c r="A1272" s="10" t="s">
        <v>336</v>
      </c>
      <c r="B1272" s="10" t="s">
        <v>86</v>
      </c>
      <c r="C1272" s="10" t="s">
        <v>469</v>
      </c>
      <c r="D1272" s="10" t="s">
        <v>470</v>
      </c>
    </row>
    <row r="1273" customFormat="false" ht="46.25" hidden="false" customHeight="false" outlineLevel="0" collapsed="false">
      <c r="A1273" s="10" t="s">
        <v>407</v>
      </c>
      <c r="B1273" s="10" t="s">
        <v>183</v>
      </c>
      <c r="C1273" s="10" t="s">
        <v>427</v>
      </c>
      <c r="D1273" s="10" t="s">
        <v>657</v>
      </c>
    </row>
    <row r="1274" customFormat="false" ht="68.65" hidden="false" customHeight="false" outlineLevel="0" collapsed="false">
      <c r="A1274" s="10" t="s">
        <v>407</v>
      </c>
      <c r="B1274" s="10" t="s">
        <v>183</v>
      </c>
      <c r="C1274" s="10" t="s">
        <v>427</v>
      </c>
      <c r="D1274" s="10" t="s">
        <v>184</v>
      </c>
    </row>
    <row r="1275" customFormat="false" ht="23.85" hidden="false" customHeight="false" outlineLevel="0" collapsed="false">
      <c r="A1275" s="10" t="s">
        <v>407</v>
      </c>
      <c r="B1275" s="10" t="s">
        <v>183</v>
      </c>
      <c r="C1275" s="10" t="s">
        <v>427</v>
      </c>
      <c r="D1275" s="10" t="s">
        <v>196</v>
      </c>
    </row>
    <row r="1276" customFormat="false" ht="23.85" hidden="false" customHeight="false" outlineLevel="0" collapsed="false">
      <c r="A1276" s="10" t="s">
        <v>407</v>
      </c>
      <c r="B1276" s="10" t="s">
        <v>183</v>
      </c>
      <c r="C1276" s="10" t="s">
        <v>427</v>
      </c>
      <c r="D1276" s="10" t="s">
        <v>1057</v>
      </c>
    </row>
    <row r="1277" customFormat="false" ht="57.45" hidden="false" customHeight="false" outlineLevel="0" collapsed="false">
      <c r="A1277" s="10" t="s">
        <v>407</v>
      </c>
      <c r="B1277" s="10" t="s">
        <v>183</v>
      </c>
      <c r="C1277" s="10" t="s">
        <v>427</v>
      </c>
      <c r="D1277" s="10" t="s">
        <v>409</v>
      </c>
    </row>
    <row r="1278" customFormat="false" ht="15" hidden="false" customHeight="false" outlineLevel="0" collapsed="false">
      <c r="A1278" s="10" t="s">
        <v>128</v>
      </c>
      <c r="B1278" s="10" t="s">
        <v>90</v>
      </c>
      <c r="C1278" s="10" t="s">
        <v>427</v>
      </c>
      <c r="D1278" s="10" t="s">
        <v>1058</v>
      </c>
    </row>
    <row r="1279" customFormat="false" ht="57.45" hidden="false" customHeight="false" outlineLevel="0" collapsed="false">
      <c r="A1279" s="10" t="s">
        <v>128</v>
      </c>
      <c r="B1279" s="10" t="s">
        <v>90</v>
      </c>
      <c r="C1279" s="10" t="s">
        <v>427</v>
      </c>
      <c r="D1279" s="10" t="s">
        <v>506</v>
      </c>
    </row>
    <row r="1280" customFormat="false" ht="57.45" hidden="false" customHeight="false" outlineLevel="0" collapsed="false">
      <c r="A1280" s="10" t="s">
        <v>128</v>
      </c>
      <c r="B1280" s="10" t="s">
        <v>90</v>
      </c>
      <c r="C1280" s="10" t="s">
        <v>427</v>
      </c>
      <c r="D1280" s="10" t="s">
        <v>1059</v>
      </c>
    </row>
    <row r="1281" customFormat="false" ht="91" hidden="false" customHeight="false" outlineLevel="0" collapsed="false">
      <c r="A1281" s="10" t="s">
        <v>128</v>
      </c>
      <c r="B1281" s="10" t="s">
        <v>90</v>
      </c>
      <c r="C1281" s="10" t="s">
        <v>427</v>
      </c>
      <c r="D1281" s="10" t="s">
        <v>508</v>
      </c>
    </row>
    <row r="1282" customFormat="false" ht="35.05" hidden="false" customHeight="false" outlineLevel="0" collapsed="false">
      <c r="A1282" s="10" t="s">
        <v>128</v>
      </c>
      <c r="B1282" s="10" t="s">
        <v>183</v>
      </c>
      <c r="C1282" s="10" t="s">
        <v>427</v>
      </c>
      <c r="D1282" s="10" t="s">
        <v>653</v>
      </c>
    </row>
    <row r="1283" customFormat="false" ht="23.85" hidden="false" customHeight="false" outlineLevel="0" collapsed="false">
      <c r="A1283" s="10" t="s">
        <v>128</v>
      </c>
      <c r="B1283" s="10" t="s">
        <v>259</v>
      </c>
      <c r="C1283" s="10" t="s">
        <v>427</v>
      </c>
      <c r="D1283" s="10" t="s">
        <v>938</v>
      </c>
    </row>
    <row r="1284" customFormat="false" ht="23.85" hidden="false" customHeight="false" outlineLevel="0" collapsed="false">
      <c r="A1284" s="10" t="s">
        <v>128</v>
      </c>
      <c r="B1284" s="10" t="s">
        <v>133</v>
      </c>
      <c r="C1284" s="10" t="s">
        <v>427</v>
      </c>
      <c r="D1284" s="10" t="s">
        <v>138</v>
      </c>
    </row>
    <row r="1285" customFormat="false" ht="23.85" hidden="false" customHeight="false" outlineLevel="0" collapsed="false">
      <c r="A1285" s="10" t="s">
        <v>128</v>
      </c>
      <c r="B1285" s="10" t="s">
        <v>133</v>
      </c>
      <c r="C1285" s="10" t="s">
        <v>427</v>
      </c>
      <c r="D1285" s="10" t="s">
        <v>1052</v>
      </c>
    </row>
    <row r="1286" customFormat="false" ht="15" hidden="false" customHeight="false" outlineLevel="0" collapsed="false">
      <c r="A1286" s="10" t="s">
        <v>128</v>
      </c>
      <c r="B1286" s="10" t="s">
        <v>150</v>
      </c>
      <c r="C1286" s="10" t="s">
        <v>427</v>
      </c>
      <c r="D1286" s="10" t="s">
        <v>1060</v>
      </c>
    </row>
    <row r="1287" customFormat="false" ht="23.85" hidden="false" customHeight="false" outlineLevel="0" collapsed="false">
      <c r="A1287" s="10" t="s">
        <v>128</v>
      </c>
      <c r="B1287" s="10" t="s">
        <v>150</v>
      </c>
      <c r="C1287" s="10" t="s">
        <v>427</v>
      </c>
      <c r="D1287" s="10" t="s">
        <v>1061</v>
      </c>
    </row>
    <row r="1288" customFormat="false" ht="23.85" hidden="false" customHeight="false" outlineLevel="0" collapsed="false">
      <c r="A1288" s="10" t="s">
        <v>128</v>
      </c>
      <c r="B1288" s="10" t="s">
        <v>134</v>
      </c>
      <c r="C1288" s="10" t="s">
        <v>427</v>
      </c>
      <c r="D1288" s="10" t="s">
        <v>135</v>
      </c>
    </row>
    <row r="1289" customFormat="false" ht="23.85" hidden="false" customHeight="false" outlineLevel="0" collapsed="false">
      <c r="A1289" s="10" t="s">
        <v>128</v>
      </c>
      <c r="B1289" s="10" t="s">
        <v>86</v>
      </c>
      <c r="C1289" s="10" t="s">
        <v>500</v>
      </c>
      <c r="D1289" s="10" t="s">
        <v>501</v>
      </c>
    </row>
    <row r="1290" customFormat="false" ht="35.05" hidden="false" customHeight="false" outlineLevel="0" collapsed="false">
      <c r="A1290" s="10" t="s">
        <v>128</v>
      </c>
      <c r="B1290" s="10" t="s">
        <v>58</v>
      </c>
      <c r="C1290" s="10" t="s">
        <v>427</v>
      </c>
      <c r="D1290" s="10" t="s">
        <v>798</v>
      </c>
    </row>
    <row r="1291" customFormat="false" ht="23.85" hidden="false" customHeight="false" outlineLevel="0" collapsed="false">
      <c r="A1291" s="10" t="s">
        <v>128</v>
      </c>
      <c r="B1291" s="10" t="s">
        <v>58</v>
      </c>
      <c r="C1291" s="10" t="s">
        <v>427</v>
      </c>
      <c r="D1291" s="10" t="s">
        <v>950</v>
      </c>
    </row>
    <row r="1292" customFormat="false" ht="23.85" hidden="false" customHeight="false" outlineLevel="0" collapsed="false">
      <c r="A1292" s="10" t="s">
        <v>128</v>
      </c>
      <c r="B1292" s="10" t="s">
        <v>58</v>
      </c>
      <c r="C1292" s="10" t="s">
        <v>427</v>
      </c>
      <c r="D1292" s="10" t="s">
        <v>124</v>
      </c>
    </row>
    <row r="1293" customFormat="false" ht="23.85" hidden="false" customHeight="false" outlineLevel="0" collapsed="false">
      <c r="A1293" s="10" t="s">
        <v>128</v>
      </c>
      <c r="B1293" s="10" t="s">
        <v>58</v>
      </c>
      <c r="C1293" s="10" t="s">
        <v>427</v>
      </c>
      <c r="D1293" s="10" t="s">
        <v>130</v>
      </c>
    </row>
    <row r="1294" customFormat="false" ht="23.85" hidden="false" customHeight="false" outlineLevel="0" collapsed="false">
      <c r="A1294" s="10" t="s">
        <v>281</v>
      </c>
      <c r="B1294" s="10" t="s">
        <v>259</v>
      </c>
      <c r="C1294" s="10" t="s">
        <v>427</v>
      </c>
      <c r="D1294" s="10" t="s">
        <v>275</v>
      </c>
    </row>
    <row r="1295" customFormat="false" ht="23.85" hidden="false" customHeight="false" outlineLevel="0" collapsed="false">
      <c r="A1295" s="10" t="s">
        <v>281</v>
      </c>
      <c r="B1295" s="10" t="s">
        <v>150</v>
      </c>
      <c r="C1295" s="10" t="s">
        <v>427</v>
      </c>
      <c r="D1295" s="10" t="s">
        <v>283</v>
      </c>
    </row>
    <row r="1296" customFormat="false" ht="15" hidden="false" customHeight="false" outlineLevel="0" collapsed="false">
      <c r="A1296" s="10" t="s">
        <v>281</v>
      </c>
      <c r="B1296" s="10" t="s">
        <v>71</v>
      </c>
      <c r="C1296" s="10" t="s">
        <v>427</v>
      </c>
      <c r="D1296" s="10" t="s">
        <v>1062</v>
      </c>
    </row>
    <row r="1297" customFormat="false" ht="57.45" hidden="false" customHeight="false" outlineLevel="0" collapsed="false">
      <c r="A1297" s="10" t="s">
        <v>367</v>
      </c>
      <c r="B1297" s="10" t="s">
        <v>83</v>
      </c>
      <c r="C1297" s="10" t="s">
        <v>427</v>
      </c>
      <c r="D1297" s="10" t="s">
        <v>696</v>
      </c>
    </row>
    <row r="1298" customFormat="false" ht="35.05" hidden="false" customHeight="false" outlineLevel="0" collapsed="false">
      <c r="A1298" s="10" t="s">
        <v>367</v>
      </c>
      <c r="B1298" s="10" t="s">
        <v>183</v>
      </c>
      <c r="C1298" s="10" t="s">
        <v>427</v>
      </c>
      <c r="D1298" s="10" t="s">
        <v>1063</v>
      </c>
    </row>
    <row r="1299" customFormat="false" ht="23.85" hidden="false" customHeight="false" outlineLevel="0" collapsed="false">
      <c r="A1299" s="10" t="s">
        <v>367</v>
      </c>
      <c r="B1299" s="10" t="s">
        <v>116</v>
      </c>
      <c r="C1299" s="10" t="s">
        <v>427</v>
      </c>
      <c r="D1299" s="10" t="s">
        <v>369</v>
      </c>
    </row>
    <row r="1300" customFormat="false" ht="15" hidden="false" customHeight="false" outlineLevel="0" collapsed="false">
      <c r="A1300" s="10" t="s">
        <v>367</v>
      </c>
      <c r="B1300" s="10" t="s">
        <v>71</v>
      </c>
      <c r="C1300" s="10" t="s">
        <v>427</v>
      </c>
      <c r="D1300" s="10" t="s">
        <v>1064</v>
      </c>
    </row>
    <row r="1301" customFormat="false" ht="23.85" hidden="false" customHeight="false" outlineLevel="0" collapsed="false">
      <c r="A1301" s="10" t="s">
        <v>240</v>
      </c>
      <c r="B1301" s="10" t="s">
        <v>76</v>
      </c>
      <c r="C1301" s="10" t="s">
        <v>427</v>
      </c>
      <c r="D1301" s="10" t="s">
        <v>649</v>
      </c>
    </row>
    <row r="1302" customFormat="false" ht="46.25" hidden="false" customHeight="false" outlineLevel="0" collapsed="false">
      <c r="A1302" s="10" t="s">
        <v>240</v>
      </c>
      <c r="B1302" s="10" t="s">
        <v>76</v>
      </c>
      <c r="C1302" s="10" t="s">
        <v>427</v>
      </c>
      <c r="D1302" s="10" t="s">
        <v>498</v>
      </c>
    </row>
    <row r="1303" customFormat="false" ht="23.85" hidden="false" customHeight="false" outlineLevel="0" collapsed="false">
      <c r="A1303" s="10" t="s">
        <v>240</v>
      </c>
      <c r="B1303" s="10" t="s">
        <v>76</v>
      </c>
      <c r="C1303" s="10" t="s">
        <v>427</v>
      </c>
      <c r="D1303" s="10" t="s">
        <v>578</v>
      </c>
    </row>
    <row r="1304" customFormat="false" ht="23.85" hidden="false" customHeight="false" outlineLevel="0" collapsed="false">
      <c r="A1304" s="10" t="s">
        <v>240</v>
      </c>
      <c r="B1304" s="10" t="s">
        <v>76</v>
      </c>
      <c r="C1304" s="10" t="s">
        <v>427</v>
      </c>
      <c r="D1304" s="10" t="s">
        <v>543</v>
      </c>
    </row>
    <row r="1305" customFormat="false" ht="35.05" hidden="false" customHeight="false" outlineLevel="0" collapsed="false">
      <c r="A1305" s="10" t="s">
        <v>240</v>
      </c>
      <c r="B1305" s="10" t="s">
        <v>76</v>
      </c>
      <c r="C1305" s="10" t="s">
        <v>427</v>
      </c>
      <c r="D1305" s="10" t="s">
        <v>550</v>
      </c>
    </row>
    <row r="1306" customFormat="false" ht="23.85" hidden="false" customHeight="false" outlineLevel="0" collapsed="false">
      <c r="A1306" s="10" t="s">
        <v>240</v>
      </c>
      <c r="B1306" s="10" t="s">
        <v>76</v>
      </c>
      <c r="C1306" s="10" t="s">
        <v>427</v>
      </c>
      <c r="D1306" s="10" t="s">
        <v>552</v>
      </c>
    </row>
    <row r="1307" customFormat="false" ht="23.85" hidden="false" customHeight="false" outlineLevel="0" collapsed="false">
      <c r="A1307" s="10" t="s">
        <v>240</v>
      </c>
      <c r="B1307" s="10" t="s">
        <v>76</v>
      </c>
      <c r="C1307" s="10" t="s">
        <v>427</v>
      </c>
      <c r="D1307" s="10" t="s">
        <v>553</v>
      </c>
    </row>
    <row r="1308" customFormat="false" ht="15" hidden="false" customHeight="false" outlineLevel="0" collapsed="false">
      <c r="A1308" s="10" t="s">
        <v>240</v>
      </c>
      <c r="B1308" s="10" t="s">
        <v>76</v>
      </c>
      <c r="C1308" s="10" t="s">
        <v>427</v>
      </c>
      <c r="D1308" s="10" t="s">
        <v>1065</v>
      </c>
    </row>
    <row r="1309" customFormat="false" ht="15" hidden="false" customHeight="false" outlineLevel="0" collapsed="false">
      <c r="A1309" s="10" t="s">
        <v>240</v>
      </c>
      <c r="B1309" s="10" t="s">
        <v>83</v>
      </c>
      <c r="C1309" s="10" t="s">
        <v>427</v>
      </c>
      <c r="D1309" s="10" t="s">
        <v>1066</v>
      </c>
    </row>
    <row r="1310" customFormat="false" ht="15" hidden="false" customHeight="false" outlineLevel="0" collapsed="false">
      <c r="A1310" s="10" t="s">
        <v>240</v>
      </c>
      <c r="B1310" s="10" t="s">
        <v>83</v>
      </c>
      <c r="C1310" s="10" t="s">
        <v>427</v>
      </c>
      <c r="D1310" s="10" t="s">
        <v>1067</v>
      </c>
    </row>
    <row r="1311" customFormat="false" ht="23.85" hidden="false" customHeight="false" outlineLevel="0" collapsed="false">
      <c r="A1311" s="10" t="s">
        <v>240</v>
      </c>
      <c r="B1311" s="10" t="s">
        <v>83</v>
      </c>
      <c r="C1311" s="10" t="s">
        <v>427</v>
      </c>
      <c r="D1311" s="10" t="s">
        <v>1068</v>
      </c>
    </row>
    <row r="1312" customFormat="false" ht="23.85" hidden="false" customHeight="false" outlineLevel="0" collapsed="false">
      <c r="A1312" s="10" t="s">
        <v>240</v>
      </c>
      <c r="B1312" s="10" t="s">
        <v>83</v>
      </c>
      <c r="C1312" s="10" t="s">
        <v>427</v>
      </c>
      <c r="D1312" s="10" t="s">
        <v>245</v>
      </c>
    </row>
    <row r="1313" customFormat="false" ht="15" hidden="false" customHeight="false" outlineLevel="0" collapsed="false">
      <c r="A1313" s="10" t="s">
        <v>240</v>
      </c>
      <c r="B1313" s="10" t="s">
        <v>83</v>
      </c>
      <c r="C1313" s="10" t="s">
        <v>427</v>
      </c>
      <c r="D1313" s="10" t="s">
        <v>579</v>
      </c>
    </row>
    <row r="1314" customFormat="false" ht="23.85" hidden="false" customHeight="false" outlineLevel="0" collapsed="false">
      <c r="A1314" s="10" t="s">
        <v>240</v>
      </c>
      <c r="B1314" s="10" t="s">
        <v>183</v>
      </c>
      <c r="C1314" s="10" t="s">
        <v>427</v>
      </c>
      <c r="D1314" s="10" t="s">
        <v>233</v>
      </c>
    </row>
    <row r="1315" customFormat="false" ht="35.05" hidden="false" customHeight="false" outlineLevel="0" collapsed="false">
      <c r="A1315" s="10" t="s">
        <v>240</v>
      </c>
      <c r="B1315" s="10" t="s">
        <v>71</v>
      </c>
      <c r="C1315" s="10" t="s">
        <v>427</v>
      </c>
      <c r="D1315" s="10" t="s">
        <v>94</v>
      </c>
    </row>
    <row r="1316" customFormat="false" ht="23.85" hidden="false" customHeight="false" outlineLevel="0" collapsed="false">
      <c r="A1316" s="10" t="s">
        <v>240</v>
      </c>
      <c r="B1316" s="10" t="s">
        <v>71</v>
      </c>
      <c r="C1316" s="10" t="s">
        <v>427</v>
      </c>
      <c r="D1316" s="10" t="s">
        <v>992</v>
      </c>
    </row>
    <row r="1317" customFormat="false" ht="79.85" hidden="false" customHeight="false" outlineLevel="0" collapsed="false">
      <c r="A1317" s="10" t="s">
        <v>240</v>
      </c>
      <c r="B1317" s="10" t="s">
        <v>71</v>
      </c>
      <c r="C1317" s="10" t="s">
        <v>427</v>
      </c>
      <c r="D1317" s="10" t="s">
        <v>77</v>
      </c>
    </row>
    <row r="1318" customFormat="false" ht="15" hidden="false" customHeight="false" outlineLevel="0" collapsed="false">
      <c r="A1318" s="10" t="s">
        <v>131</v>
      </c>
      <c r="B1318" s="10" t="s">
        <v>133</v>
      </c>
      <c r="C1318" s="10" t="s">
        <v>427</v>
      </c>
      <c r="D1318" s="10" t="s">
        <v>942</v>
      </c>
    </row>
    <row r="1319" customFormat="false" ht="23.85" hidden="false" customHeight="false" outlineLevel="0" collapsed="false">
      <c r="A1319" s="10" t="s">
        <v>131</v>
      </c>
      <c r="B1319" s="10" t="s">
        <v>133</v>
      </c>
      <c r="C1319" s="10" t="s">
        <v>427</v>
      </c>
      <c r="D1319" s="10" t="s">
        <v>1069</v>
      </c>
    </row>
    <row r="1320" customFormat="false" ht="23.85" hidden="false" customHeight="false" outlineLevel="0" collapsed="false">
      <c r="A1320" s="10" t="s">
        <v>131</v>
      </c>
      <c r="B1320" s="10" t="s">
        <v>134</v>
      </c>
      <c r="C1320" s="10" t="s">
        <v>427</v>
      </c>
      <c r="D1320" s="10" t="s">
        <v>135</v>
      </c>
    </row>
    <row r="1321" customFormat="false" ht="15" hidden="false" customHeight="false" outlineLevel="0" collapsed="false">
      <c r="A1321" s="10" t="s">
        <v>307</v>
      </c>
      <c r="B1321" s="10" t="s">
        <v>183</v>
      </c>
      <c r="C1321" s="10" t="s">
        <v>427</v>
      </c>
      <c r="D1321" s="10" t="s">
        <v>783</v>
      </c>
    </row>
    <row r="1322" customFormat="false" ht="15" hidden="false" customHeight="false" outlineLevel="0" collapsed="false">
      <c r="A1322" s="10" t="s">
        <v>307</v>
      </c>
      <c r="B1322" s="10" t="s">
        <v>183</v>
      </c>
      <c r="C1322" s="10" t="s">
        <v>427</v>
      </c>
      <c r="D1322" s="10" t="s">
        <v>1070</v>
      </c>
    </row>
    <row r="1323" customFormat="false" ht="15" hidden="false" customHeight="false" outlineLevel="0" collapsed="false">
      <c r="A1323" s="10" t="s">
        <v>307</v>
      </c>
      <c r="B1323" s="10" t="s">
        <v>183</v>
      </c>
      <c r="C1323" s="10" t="s">
        <v>427</v>
      </c>
      <c r="D1323" s="10" t="s">
        <v>1071</v>
      </c>
    </row>
    <row r="1324" customFormat="false" ht="15" hidden="false" customHeight="false" outlineLevel="0" collapsed="false">
      <c r="A1324" s="10" t="s">
        <v>307</v>
      </c>
      <c r="B1324" s="10" t="s">
        <v>183</v>
      </c>
      <c r="C1324" s="10" t="s">
        <v>427</v>
      </c>
      <c r="D1324" s="10" t="s">
        <v>784</v>
      </c>
    </row>
    <row r="1325" customFormat="false" ht="23.85" hidden="false" customHeight="false" outlineLevel="0" collapsed="false">
      <c r="A1325" s="10" t="s">
        <v>307</v>
      </c>
      <c r="B1325" s="10" t="s">
        <v>116</v>
      </c>
      <c r="C1325" s="10" t="s">
        <v>427</v>
      </c>
      <c r="D1325" s="10" t="s">
        <v>292</v>
      </c>
    </row>
    <row r="1326" customFormat="false" ht="15" hidden="false" customHeight="false" outlineLevel="0" collapsed="false">
      <c r="A1326" s="10" t="s">
        <v>307</v>
      </c>
      <c r="B1326" s="10" t="s">
        <v>134</v>
      </c>
      <c r="C1326" s="10" t="s">
        <v>427</v>
      </c>
      <c r="D1326" s="10" t="s">
        <v>589</v>
      </c>
    </row>
    <row r="1327" customFormat="false" ht="23.85" hidden="false" customHeight="false" outlineLevel="0" collapsed="false">
      <c r="A1327" s="10" t="s">
        <v>221</v>
      </c>
      <c r="B1327" s="10" t="s">
        <v>90</v>
      </c>
      <c r="C1327" s="10" t="s">
        <v>427</v>
      </c>
      <c r="D1327" s="10" t="s">
        <v>486</v>
      </c>
    </row>
    <row r="1328" customFormat="false" ht="46.25" hidden="false" customHeight="false" outlineLevel="0" collapsed="false">
      <c r="A1328" s="10" t="s">
        <v>221</v>
      </c>
      <c r="B1328" s="10" t="s">
        <v>90</v>
      </c>
      <c r="C1328" s="10" t="s">
        <v>427</v>
      </c>
      <c r="D1328" s="10" t="s">
        <v>487</v>
      </c>
    </row>
    <row r="1329" customFormat="false" ht="35.05" hidden="false" customHeight="false" outlineLevel="0" collapsed="false">
      <c r="A1329" s="10" t="s">
        <v>221</v>
      </c>
      <c r="B1329" s="10" t="s">
        <v>147</v>
      </c>
      <c r="C1329" s="10" t="s">
        <v>427</v>
      </c>
      <c r="D1329" s="10" t="s">
        <v>217</v>
      </c>
    </row>
    <row r="1330" customFormat="false" ht="46.25" hidden="false" customHeight="false" outlineLevel="0" collapsed="false">
      <c r="A1330" s="10" t="s">
        <v>221</v>
      </c>
      <c r="B1330" s="10" t="s">
        <v>147</v>
      </c>
      <c r="C1330" s="10" t="s">
        <v>427</v>
      </c>
      <c r="D1330" s="10" t="s">
        <v>522</v>
      </c>
    </row>
    <row r="1331" customFormat="false" ht="23.85" hidden="false" customHeight="false" outlineLevel="0" collapsed="false">
      <c r="A1331" s="10" t="s">
        <v>221</v>
      </c>
      <c r="B1331" s="10" t="s">
        <v>147</v>
      </c>
      <c r="C1331" s="10" t="s">
        <v>427</v>
      </c>
      <c r="D1331" s="10" t="s">
        <v>523</v>
      </c>
    </row>
    <row r="1332" customFormat="false" ht="35.05" hidden="false" customHeight="false" outlineLevel="0" collapsed="false">
      <c r="A1332" s="10" t="s">
        <v>221</v>
      </c>
      <c r="B1332" s="10" t="s">
        <v>147</v>
      </c>
      <c r="C1332" s="10" t="s">
        <v>427</v>
      </c>
      <c r="D1332" s="10" t="s">
        <v>524</v>
      </c>
    </row>
    <row r="1333" customFormat="false" ht="35.05" hidden="false" customHeight="false" outlineLevel="0" collapsed="false">
      <c r="A1333" s="10" t="s">
        <v>221</v>
      </c>
      <c r="B1333" s="10" t="s">
        <v>147</v>
      </c>
      <c r="C1333" s="10" t="s">
        <v>427</v>
      </c>
      <c r="D1333" s="10" t="s">
        <v>1072</v>
      </c>
    </row>
    <row r="1334" customFormat="false" ht="35.05" hidden="false" customHeight="false" outlineLevel="0" collapsed="false">
      <c r="A1334" s="10" t="s">
        <v>221</v>
      </c>
      <c r="B1334" s="10" t="s">
        <v>133</v>
      </c>
      <c r="C1334" s="10" t="s">
        <v>427</v>
      </c>
      <c r="D1334" s="10" t="s">
        <v>464</v>
      </c>
    </row>
    <row r="1335" customFormat="false" ht="46.25" hidden="false" customHeight="false" outlineLevel="0" collapsed="false">
      <c r="A1335" s="10" t="s">
        <v>221</v>
      </c>
      <c r="B1335" s="10" t="s">
        <v>133</v>
      </c>
      <c r="C1335" s="10" t="s">
        <v>427</v>
      </c>
      <c r="D1335" s="10" t="s">
        <v>223</v>
      </c>
    </row>
    <row r="1336" customFormat="false" ht="35.05" hidden="false" customHeight="false" outlineLevel="0" collapsed="false">
      <c r="A1336" s="10" t="s">
        <v>224</v>
      </c>
      <c r="B1336" s="10" t="s">
        <v>90</v>
      </c>
      <c r="C1336" s="10" t="s">
        <v>427</v>
      </c>
      <c r="D1336" s="10" t="s">
        <v>582</v>
      </c>
    </row>
    <row r="1337" customFormat="false" ht="35.05" hidden="false" customHeight="false" outlineLevel="0" collapsed="false">
      <c r="A1337" s="10" t="s">
        <v>224</v>
      </c>
      <c r="B1337" s="10" t="s">
        <v>147</v>
      </c>
      <c r="C1337" s="10" t="s">
        <v>427</v>
      </c>
      <c r="D1337" s="10" t="s">
        <v>217</v>
      </c>
    </row>
    <row r="1338" customFormat="false" ht="23.85" hidden="false" customHeight="false" outlineLevel="0" collapsed="false">
      <c r="A1338" s="10" t="s">
        <v>224</v>
      </c>
      <c r="B1338" s="10" t="s">
        <v>133</v>
      </c>
      <c r="C1338" s="10" t="s">
        <v>427</v>
      </c>
      <c r="D1338" s="10" t="s">
        <v>499</v>
      </c>
    </row>
    <row r="1339" customFormat="false" ht="23.85" hidden="false" customHeight="false" outlineLevel="0" collapsed="false">
      <c r="A1339" s="10" t="s">
        <v>224</v>
      </c>
      <c r="B1339" s="10" t="s">
        <v>133</v>
      </c>
      <c r="C1339" s="10" t="s">
        <v>427</v>
      </c>
      <c r="D1339" s="10" t="s">
        <v>110</v>
      </c>
    </row>
    <row r="1340" customFormat="false" ht="23.85" hidden="false" customHeight="false" outlineLevel="0" collapsed="false">
      <c r="A1340" s="10" t="s">
        <v>224</v>
      </c>
      <c r="B1340" s="10" t="s">
        <v>86</v>
      </c>
      <c r="C1340" s="10" t="s">
        <v>500</v>
      </c>
      <c r="D1340" s="10" t="s">
        <v>501</v>
      </c>
    </row>
    <row r="1341" customFormat="false" ht="46.25" hidden="false" customHeight="false" outlineLevel="0" collapsed="false">
      <c r="A1341" s="10" t="s">
        <v>224</v>
      </c>
      <c r="B1341" s="10" t="s">
        <v>58</v>
      </c>
      <c r="C1341" s="10" t="s">
        <v>427</v>
      </c>
      <c r="D1341" s="10" t="s">
        <v>226</v>
      </c>
    </row>
    <row r="1342" customFormat="false" ht="35.05" hidden="false" customHeight="false" outlineLevel="0" collapsed="false">
      <c r="A1342" s="10" t="s">
        <v>98</v>
      </c>
      <c r="B1342" s="10" t="s">
        <v>76</v>
      </c>
      <c r="C1342" s="10" t="s">
        <v>427</v>
      </c>
      <c r="D1342" s="10" t="s">
        <v>489</v>
      </c>
    </row>
    <row r="1343" customFormat="false" ht="15" hidden="false" customHeight="false" outlineLevel="0" collapsed="false">
      <c r="A1343" s="10" t="s">
        <v>98</v>
      </c>
      <c r="B1343" s="10" t="s">
        <v>76</v>
      </c>
      <c r="C1343" s="10" t="s">
        <v>427</v>
      </c>
      <c r="D1343" s="10" t="s">
        <v>446</v>
      </c>
    </row>
    <row r="1344" customFormat="false" ht="23.85" hidden="false" customHeight="false" outlineLevel="0" collapsed="false">
      <c r="A1344" s="10" t="s">
        <v>98</v>
      </c>
      <c r="B1344" s="10" t="s">
        <v>76</v>
      </c>
      <c r="C1344" s="10" t="s">
        <v>427</v>
      </c>
      <c r="D1344" s="10" t="s">
        <v>490</v>
      </c>
    </row>
    <row r="1345" customFormat="false" ht="23.85" hidden="false" customHeight="false" outlineLevel="0" collapsed="false">
      <c r="A1345" s="10" t="s">
        <v>98</v>
      </c>
      <c r="B1345" s="10" t="s">
        <v>76</v>
      </c>
      <c r="C1345" s="10" t="s">
        <v>427</v>
      </c>
      <c r="D1345" s="10" t="s">
        <v>491</v>
      </c>
    </row>
    <row r="1346" customFormat="false" ht="57.45" hidden="false" customHeight="false" outlineLevel="0" collapsed="false">
      <c r="A1346" s="10" t="s">
        <v>98</v>
      </c>
      <c r="B1346" s="10" t="s">
        <v>76</v>
      </c>
      <c r="C1346" s="10" t="s">
        <v>427</v>
      </c>
      <c r="D1346" s="10" t="s">
        <v>892</v>
      </c>
    </row>
    <row r="1347" customFormat="false" ht="46.25" hidden="false" customHeight="false" outlineLevel="0" collapsed="false">
      <c r="A1347" s="10" t="s">
        <v>98</v>
      </c>
      <c r="B1347" s="10" t="s">
        <v>147</v>
      </c>
      <c r="C1347" s="10" t="s">
        <v>427</v>
      </c>
      <c r="D1347" s="10" t="s">
        <v>522</v>
      </c>
    </row>
    <row r="1348" customFormat="false" ht="23.85" hidden="false" customHeight="false" outlineLevel="0" collapsed="false">
      <c r="A1348" s="10" t="s">
        <v>98</v>
      </c>
      <c r="B1348" s="10" t="s">
        <v>147</v>
      </c>
      <c r="C1348" s="10" t="s">
        <v>427</v>
      </c>
      <c r="D1348" s="10" t="s">
        <v>523</v>
      </c>
    </row>
    <row r="1349" customFormat="false" ht="35.05" hidden="false" customHeight="false" outlineLevel="0" collapsed="false">
      <c r="A1349" s="10" t="s">
        <v>98</v>
      </c>
      <c r="B1349" s="10" t="s">
        <v>147</v>
      </c>
      <c r="C1349" s="10" t="s">
        <v>427</v>
      </c>
      <c r="D1349" s="10" t="s">
        <v>524</v>
      </c>
    </row>
    <row r="1350" customFormat="false" ht="23.85" hidden="false" customHeight="false" outlineLevel="0" collapsed="false">
      <c r="A1350" s="10" t="s">
        <v>98</v>
      </c>
      <c r="B1350" s="10" t="s">
        <v>147</v>
      </c>
      <c r="C1350" s="10" t="s">
        <v>427</v>
      </c>
      <c r="D1350" s="10" t="s">
        <v>967</v>
      </c>
    </row>
    <row r="1351" customFormat="false" ht="35.05" hidden="false" customHeight="false" outlineLevel="0" collapsed="false">
      <c r="A1351" s="10" t="s">
        <v>98</v>
      </c>
      <c r="B1351" s="10" t="s">
        <v>147</v>
      </c>
      <c r="C1351" s="10" t="s">
        <v>427</v>
      </c>
      <c r="D1351" s="10" t="s">
        <v>968</v>
      </c>
    </row>
    <row r="1352" customFormat="false" ht="15" hidden="false" customHeight="false" outlineLevel="0" collapsed="false">
      <c r="A1352" s="10" t="s">
        <v>98</v>
      </c>
      <c r="B1352" s="10" t="s">
        <v>147</v>
      </c>
      <c r="C1352" s="10" t="s">
        <v>427</v>
      </c>
      <c r="D1352" s="10" t="s">
        <v>970</v>
      </c>
    </row>
    <row r="1353" customFormat="false" ht="35.05" hidden="false" customHeight="false" outlineLevel="0" collapsed="false">
      <c r="A1353" s="10" t="s">
        <v>98</v>
      </c>
      <c r="B1353" s="10" t="s">
        <v>183</v>
      </c>
      <c r="C1353" s="10" t="s">
        <v>427</v>
      </c>
      <c r="D1353" s="10" t="s">
        <v>1073</v>
      </c>
    </row>
    <row r="1354" customFormat="false" ht="15" hidden="false" customHeight="false" outlineLevel="0" collapsed="false">
      <c r="A1354" s="10" t="s">
        <v>98</v>
      </c>
      <c r="B1354" s="10" t="s">
        <v>919</v>
      </c>
      <c r="C1354" s="10" t="s">
        <v>427</v>
      </c>
      <c r="D1354" s="10" t="s">
        <v>920</v>
      </c>
    </row>
    <row r="1355" customFormat="false" ht="15" hidden="false" customHeight="false" outlineLevel="0" collapsed="false">
      <c r="A1355" s="10" t="s">
        <v>98</v>
      </c>
      <c r="B1355" s="10" t="s">
        <v>919</v>
      </c>
      <c r="C1355" s="10" t="s">
        <v>427</v>
      </c>
      <c r="D1355" s="10" t="s">
        <v>922</v>
      </c>
    </row>
    <row r="1356" customFormat="false" ht="35.05" hidden="false" customHeight="false" outlineLevel="0" collapsed="false">
      <c r="A1356" s="10" t="s">
        <v>98</v>
      </c>
      <c r="B1356" s="10" t="s">
        <v>919</v>
      </c>
      <c r="C1356" s="10" t="s">
        <v>427</v>
      </c>
      <c r="D1356" s="10" t="s">
        <v>923</v>
      </c>
    </row>
    <row r="1357" customFormat="false" ht="23.85" hidden="false" customHeight="false" outlineLevel="0" collapsed="false">
      <c r="A1357" s="10" t="s">
        <v>98</v>
      </c>
      <c r="B1357" s="10" t="s">
        <v>116</v>
      </c>
      <c r="C1357" s="10" t="s">
        <v>427</v>
      </c>
      <c r="D1357" s="10" t="s">
        <v>449</v>
      </c>
    </row>
    <row r="1358" customFormat="false" ht="23.85" hidden="false" customHeight="false" outlineLevel="0" collapsed="false">
      <c r="A1358" s="10" t="s">
        <v>98</v>
      </c>
      <c r="B1358" s="10" t="s">
        <v>116</v>
      </c>
      <c r="C1358" s="10" t="s">
        <v>427</v>
      </c>
      <c r="D1358" s="10" t="s">
        <v>214</v>
      </c>
    </row>
    <row r="1359" customFormat="false" ht="15" hidden="false" customHeight="false" outlineLevel="0" collapsed="false">
      <c r="A1359" s="10" t="s">
        <v>98</v>
      </c>
      <c r="B1359" s="10" t="s">
        <v>86</v>
      </c>
      <c r="C1359" s="10" t="s">
        <v>427</v>
      </c>
      <c r="D1359" s="10" t="s">
        <v>847</v>
      </c>
    </row>
    <row r="1360" customFormat="false" ht="23.85" hidden="false" customHeight="false" outlineLevel="0" collapsed="false">
      <c r="A1360" s="10" t="s">
        <v>98</v>
      </c>
      <c r="B1360" s="10" t="s">
        <v>86</v>
      </c>
      <c r="C1360" s="10" t="s">
        <v>427</v>
      </c>
      <c r="D1360" s="10" t="s">
        <v>452</v>
      </c>
    </row>
    <row r="1361" customFormat="false" ht="23.85" hidden="false" customHeight="false" outlineLevel="0" collapsed="false">
      <c r="A1361" s="10" t="s">
        <v>98</v>
      </c>
      <c r="B1361" s="10" t="s">
        <v>86</v>
      </c>
      <c r="C1361" s="10" t="s">
        <v>427</v>
      </c>
      <c r="D1361" s="10" t="s">
        <v>1074</v>
      </c>
    </row>
    <row r="1362" customFormat="false" ht="23.85" hidden="false" customHeight="false" outlineLevel="0" collapsed="false">
      <c r="A1362" s="10" t="s">
        <v>98</v>
      </c>
      <c r="B1362" s="10" t="s">
        <v>86</v>
      </c>
      <c r="C1362" s="10" t="s">
        <v>427</v>
      </c>
      <c r="D1362" s="10" t="s">
        <v>1075</v>
      </c>
    </row>
    <row r="1363" customFormat="false" ht="15" hidden="false" customHeight="false" outlineLevel="0" collapsed="false">
      <c r="A1363" s="10" t="s">
        <v>98</v>
      </c>
      <c r="B1363" s="10" t="s">
        <v>86</v>
      </c>
      <c r="C1363" s="10" t="s">
        <v>427</v>
      </c>
      <c r="D1363" s="10" t="s">
        <v>1076</v>
      </c>
    </row>
    <row r="1364" customFormat="false" ht="35.05" hidden="false" customHeight="false" outlineLevel="0" collapsed="false">
      <c r="A1364" s="10" t="s">
        <v>98</v>
      </c>
      <c r="B1364" s="10" t="s">
        <v>86</v>
      </c>
      <c r="C1364" s="10" t="s">
        <v>427</v>
      </c>
      <c r="D1364" s="10" t="s">
        <v>178</v>
      </c>
    </row>
    <row r="1365" customFormat="false" ht="23.85" hidden="false" customHeight="false" outlineLevel="0" collapsed="false">
      <c r="A1365" s="10" t="s">
        <v>98</v>
      </c>
      <c r="B1365" s="10" t="s">
        <v>86</v>
      </c>
      <c r="C1365" s="10" t="s">
        <v>427</v>
      </c>
      <c r="D1365" s="10" t="s">
        <v>87</v>
      </c>
    </row>
    <row r="1366" customFormat="false" ht="23.85" hidden="false" customHeight="false" outlineLevel="0" collapsed="false">
      <c r="A1366" s="10" t="s">
        <v>98</v>
      </c>
      <c r="B1366" s="10" t="s">
        <v>58</v>
      </c>
      <c r="C1366" s="10" t="s">
        <v>427</v>
      </c>
      <c r="D1366" s="10" t="s">
        <v>691</v>
      </c>
    </row>
    <row r="1367" customFormat="false" ht="35.05" hidden="false" customHeight="false" outlineLevel="0" collapsed="false">
      <c r="A1367" s="10" t="s">
        <v>98</v>
      </c>
      <c r="B1367" s="10" t="s">
        <v>58</v>
      </c>
      <c r="C1367" s="10" t="s">
        <v>427</v>
      </c>
      <c r="D1367" s="10" t="s">
        <v>65</v>
      </c>
    </row>
    <row r="1368" customFormat="false" ht="15" hidden="false" customHeight="false" outlineLevel="0" collapsed="false">
      <c r="A1368" s="10" t="s">
        <v>98</v>
      </c>
      <c r="B1368" s="10" t="s">
        <v>56</v>
      </c>
      <c r="C1368" s="10" t="s">
        <v>427</v>
      </c>
      <c r="D1368" s="10" t="s">
        <v>1077</v>
      </c>
    </row>
    <row r="1369" customFormat="false" ht="23.85" hidden="false" customHeight="false" outlineLevel="0" collapsed="false">
      <c r="A1369" s="10" t="s">
        <v>98</v>
      </c>
      <c r="B1369" s="10" t="s">
        <v>56</v>
      </c>
      <c r="C1369" s="10" t="s">
        <v>427</v>
      </c>
      <c r="D1369" s="10" t="s">
        <v>1078</v>
      </c>
    </row>
    <row r="1370" customFormat="false" ht="23.85" hidden="false" customHeight="false" outlineLevel="0" collapsed="false">
      <c r="A1370" s="10" t="s">
        <v>98</v>
      </c>
      <c r="B1370" s="10" t="s">
        <v>56</v>
      </c>
      <c r="C1370" s="10" t="s">
        <v>427</v>
      </c>
      <c r="D1370" s="10" t="s">
        <v>1079</v>
      </c>
    </row>
    <row r="1371" customFormat="false" ht="35.05" hidden="false" customHeight="false" outlineLevel="0" collapsed="false">
      <c r="A1371" s="10" t="s">
        <v>98</v>
      </c>
      <c r="B1371" s="10" t="s">
        <v>56</v>
      </c>
      <c r="C1371" s="10" t="s">
        <v>427</v>
      </c>
      <c r="D1371" s="10" t="s">
        <v>1080</v>
      </c>
    </row>
    <row r="1372" customFormat="false" ht="57.45" hidden="false" customHeight="false" outlineLevel="0" collapsed="false">
      <c r="A1372" s="10" t="s">
        <v>98</v>
      </c>
      <c r="B1372" s="10" t="s">
        <v>56</v>
      </c>
      <c r="C1372" s="10" t="s">
        <v>427</v>
      </c>
      <c r="D1372" s="10" t="s">
        <v>539</v>
      </c>
    </row>
    <row r="1373" customFormat="false" ht="23.85" hidden="false" customHeight="false" outlineLevel="0" collapsed="false">
      <c r="A1373" s="10" t="s">
        <v>98</v>
      </c>
      <c r="B1373" s="10" t="s">
        <v>56</v>
      </c>
      <c r="C1373" s="10" t="s">
        <v>427</v>
      </c>
      <c r="D1373" s="10" t="s">
        <v>1081</v>
      </c>
    </row>
    <row r="1374" customFormat="false" ht="23.85" hidden="false" customHeight="false" outlineLevel="0" collapsed="false">
      <c r="A1374" s="10" t="s">
        <v>98</v>
      </c>
      <c r="B1374" s="10" t="s">
        <v>56</v>
      </c>
      <c r="C1374" s="10" t="s">
        <v>427</v>
      </c>
      <c r="D1374" s="10" t="s">
        <v>1082</v>
      </c>
    </row>
    <row r="1375" customFormat="false" ht="15" hidden="false" customHeight="false" outlineLevel="0" collapsed="false">
      <c r="A1375" s="10" t="s">
        <v>98</v>
      </c>
      <c r="B1375" s="10" t="s">
        <v>56</v>
      </c>
      <c r="C1375" s="10" t="s">
        <v>427</v>
      </c>
      <c r="D1375" s="10" t="s">
        <v>1083</v>
      </c>
    </row>
    <row r="1376" customFormat="false" ht="23.85" hidden="false" customHeight="false" outlineLevel="0" collapsed="false">
      <c r="A1376" s="10" t="s">
        <v>98</v>
      </c>
      <c r="B1376" s="10" t="s">
        <v>56</v>
      </c>
      <c r="C1376" s="10" t="s">
        <v>427</v>
      </c>
      <c r="D1376" s="10" t="s">
        <v>496</v>
      </c>
    </row>
    <row r="1377" customFormat="false" ht="23.85" hidden="false" customHeight="false" outlineLevel="0" collapsed="false">
      <c r="A1377" s="10" t="s">
        <v>98</v>
      </c>
      <c r="B1377" s="10" t="s">
        <v>71</v>
      </c>
      <c r="C1377" s="10" t="s">
        <v>427</v>
      </c>
      <c r="D1377" s="10" t="s">
        <v>699</v>
      </c>
    </row>
    <row r="1378" customFormat="false" ht="23.85" hidden="false" customHeight="false" outlineLevel="0" collapsed="false">
      <c r="A1378" s="10" t="s">
        <v>98</v>
      </c>
      <c r="B1378" s="10" t="s">
        <v>71</v>
      </c>
      <c r="C1378" s="10" t="s">
        <v>427</v>
      </c>
      <c r="D1378" s="10" t="s">
        <v>1084</v>
      </c>
    </row>
    <row r="1379" customFormat="false" ht="15" hidden="false" customHeight="false" outlineLevel="0" collapsed="false">
      <c r="A1379" s="10" t="s">
        <v>98</v>
      </c>
      <c r="B1379" s="10" t="s">
        <v>71</v>
      </c>
      <c r="C1379" s="10" t="s">
        <v>427</v>
      </c>
      <c r="D1379" s="10" t="s">
        <v>624</v>
      </c>
    </row>
    <row r="1380" customFormat="false" ht="15" hidden="false" customHeight="false" outlineLevel="0" collapsed="false">
      <c r="A1380" s="10" t="s">
        <v>98</v>
      </c>
      <c r="B1380" s="10" t="s">
        <v>71</v>
      </c>
      <c r="C1380" s="10" t="s">
        <v>427</v>
      </c>
      <c r="D1380" s="10" t="s">
        <v>1085</v>
      </c>
    </row>
    <row r="1381" customFormat="false" ht="15" hidden="false" customHeight="false" outlineLevel="0" collapsed="false">
      <c r="A1381" s="10" t="s">
        <v>98</v>
      </c>
      <c r="B1381" s="10" t="s">
        <v>71</v>
      </c>
      <c r="C1381" s="10" t="s">
        <v>427</v>
      </c>
      <c r="D1381" s="10" t="s">
        <v>1086</v>
      </c>
    </row>
    <row r="1382" customFormat="false" ht="15" hidden="false" customHeight="false" outlineLevel="0" collapsed="false">
      <c r="A1382" s="10" t="s">
        <v>98</v>
      </c>
      <c r="B1382" s="10" t="s">
        <v>71</v>
      </c>
      <c r="C1382" s="10" t="s">
        <v>427</v>
      </c>
      <c r="D1382" s="10" t="s">
        <v>1087</v>
      </c>
    </row>
    <row r="1383" customFormat="false" ht="15" hidden="false" customHeight="false" outlineLevel="0" collapsed="false">
      <c r="A1383" s="10" t="s">
        <v>98</v>
      </c>
      <c r="B1383" s="10" t="s">
        <v>71</v>
      </c>
      <c r="C1383" s="10" t="s">
        <v>427</v>
      </c>
      <c r="D1383" s="10" t="s">
        <v>1088</v>
      </c>
    </row>
    <row r="1384" customFormat="false" ht="23.85" hidden="false" customHeight="false" outlineLevel="0" collapsed="false">
      <c r="A1384" s="10" t="s">
        <v>98</v>
      </c>
      <c r="B1384" s="10" t="s">
        <v>71</v>
      </c>
      <c r="C1384" s="10" t="s">
        <v>427</v>
      </c>
      <c r="D1384" s="10" t="s">
        <v>1089</v>
      </c>
    </row>
    <row r="1385" customFormat="false" ht="35.05" hidden="false" customHeight="false" outlineLevel="0" collapsed="false">
      <c r="A1385" s="10" t="s">
        <v>98</v>
      </c>
      <c r="B1385" s="10" t="s">
        <v>71</v>
      </c>
      <c r="C1385" s="10" t="s">
        <v>427</v>
      </c>
      <c r="D1385" s="10" t="s">
        <v>1090</v>
      </c>
    </row>
    <row r="1386" customFormat="false" ht="23.85" hidden="false" customHeight="false" outlineLevel="0" collapsed="false">
      <c r="A1386" s="10" t="s">
        <v>98</v>
      </c>
      <c r="B1386" s="10" t="s">
        <v>71</v>
      </c>
      <c r="C1386" s="10" t="s">
        <v>427</v>
      </c>
      <c r="D1386" s="10" t="s">
        <v>100</v>
      </c>
    </row>
    <row r="1387" customFormat="false" ht="46.25" hidden="false" customHeight="false" outlineLevel="0" collapsed="false">
      <c r="A1387" s="10" t="s">
        <v>98</v>
      </c>
      <c r="B1387" s="10" t="s">
        <v>71</v>
      </c>
      <c r="C1387" s="10" t="s">
        <v>1091</v>
      </c>
      <c r="D1387" s="10" t="s">
        <v>1092</v>
      </c>
    </row>
    <row r="1388" customFormat="false" ht="79.85" hidden="false" customHeight="false" outlineLevel="0" collapsed="false">
      <c r="A1388" s="10" t="s">
        <v>98</v>
      </c>
      <c r="B1388" s="10" t="s">
        <v>71</v>
      </c>
      <c r="C1388" s="10" t="s">
        <v>628</v>
      </c>
      <c r="D1388" s="10" t="s">
        <v>629</v>
      </c>
    </row>
    <row r="1389" customFormat="false" ht="23.85" hidden="false" customHeight="false" outlineLevel="0" collapsed="false">
      <c r="A1389" s="10" t="s">
        <v>370</v>
      </c>
      <c r="B1389" s="10" t="s">
        <v>116</v>
      </c>
      <c r="C1389" s="10" t="s">
        <v>427</v>
      </c>
      <c r="D1389" s="10" t="s">
        <v>369</v>
      </c>
    </row>
    <row r="1390" customFormat="false" ht="23.85" hidden="false" customHeight="false" outlineLevel="0" collapsed="false">
      <c r="A1390" s="10" t="s">
        <v>370</v>
      </c>
      <c r="B1390" s="10" t="s">
        <v>86</v>
      </c>
      <c r="C1390" s="10" t="s">
        <v>427</v>
      </c>
      <c r="D1390" s="10" t="s">
        <v>372</v>
      </c>
    </row>
    <row r="1391" customFormat="false" ht="23.85" hidden="false" customHeight="false" outlineLevel="0" collapsed="false">
      <c r="A1391" s="10" t="s">
        <v>370</v>
      </c>
      <c r="B1391" s="10" t="s">
        <v>86</v>
      </c>
      <c r="C1391" s="10" t="s">
        <v>427</v>
      </c>
      <c r="D1391" s="10" t="s">
        <v>1093</v>
      </c>
    </row>
    <row r="1392" customFormat="false" ht="23.85" hidden="false" customHeight="false" outlineLevel="0" collapsed="false">
      <c r="A1392" s="10" t="s">
        <v>309</v>
      </c>
      <c r="B1392" s="10" t="s">
        <v>76</v>
      </c>
      <c r="C1392" s="10" t="s">
        <v>427</v>
      </c>
      <c r="D1392" s="10" t="s">
        <v>553</v>
      </c>
    </row>
    <row r="1393" customFormat="false" ht="46.25" hidden="false" customHeight="false" outlineLevel="0" collapsed="false">
      <c r="A1393" s="10" t="s">
        <v>309</v>
      </c>
      <c r="B1393" s="10" t="s">
        <v>76</v>
      </c>
      <c r="C1393" s="10" t="s">
        <v>427</v>
      </c>
      <c r="D1393" s="10" t="s">
        <v>1094</v>
      </c>
    </row>
    <row r="1394" customFormat="false" ht="46.25" hidden="false" customHeight="false" outlineLevel="0" collapsed="false">
      <c r="A1394" s="10" t="s">
        <v>309</v>
      </c>
      <c r="B1394" s="10" t="s">
        <v>147</v>
      </c>
      <c r="C1394" s="10" t="s">
        <v>427</v>
      </c>
      <c r="D1394" s="10" t="s">
        <v>311</v>
      </c>
    </row>
    <row r="1395" customFormat="false" ht="15" hidden="false" customHeight="false" outlineLevel="0" collapsed="false">
      <c r="A1395" s="10" t="s">
        <v>309</v>
      </c>
      <c r="B1395" s="10" t="s">
        <v>183</v>
      </c>
      <c r="C1395" s="10" t="s">
        <v>427</v>
      </c>
      <c r="D1395" s="10" t="s">
        <v>783</v>
      </c>
    </row>
    <row r="1396" customFormat="false" ht="15" hidden="false" customHeight="false" outlineLevel="0" collapsed="false">
      <c r="A1396" s="10" t="s">
        <v>309</v>
      </c>
      <c r="B1396" s="10" t="s">
        <v>183</v>
      </c>
      <c r="C1396" s="10" t="s">
        <v>427</v>
      </c>
      <c r="D1396" s="10" t="s">
        <v>784</v>
      </c>
    </row>
    <row r="1397" customFormat="false" ht="23.85" hidden="false" customHeight="false" outlineLevel="0" collapsed="false">
      <c r="A1397" s="10" t="s">
        <v>373</v>
      </c>
      <c r="B1397" s="10" t="s">
        <v>183</v>
      </c>
      <c r="C1397" s="10" t="s">
        <v>427</v>
      </c>
      <c r="D1397" s="10" t="s">
        <v>375</v>
      </c>
    </row>
    <row r="1398" customFormat="false" ht="23.85" hidden="false" customHeight="false" outlineLevel="0" collapsed="false">
      <c r="A1398" s="10" t="s">
        <v>284</v>
      </c>
      <c r="B1398" s="10" t="s">
        <v>71</v>
      </c>
      <c r="C1398" s="10" t="s">
        <v>427</v>
      </c>
      <c r="D1398" s="10" t="s">
        <v>453</v>
      </c>
    </row>
    <row r="1399" customFormat="false" ht="23.85" hidden="false" customHeight="false" outlineLevel="0" collapsed="false">
      <c r="A1399" s="10" t="s">
        <v>284</v>
      </c>
      <c r="B1399" s="10" t="s">
        <v>71</v>
      </c>
      <c r="C1399" s="10" t="s">
        <v>427</v>
      </c>
      <c r="D1399" s="10" t="s">
        <v>72</v>
      </c>
    </row>
    <row r="1400" customFormat="false" ht="68.65" hidden="false" customHeight="false" outlineLevel="0" collapsed="false">
      <c r="A1400" s="10" t="s">
        <v>284</v>
      </c>
      <c r="B1400" s="10" t="s">
        <v>71</v>
      </c>
      <c r="C1400" s="10" t="s">
        <v>457</v>
      </c>
      <c r="D1400" s="10" t="s">
        <v>458</v>
      </c>
    </row>
    <row r="1401" customFormat="false" ht="46.25" hidden="false" customHeight="false" outlineLevel="0" collapsed="false">
      <c r="A1401" s="10" t="s">
        <v>199</v>
      </c>
      <c r="B1401" s="10" t="s">
        <v>76</v>
      </c>
      <c r="C1401" s="10" t="s">
        <v>427</v>
      </c>
      <c r="D1401" s="10" t="s">
        <v>482</v>
      </c>
    </row>
    <row r="1402" customFormat="false" ht="57.45" hidden="false" customHeight="false" outlineLevel="0" collapsed="false">
      <c r="A1402" s="10" t="s">
        <v>199</v>
      </c>
      <c r="B1402" s="10" t="s">
        <v>90</v>
      </c>
      <c r="C1402" s="10" t="s">
        <v>427</v>
      </c>
      <c r="D1402" s="10" t="s">
        <v>506</v>
      </c>
    </row>
    <row r="1403" customFormat="false" ht="23.85" hidden="false" customHeight="false" outlineLevel="0" collapsed="false">
      <c r="A1403" s="10" t="s">
        <v>199</v>
      </c>
      <c r="B1403" s="10" t="s">
        <v>133</v>
      </c>
      <c r="C1403" s="10" t="s">
        <v>427</v>
      </c>
      <c r="D1403" s="10" t="s">
        <v>201</v>
      </c>
    </row>
    <row r="1404" customFormat="false" ht="23.85" hidden="false" customHeight="false" outlineLevel="0" collapsed="false">
      <c r="A1404" s="10" t="s">
        <v>199</v>
      </c>
      <c r="B1404" s="10" t="s">
        <v>58</v>
      </c>
      <c r="C1404" s="10" t="s">
        <v>427</v>
      </c>
      <c r="D1404" s="10" t="s">
        <v>662</v>
      </c>
    </row>
    <row r="1405" customFormat="false" ht="23.85" hidden="false" customHeight="false" outlineLevel="0" collapsed="false">
      <c r="A1405" s="10" t="s">
        <v>202</v>
      </c>
      <c r="B1405" s="10" t="s">
        <v>83</v>
      </c>
      <c r="C1405" s="10" t="s">
        <v>427</v>
      </c>
      <c r="D1405" s="10" t="s">
        <v>825</v>
      </c>
    </row>
    <row r="1406" customFormat="false" ht="23.85" hidden="false" customHeight="false" outlineLevel="0" collapsed="false">
      <c r="A1406" s="10" t="s">
        <v>202</v>
      </c>
      <c r="B1406" s="10" t="s">
        <v>58</v>
      </c>
      <c r="C1406" s="10" t="s">
        <v>427</v>
      </c>
      <c r="D1406" s="10" t="s">
        <v>662</v>
      </c>
    </row>
    <row r="1407" customFormat="false" ht="23.85" hidden="false" customHeight="false" outlineLevel="0" collapsed="false">
      <c r="A1407" s="10" t="s">
        <v>202</v>
      </c>
      <c r="B1407" s="10" t="s">
        <v>56</v>
      </c>
      <c r="C1407" s="10" t="s">
        <v>427</v>
      </c>
      <c r="D1407" s="10" t="s">
        <v>1095</v>
      </c>
    </row>
    <row r="1408" customFormat="false" ht="23.85" hidden="false" customHeight="false" outlineLevel="0" collapsed="false">
      <c r="A1408" s="10" t="s">
        <v>202</v>
      </c>
      <c r="B1408" s="10" t="s">
        <v>56</v>
      </c>
      <c r="C1408" s="10" t="s">
        <v>427</v>
      </c>
      <c r="D1408" s="10" t="s">
        <v>204</v>
      </c>
    </row>
    <row r="1409" customFormat="false" ht="15" hidden="false" customHeight="false" outlineLevel="0" collapsed="false">
      <c r="A1409" s="10" t="s">
        <v>202</v>
      </c>
      <c r="B1409" s="10" t="s">
        <v>56</v>
      </c>
      <c r="C1409" s="10" t="s">
        <v>427</v>
      </c>
      <c r="D1409" s="10" t="s">
        <v>601</v>
      </c>
    </row>
    <row r="1410" customFormat="false" ht="15" hidden="false" customHeight="false" outlineLevel="0" collapsed="false">
      <c r="A1410" s="10" t="s">
        <v>136</v>
      </c>
      <c r="B1410" s="10" t="s">
        <v>90</v>
      </c>
      <c r="C1410" s="10" t="s">
        <v>427</v>
      </c>
      <c r="D1410" s="10" t="s">
        <v>1058</v>
      </c>
    </row>
    <row r="1411" customFormat="false" ht="57.45" hidden="false" customHeight="false" outlineLevel="0" collapsed="false">
      <c r="A1411" s="10" t="s">
        <v>136</v>
      </c>
      <c r="B1411" s="10" t="s">
        <v>90</v>
      </c>
      <c r="C1411" s="10" t="s">
        <v>427</v>
      </c>
      <c r="D1411" s="10" t="s">
        <v>506</v>
      </c>
    </row>
    <row r="1412" customFormat="false" ht="57.45" hidden="false" customHeight="false" outlineLevel="0" collapsed="false">
      <c r="A1412" s="10" t="s">
        <v>136</v>
      </c>
      <c r="B1412" s="10" t="s">
        <v>90</v>
      </c>
      <c r="C1412" s="10" t="s">
        <v>427</v>
      </c>
      <c r="D1412" s="10" t="s">
        <v>1059</v>
      </c>
    </row>
    <row r="1413" customFormat="false" ht="35.05" hidden="false" customHeight="false" outlineLevel="0" collapsed="false">
      <c r="A1413" s="10" t="s">
        <v>136</v>
      </c>
      <c r="B1413" s="10" t="s">
        <v>183</v>
      </c>
      <c r="C1413" s="10" t="s">
        <v>427</v>
      </c>
      <c r="D1413" s="10" t="s">
        <v>653</v>
      </c>
    </row>
    <row r="1414" customFormat="false" ht="23.85" hidden="false" customHeight="false" outlineLevel="0" collapsed="false">
      <c r="A1414" s="10" t="s">
        <v>136</v>
      </c>
      <c r="B1414" s="10" t="s">
        <v>259</v>
      </c>
      <c r="C1414" s="10" t="s">
        <v>427</v>
      </c>
      <c r="D1414" s="10" t="s">
        <v>938</v>
      </c>
    </row>
    <row r="1415" customFormat="false" ht="15" hidden="false" customHeight="false" outlineLevel="0" collapsed="false">
      <c r="A1415" s="10" t="s">
        <v>136</v>
      </c>
      <c r="B1415" s="10" t="s">
        <v>133</v>
      </c>
      <c r="C1415" s="10" t="s">
        <v>427</v>
      </c>
      <c r="D1415" s="10" t="s">
        <v>1096</v>
      </c>
    </row>
    <row r="1416" customFormat="false" ht="23.85" hidden="false" customHeight="false" outlineLevel="0" collapsed="false">
      <c r="A1416" s="10" t="s">
        <v>136</v>
      </c>
      <c r="B1416" s="10" t="s">
        <v>133</v>
      </c>
      <c r="C1416" s="10" t="s">
        <v>427</v>
      </c>
      <c r="D1416" s="10" t="s">
        <v>138</v>
      </c>
    </row>
    <row r="1417" customFormat="false" ht="23.85" hidden="false" customHeight="false" outlineLevel="0" collapsed="false">
      <c r="A1417" s="10" t="s">
        <v>136</v>
      </c>
      <c r="B1417" s="10" t="s">
        <v>86</v>
      </c>
      <c r="C1417" s="10" t="s">
        <v>500</v>
      </c>
      <c r="D1417" s="10" t="s">
        <v>501</v>
      </c>
    </row>
    <row r="1418" customFormat="false" ht="23.85" hidden="false" customHeight="false" outlineLevel="0" collapsed="false">
      <c r="A1418" s="10" t="s">
        <v>205</v>
      </c>
      <c r="B1418" s="10" t="s">
        <v>56</v>
      </c>
      <c r="C1418" s="10" t="s">
        <v>427</v>
      </c>
      <c r="D1418" s="10" t="s">
        <v>207</v>
      </c>
    </row>
    <row r="1419" customFormat="false" ht="23.85" hidden="false" customHeight="false" outlineLevel="0" collapsed="false">
      <c r="A1419" s="10" t="s">
        <v>298</v>
      </c>
      <c r="B1419" s="10" t="s">
        <v>183</v>
      </c>
      <c r="C1419" s="10" t="s">
        <v>427</v>
      </c>
      <c r="D1419" s="10" t="s">
        <v>786</v>
      </c>
    </row>
    <row r="1420" customFormat="false" ht="15" hidden="false" customHeight="false" outlineLevel="0" collapsed="false">
      <c r="A1420" s="10" t="s">
        <v>298</v>
      </c>
      <c r="B1420" s="10" t="s">
        <v>183</v>
      </c>
      <c r="C1420" s="10" t="s">
        <v>427</v>
      </c>
      <c r="D1420" s="10" t="s">
        <v>787</v>
      </c>
    </row>
    <row r="1421" customFormat="false" ht="15" hidden="false" customHeight="false" outlineLevel="0" collapsed="false">
      <c r="A1421" s="10" t="s">
        <v>298</v>
      </c>
      <c r="B1421" s="10" t="s">
        <v>183</v>
      </c>
      <c r="C1421" s="10" t="s">
        <v>427</v>
      </c>
      <c r="D1421" s="10" t="s">
        <v>1097</v>
      </c>
    </row>
    <row r="1422" customFormat="false" ht="15" hidden="false" customHeight="false" outlineLevel="0" collapsed="false">
      <c r="A1422" s="10" t="s">
        <v>298</v>
      </c>
      <c r="B1422" s="10" t="s">
        <v>183</v>
      </c>
      <c r="C1422" s="10" t="s">
        <v>427</v>
      </c>
      <c r="D1422" s="10" t="s">
        <v>1098</v>
      </c>
    </row>
    <row r="1423" customFormat="false" ht="15" hidden="false" customHeight="false" outlineLevel="0" collapsed="false">
      <c r="A1423" s="10" t="s">
        <v>298</v>
      </c>
      <c r="B1423" s="10" t="s">
        <v>183</v>
      </c>
      <c r="C1423" s="10" t="s">
        <v>427</v>
      </c>
      <c r="D1423" s="10" t="s">
        <v>1099</v>
      </c>
    </row>
    <row r="1424" customFormat="false" ht="15" hidden="false" customHeight="false" outlineLevel="0" collapsed="false">
      <c r="A1424" s="10" t="s">
        <v>298</v>
      </c>
      <c r="B1424" s="10" t="s">
        <v>183</v>
      </c>
      <c r="C1424" s="10" t="s">
        <v>427</v>
      </c>
      <c r="D1424" s="10" t="s">
        <v>1100</v>
      </c>
    </row>
    <row r="1425" customFormat="false" ht="23.85" hidden="false" customHeight="false" outlineLevel="0" collapsed="false">
      <c r="A1425" s="10" t="s">
        <v>298</v>
      </c>
      <c r="B1425" s="10" t="s">
        <v>183</v>
      </c>
      <c r="C1425" s="10" t="s">
        <v>427</v>
      </c>
      <c r="D1425" s="10" t="s">
        <v>1101</v>
      </c>
    </row>
    <row r="1426" customFormat="false" ht="15" hidden="false" customHeight="false" outlineLevel="0" collapsed="false">
      <c r="A1426" s="10" t="s">
        <v>298</v>
      </c>
      <c r="B1426" s="10" t="s">
        <v>183</v>
      </c>
      <c r="C1426" s="10" t="s">
        <v>427</v>
      </c>
      <c r="D1426" s="10" t="s">
        <v>788</v>
      </c>
    </row>
    <row r="1427" customFormat="false" ht="35.05" hidden="false" customHeight="false" outlineLevel="0" collapsed="false">
      <c r="A1427" s="10" t="s">
        <v>298</v>
      </c>
      <c r="B1427" s="10" t="s">
        <v>183</v>
      </c>
      <c r="C1427" s="10" t="s">
        <v>427</v>
      </c>
      <c r="D1427" s="10" t="s">
        <v>295</v>
      </c>
    </row>
    <row r="1428" customFormat="false" ht="15" hidden="false" customHeight="false" outlineLevel="0" collapsed="false">
      <c r="A1428" s="10" t="s">
        <v>298</v>
      </c>
      <c r="B1428" s="10" t="s">
        <v>134</v>
      </c>
      <c r="C1428" s="10" t="s">
        <v>427</v>
      </c>
      <c r="D1428" s="10" t="s">
        <v>589</v>
      </c>
    </row>
    <row r="1429" customFormat="false" ht="23.85" hidden="false" customHeight="false" outlineLevel="0" collapsed="false">
      <c r="A1429" s="10" t="s">
        <v>298</v>
      </c>
      <c r="B1429" s="10" t="s">
        <v>134</v>
      </c>
      <c r="C1429" s="10" t="s">
        <v>555</v>
      </c>
      <c r="D1429" s="10" t="s">
        <v>556</v>
      </c>
    </row>
    <row r="1430" customFormat="false" ht="23.85" hidden="false" customHeight="false" outlineLevel="0" collapsed="false">
      <c r="A1430" s="10" t="s">
        <v>298</v>
      </c>
      <c r="B1430" s="10" t="s">
        <v>56</v>
      </c>
      <c r="C1430" s="10" t="s">
        <v>427</v>
      </c>
      <c r="D1430" s="10" t="s">
        <v>207</v>
      </c>
    </row>
    <row r="1431" customFormat="false" ht="15" hidden="false" customHeight="false" outlineLevel="0" collapsed="false">
      <c r="A1431" s="10" t="s">
        <v>286</v>
      </c>
      <c r="B1431" s="10" t="s">
        <v>76</v>
      </c>
      <c r="C1431" s="10" t="s">
        <v>427</v>
      </c>
      <c r="D1431" s="10" t="s">
        <v>631</v>
      </c>
    </row>
    <row r="1432" customFormat="false" ht="15" hidden="false" customHeight="false" outlineLevel="0" collapsed="false">
      <c r="A1432" s="10" t="s">
        <v>286</v>
      </c>
      <c r="B1432" s="10" t="s">
        <v>76</v>
      </c>
      <c r="C1432" s="10" t="s">
        <v>427</v>
      </c>
      <c r="D1432" s="10" t="s">
        <v>616</v>
      </c>
    </row>
    <row r="1433" customFormat="false" ht="23.85" hidden="false" customHeight="false" outlineLevel="0" collapsed="false">
      <c r="A1433" s="10" t="s">
        <v>286</v>
      </c>
      <c r="B1433" s="10" t="s">
        <v>76</v>
      </c>
      <c r="C1433" s="10" t="s">
        <v>427</v>
      </c>
      <c r="D1433" s="10" t="s">
        <v>617</v>
      </c>
    </row>
    <row r="1434" customFormat="false" ht="23.85" hidden="false" customHeight="false" outlineLevel="0" collapsed="false">
      <c r="A1434" s="10" t="s">
        <v>286</v>
      </c>
      <c r="B1434" s="10" t="s">
        <v>76</v>
      </c>
      <c r="C1434" s="10" t="s">
        <v>427</v>
      </c>
      <c r="D1434" s="10" t="s">
        <v>712</v>
      </c>
    </row>
    <row r="1435" customFormat="false" ht="23.85" hidden="false" customHeight="false" outlineLevel="0" collapsed="false">
      <c r="A1435" s="10" t="s">
        <v>286</v>
      </c>
      <c r="B1435" s="10" t="s">
        <v>76</v>
      </c>
      <c r="C1435" s="10" t="s">
        <v>427</v>
      </c>
      <c r="D1435" s="10" t="s">
        <v>824</v>
      </c>
    </row>
    <row r="1436" customFormat="false" ht="23.85" hidden="false" customHeight="false" outlineLevel="0" collapsed="false">
      <c r="A1436" s="10" t="s">
        <v>286</v>
      </c>
      <c r="B1436" s="10" t="s">
        <v>76</v>
      </c>
      <c r="C1436" s="10" t="s">
        <v>427</v>
      </c>
      <c r="D1436" s="10" t="s">
        <v>713</v>
      </c>
    </row>
    <row r="1437" customFormat="false" ht="23.85" hidden="false" customHeight="false" outlineLevel="0" collapsed="false">
      <c r="A1437" s="10" t="s">
        <v>286</v>
      </c>
      <c r="B1437" s="10" t="s">
        <v>76</v>
      </c>
      <c r="C1437" s="10" t="s">
        <v>427</v>
      </c>
      <c r="D1437" s="10" t="s">
        <v>714</v>
      </c>
    </row>
    <row r="1438" customFormat="false" ht="15" hidden="false" customHeight="false" outlineLevel="0" collapsed="false">
      <c r="A1438" s="10" t="s">
        <v>286</v>
      </c>
      <c r="B1438" s="10" t="s">
        <v>90</v>
      </c>
      <c r="C1438" s="10" t="s">
        <v>427</v>
      </c>
      <c r="D1438" s="10" t="s">
        <v>659</v>
      </c>
    </row>
    <row r="1439" customFormat="false" ht="35.05" hidden="false" customHeight="false" outlineLevel="0" collapsed="false">
      <c r="A1439" s="10" t="s">
        <v>286</v>
      </c>
      <c r="B1439" s="10" t="s">
        <v>259</v>
      </c>
      <c r="C1439" s="10" t="s">
        <v>427</v>
      </c>
      <c r="D1439" s="10" t="s">
        <v>1022</v>
      </c>
    </row>
    <row r="1440" customFormat="false" ht="23.85" hidden="false" customHeight="false" outlineLevel="0" collapsed="false">
      <c r="A1440" s="10" t="s">
        <v>286</v>
      </c>
      <c r="B1440" s="10" t="s">
        <v>116</v>
      </c>
      <c r="C1440" s="10" t="s">
        <v>427</v>
      </c>
      <c r="D1440" s="10" t="s">
        <v>577</v>
      </c>
    </row>
    <row r="1441" customFormat="false" ht="23.85" hidden="false" customHeight="false" outlineLevel="0" collapsed="false">
      <c r="A1441" s="10" t="s">
        <v>286</v>
      </c>
      <c r="B1441" s="10" t="s">
        <v>56</v>
      </c>
      <c r="C1441" s="10" t="s">
        <v>427</v>
      </c>
      <c r="D1441" s="10" t="s">
        <v>537</v>
      </c>
    </row>
    <row r="1442" customFormat="false" ht="15" hidden="false" customHeight="false" outlineLevel="0" collapsed="false">
      <c r="A1442" s="10" t="s">
        <v>286</v>
      </c>
      <c r="B1442" s="10" t="s">
        <v>71</v>
      </c>
      <c r="C1442" s="10" t="s">
        <v>427</v>
      </c>
      <c r="D1442" s="10" t="s">
        <v>1102</v>
      </c>
    </row>
    <row r="1443" customFormat="false" ht="15" hidden="false" customHeight="false" outlineLevel="0" collapsed="false">
      <c r="A1443" s="10" t="s">
        <v>286</v>
      </c>
      <c r="B1443" s="10" t="s">
        <v>71</v>
      </c>
      <c r="C1443" s="10" t="s">
        <v>427</v>
      </c>
      <c r="D1443" s="10" t="s">
        <v>1103</v>
      </c>
    </row>
    <row r="1444" customFormat="false" ht="23.85" hidden="false" customHeight="false" outlineLevel="0" collapsed="false">
      <c r="A1444" s="10" t="s">
        <v>286</v>
      </c>
      <c r="B1444" s="10" t="s">
        <v>71</v>
      </c>
      <c r="C1444" s="10" t="s">
        <v>427</v>
      </c>
      <c r="D1444" s="10" t="s">
        <v>647</v>
      </c>
    </row>
    <row r="1445" customFormat="false" ht="23.85" hidden="false" customHeight="false" outlineLevel="0" collapsed="false">
      <c r="A1445" s="10" t="s">
        <v>286</v>
      </c>
      <c r="B1445" s="10" t="s">
        <v>71</v>
      </c>
      <c r="C1445" s="10" t="s">
        <v>427</v>
      </c>
      <c r="D1445" s="10" t="s">
        <v>288</v>
      </c>
    </row>
    <row r="1446" customFormat="false" ht="15" hidden="false" customHeight="false" outlineLevel="0" collapsed="false">
      <c r="A1446" s="10" t="s">
        <v>286</v>
      </c>
      <c r="B1446" s="10" t="s">
        <v>71</v>
      </c>
      <c r="C1446" s="10" t="s">
        <v>427</v>
      </c>
      <c r="D1446" s="10" t="s">
        <v>1104</v>
      </c>
    </row>
    <row r="1447" customFormat="false" ht="35.05" hidden="false" customHeight="false" outlineLevel="0" collapsed="false">
      <c r="A1447" s="10" t="s">
        <v>286</v>
      </c>
      <c r="B1447" s="10" t="s">
        <v>71</v>
      </c>
      <c r="C1447" s="10" t="s">
        <v>599</v>
      </c>
      <c r="D1447" s="10" t="s">
        <v>600</v>
      </c>
    </row>
    <row r="1448" customFormat="false" ht="15" hidden="false" customHeight="false" outlineLevel="0" collapsed="false">
      <c r="A1448" s="10" t="s">
        <v>391</v>
      </c>
      <c r="B1448" s="10" t="s">
        <v>183</v>
      </c>
      <c r="C1448" s="10" t="s">
        <v>427</v>
      </c>
      <c r="D1448" s="10" t="s">
        <v>635</v>
      </c>
    </row>
    <row r="1449" customFormat="false" ht="15" hidden="false" customHeight="false" outlineLevel="0" collapsed="false">
      <c r="A1449" s="10" t="s">
        <v>391</v>
      </c>
      <c r="B1449" s="10" t="s">
        <v>183</v>
      </c>
      <c r="C1449" s="10" t="s">
        <v>427</v>
      </c>
      <c r="D1449" s="10" t="s">
        <v>636</v>
      </c>
    </row>
    <row r="1450" customFormat="false" ht="23.85" hidden="false" customHeight="false" outlineLevel="0" collapsed="false">
      <c r="A1450" s="10" t="s">
        <v>391</v>
      </c>
      <c r="B1450" s="10" t="s">
        <v>183</v>
      </c>
      <c r="C1450" s="10" t="s">
        <v>427</v>
      </c>
      <c r="D1450" s="10" t="s">
        <v>1105</v>
      </c>
    </row>
    <row r="1451" customFormat="false" ht="23.85" hidden="false" customHeight="false" outlineLevel="0" collapsed="false">
      <c r="A1451" s="10" t="s">
        <v>391</v>
      </c>
      <c r="B1451" s="10" t="s">
        <v>183</v>
      </c>
      <c r="C1451" s="10" t="s">
        <v>427</v>
      </c>
      <c r="D1451" s="10" t="s">
        <v>637</v>
      </c>
    </row>
    <row r="1452" customFormat="false" ht="35.05" hidden="false" customHeight="false" outlineLevel="0" collapsed="false">
      <c r="A1452" s="10" t="s">
        <v>391</v>
      </c>
      <c r="B1452" s="10" t="s">
        <v>183</v>
      </c>
      <c r="C1452" s="10" t="s">
        <v>427</v>
      </c>
      <c r="D1452" s="10" t="s">
        <v>387</v>
      </c>
    </row>
  </sheetData>
  <autoFilter ref="A1:D14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65"/>
  </cols>
  <sheetData>
    <row r="1" customFormat="false" ht="27.75" hidden="false" customHeight="true" outlineLevel="0" collapsed="false">
      <c r="A1" s="4" t="s">
        <v>424</v>
      </c>
      <c r="B1" s="4" t="s">
        <v>1106</v>
      </c>
      <c r="C1" s="4" t="s">
        <v>1107</v>
      </c>
    </row>
    <row r="2" customFormat="false" ht="15" hidden="false" customHeight="false" outlineLevel="0" collapsed="false">
      <c r="A2" s="10" t="s">
        <v>76</v>
      </c>
      <c r="B2" s="10" t="s">
        <v>1108</v>
      </c>
      <c r="C2" s="10" t="s">
        <v>1109</v>
      </c>
    </row>
    <row r="3" customFormat="false" ht="15" hidden="false" customHeight="false" outlineLevel="0" collapsed="false">
      <c r="A3" s="10" t="s">
        <v>76</v>
      </c>
      <c r="B3" s="10" t="s">
        <v>1110</v>
      </c>
      <c r="C3" s="10" t="s">
        <v>1111</v>
      </c>
    </row>
    <row r="4" customFormat="false" ht="15" hidden="false" customHeight="false" outlineLevel="0" collapsed="false">
      <c r="A4" s="10" t="s">
        <v>90</v>
      </c>
      <c r="B4" s="10" t="s">
        <v>1112</v>
      </c>
      <c r="C4" s="10" t="s">
        <v>1113</v>
      </c>
    </row>
    <row r="5" customFormat="false" ht="15" hidden="false" customHeight="false" outlineLevel="0" collapsed="false">
      <c r="A5" s="10" t="s">
        <v>90</v>
      </c>
      <c r="B5" s="10" t="s">
        <v>1114</v>
      </c>
      <c r="C5" s="10" t="s">
        <v>1115</v>
      </c>
    </row>
    <row r="6" customFormat="false" ht="15" hidden="false" customHeight="false" outlineLevel="0" collapsed="false">
      <c r="A6" s="10" t="s">
        <v>83</v>
      </c>
      <c r="B6" s="10" t="s">
        <v>1116</v>
      </c>
      <c r="C6" s="10" t="s">
        <v>1117</v>
      </c>
    </row>
    <row r="7" customFormat="false" ht="15" hidden="false" customHeight="false" outlineLevel="0" collapsed="false">
      <c r="A7" s="10" t="s">
        <v>147</v>
      </c>
      <c r="B7" s="10" t="s">
        <v>1118</v>
      </c>
      <c r="C7" s="10" t="s">
        <v>1119</v>
      </c>
    </row>
    <row r="8" customFormat="false" ht="15" hidden="false" customHeight="false" outlineLevel="0" collapsed="false">
      <c r="A8" s="10" t="s">
        <v>183</v>
      </c>
      <c r="B8" s="10" t="s">
        <v>1120</v>
      </c>
      <c r="C8" s="10" t="s">
        <v>1121</v>
      </c>
    </row>
    <row r="9" customFormat="false" ht="15" hidden="false" customHeight="false" outlineLevel="0" collapsed="false">
      <c r="A9" s="10" t="s">
        <v>183</v>
      </c>
      <c r="B9" s="10" t="s">
        <v>1122</v>
      </c>
      <c r="C9" s="10" t="s">
        <v>1123</v>
      </c>
    </row>
    <row r="10" customFormat="false" ht="15" hidden="false" customHeight="false" outlineLevel="0" collapsed="false">
      <c r="A10" s="10" t="s">
        <v>259</v>
      </c>
      <c r="B10" s="10" t="s">
        <v>1124</v>
      </c>
      <c r="C10" s="10" t="s">
        <v>1125</v>
      </c>
    </row>
    <row r="11" customFormat="false" ht="15" hidden="false" customHeight="false" outlineLevel="0" collapsed="false">
      <c r="A11" s="10" t="s">
        <v>259</v>
      </c>
      <c r="B11" s="10" t="s">
        <v>1126</v>
      </c>
      <c r="C11" s="10" t="s">
        <v>1127</v>
      </c>
    </row>
    <row r="12" customFormat="false" ht="15" hidden="false" customHeight="false" outlineLevel="0" collapsed="false">
      <c r="A12" s="10" t="s">
        <v>259</v>
      </c>
      <c r="B12" s="10" t="s">
        <v>1128</v>
      </c>
      <c r="C12" s="10" t="s">
        <v>1129</v>
      </c>
    </row>
    <row r="13" customFormat="false" ht="15" hidden="false" customHeight="false" outlineLevel="0" collapsed="false">
      <c r="A13" s="10" t="s">
        <v>259</v>
      </c>
      <c r="B13" s="10" t="s">
        <v>1130</v>
      </c>
      <c r="C13" s="10" t="s">
        <v>1131</v>
      </c>
    </row>
    <row r="14" customFormat="false" ht="15" hidden="false" customHeight="false" outlineLevel="0" collapsed="false">
      <c r="A14" s="10" t="s">
        <v>133</v>
      </c>
      <c r="B14" s="10" t="s">
        <v>1132</v>
      </c>
      <c r="C14" s="10" t="s">
        <v>1133</v>
      </c>
    </row>
    <row r="15" customFormat="false" ht="15" hidden="false" customHeight="false" outlineLevel="0" collapsed="false">
      <c r="A15" s="10" t="s">
        <v>133</v>
      </c>
      <c r="B15" s="10" t="s">
        <v>1134</v>
      </c>
      <c r="C15" s="10" t="s">
        <v>1135</v>
      </c>
    </row>
    <row r="16" customFormat="false" ht="15" hidden="false" customHeight="false" outlineLevel="0" collapsed="false">
      <c r="A16" s="10" t="s">
        <v>133</v>
      </c>
      <c r="B16" s="10" t="s">
        <v>1136</v>
      </c>
      <c r="C16" s="10" t="s">
        <v>1137</v>
      </c>
    </row>
    <row r="17" customFormat="false" ht="15" hidden="false" customHeight="false" outlineLevel="0" collapsed="false">
      <c r="A17" s="10" t="s">
        <v>133</v>
      </c>
      <c r="B17" s="10" t="s">
        <v>1138</v>
      </c>
      <c r="C17" s="10" t="s">
        <v>1139</v>
      </c>
    </row>
    <row r="18" customFormat="false" ht="15" hidden="false" customHeight="false" outlineLevel="0" collapsed="false">
      <c r="A18" s="10" t="s">
        <v>150</v>
      </c>
      <c r="B18" s="10" t="s">
        <v>1140</v>
      </c>
      <c r="C18" s="10" t="s">
        <v>1141</v>
      </c>
    </row>
    <row r="19" customFormat="false" ht="15" hidden="false" customHeight="false" outlineLevel="0" collapsed="false">
      <c r="A19" s="10" t="s">
        <v>150</v>
      </c>
      <c r="B19" s="10" t="s">
        <v>1142</v>
      </c>
      <c r="C19" s="10" t="s">
        <v>1143</v>
      </c>
    </row>
    <row r="20" customFormat="false" ht="15" hidden="false" customHeight="false" outlineLevel="0" collapsed="false">
      <c r="A20" s="10" t="s">
        <v>150</v>
      </c>
      <c r="B20" s="10" t="s">
        <v>1144</v>
      </c>
      <c r="C20" s="10" t="s">
        <v>1145</v>
      </c>
    </row>
    <row r="21" customFormat="false" ht="15" hidden="false" customHeight="false" outlineLevel="0" collapsed="false">
      <c r="A21" s="10" t="s">
        <v>116</v>
      </c>
      <c r="B21" s="10" t="s">
        <v>1146</v>
      </c>
      <c r="C21" s="10" t="s">
        <v>844</v>
      </c>
    </row>
    <row r="22" customFormat="false" ht="15" hidden="false" customHeight="false" outlineLevel="0" collapsed="false">
      <c r="A22" s="10" t="s">
        <v>116</v>
      </c>
      <c r="B22" s="10" t="s">
        <v>1147</v>
      </c>
      <c r="C22" s="10" t="s">
        <v>451</v>
      </c>
    </row>
    <row r="23" customFormat="false" ht="23.85" hidden="false" customHeight="false" outlineLevel="0" collapsed="false">
      <c r="A23" s="10" t="s">
        <v>134</v>
      </c>
      <c r="B23" s="10" t="s">
        <v>1148</v>
      </c>
      <c r="C23" s="10" t="s">
        <v>556</v>
      </c>
    </row>
    <row r="24" customFormat="false" ht="15" hidden="false" customHeight="false" outlineLevel="0" collapsed="false">
      <c r="A24" s="10" t="s">
        <v>134</v>
      </c>
      <c r="B24" s="10" t="s">
        <v>1149</v>
      </c>
      <c r="C24" s="10" t="s">
        <v>1150</v>
      </c>
    </row>
    <row r="25" customFormat="false" ht="15" hidden="false" customHeight="false" outlineLevel="0" collapsed="false">
      <c r="A25" s="10" t="s">
        <v>86</v>
      </c>
      <c r="B25" s="10" t="s">
        <v>1151</v>
      </c>
      <c r="C25" s="10" t="s">
        <v>470</v>
      </c>
    </row>
    <row r="26" customFormat="false" ht="23.85" hidden="false" customHeight="false" outlineLevel="0" collapsed="false">
      <c r="A26" s="10" t="s">
        <v>86</v>
      </c>
      <c r="B26" s="10" t="s">
        <v>1152</v>
      </c>
      <c r="C26" s="10" t="s">
        <v>501</v>
      </c>
    </row>
    <row r="27" customFormat="false" ht="35.05" hidden="false" customHeight="false" outlineLevel="0" collapsed="false">
      <c r="A27" s="10" t="s">
        <v>58</v>
      </c>
      <c r="B27" s="10" t="s">
        <v>1153</v>
      </c>
      <c r="C27" s="10" t="s">
        <v>1154</v>
      </c>
    </row>
    <row r="28" customFormat="false" ht="35.05" hidden="false" customHeight="false" outlineLevel="0" collapsed="false">
      <c r="A28" s="10" t="s">
        <v>58</v>
      </c>
      <c r="B28" s="10" t="s">
        <v>1155</v>
      </c>
      <c r="C28" s="10" t="s">
        <v>1156</v>
      </c>
    </row>
    <row r="29" customFormat="false" ht="180.55" hidden="false" customHeight="false" outlineLevel="0" collapsed="false">
      <c r="A29" s="10" t="s">
        <v>56</v>
      </c>
      <c r="B29" s="10" t="s">
        <v>1157</v>
      </c>
      <c r="C29" s="10" t="s">
        <v>1158</v>
      </c>
    </row>
    <row r="30" customFormat="false" ht="147" hidden="false" customHeight="false" outlineLevel="0" collapsed="false">
      <c r="A30" s="10" t="s">
        <v>71</v>
      </c>
      <c r="B30" s="10" t="s">
        <v>1159</v>
      </c>
      <c r="C30" s="10" t="s">
        <v>1160</v>
      </c>
    </row>
    <row r="31" customFormat="false" ht="57.45" hidden="false" customHeight="false" outlineLevel="0" collapsed="false">
      <c r="A31" s="10" t="s">
        <v>71</v>
      </c>
      <c r="B31" s="10" t="s">
        <v>1161</v>
      </c>
      <c r="C31" s="10" t="s">
        <v>458</v>
      </c>
    </row>
    <row r="32" customFormat="false" ht="124.6" hidden="false" customHeight="false" outlineLevel="0" collapsed="false">
      <c r="A32" s="10" t="s">
        <v>71</v>
      </c>
      <c r="B32" s="10" t="s">
        <v>1162</v>
      </c>
      <c r="C32" s="10" t="s">
        <v>481</v>
      </c>
    </row>
    <row r="33" customFormat="false" ht="35.05" hidden="false" customHeight="false" outlineLevel="0" collapsed="false">
      <c r="A33" s="10" t="s">
        <v>71</v>
      </c>
      <c r="B33" s="10" t="s">
        <v>1163</v>
      </c>
      <c r="C33" s="10" t="s">
        <v>1092</v>
      </c>
    </row>
    <row r="34" customFormat="false" ht="68.65" hidden="false" customHeight="false" outlineLevel="0" collapsed="false">
      <c r="A34" s="10" t="s">
        <v>71</v>
      </c>
      <c r="B34" s="10" t="s">
        <v>1164</v>
      </c>
      <c r="C34" s="10" t="s">
        <v>629</v>
      </c>
    </row>
    <row r="35" customFormat="false" ht="23.85" hidden="false" customHeight="false" outlineLevel="0" collapsed="false">
      <c r="A35" s="10" t="s">
        <v>71</v>
      </c>
      <c r="B35" s="10" t="s">
        <v>1165</v>
      </c>
      <c r="C35" s="10" t="s">
        <v>600</v>
      </c>
    </row>
    <row r="36" customFormat="false" ht="225.35" hidden="false" customHeight="false" outlineLevel="0" collapsed="false">
      <c r="A36" s="10" t="s">
        <v>71</v>
      </c>
      <c r="B36" s="10" t="s">
        <v>1166</v>
      </c>
      <c r="C36" s="10" t="s">
        <v>440</v>
      </c>
    </row>
    <row r="37" customFormat="false" ht="68.65" hidden="false" customHeight="false" outlineLevel="0" collapsed="false">
      <c r="A37" s="10" t="s">
        <v>71</v>
      </c>
      <c r="B37" s="10" t="s">
        <v>1167</v>
      </c>
      <c r="C37" s="10" t="s">
        <v>474</v>
      </c>
    </row>
    <row r="38" customFormat="false" ht="35.05" hidden="false" customHeight="false" outlineLevel="0" collapsed="false">
      <c r="A38" s="10" t="s">
        <v>71</v>
      </c>
      <c r="B38" s="10" t="s">
        <v>1168</v>
      </c>
      <c r="C38" s="10" t="s">
        <v>476</v>
      </c>
    </row>
  </sheetData>
  <autoFilter ref="A1:C3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10"/>
    <col collapsed="false" customWidth="true" hidden="false" outlineLevel="0" max="4" min="4" style="0" width="80"/>
    <col collapsed="false" customWidth="true" hidden="false" outlineLevel="0" max="5" min="5" style="0" width="50"/>
    <col collapsed="false" customWidth="true" hidden="false" outlineLevel="0" max="6" min="6" style="0" width="9"/>
  </cols>
  <sheetData>
    <row r="1" customFormat="false" ht="27.75" hidden="false" customHeight="true" outlineLevel="0" collapsed="false">
      <c r="A1" s="4" t="s">
        <v>424</v>
      </c>
      <c r="B1" s="4" t="s">
        <v>1169</v>
      </c>
      <c r="C1" s="4" t="s">
        <v>39</v>
      </c>
      <c r="D1" s="4" t="s">
        <v>1170</v>
      </c>
      <c r="E1" s="4" t="s">
        <v>1171</v>
      </c>
      <c r="F1" s="4" t="s">
        <v>1172</v>
      </c>
    </row>
    <row r="2" customFormat="false" ht="23.85" hidden="false" customHeight="false" outlineLevel="0" collapsed="false">
      <c r="A2" s="12" t="s">
        <v>4</v>
      </c>
      <c r="B2" s="10" t="s">
        <v>1173</v>
      </c>
      <c r="C2" s="10" t="s">
        <v>92</v>
      </c>
      <c r="D2" s="10" t="s">
        <v>1174</v>
      </c>
      <c r="E2" s="10" t="s">
        <v>1175</v>
      </c>
      <c r="F2" s="10" t="s">
        <v>1176</v>
      </c>
    </row>
    <row r="4" customFormat="false" ht="15" hidden="false" customHeight="false" outlineLevel="0" collapsed="false">
      <c r="A4" s="13" t="s">
        <v>1177</v>
      </c>
    </row>
  </sheetData>
  <autoFilter ref="A1:F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130"/>
    <col collapsed="false" customWidth="true" hidden="false" outlineLevel="0" max="4" min="4" style="0" width="12"/>
  </cols>
  <sheetData>
    <row r="1" customFormat="false" ht="27.75" hidden="false" customHeight="true" outlineLevel="0" collapsed="false">
      <c r="A1" s="4" t="s">
        <v>39</v>
      </c>
      <c r="B1" s="4" t="s">
        <v>1178</v>
      </c>
      <c r="C1" s="4" t="s">
        <v>1179</v>
      </c>
      <c r="D1" s="4" t="s">
        <v>1180</v>
      </c>
    </row>
    <row r="2" customFormat="false" ht="23.85" hidden="false" customHeight="false" outlineLevel="0" collapsed="false">
      <c r="A2" s="10" t="s">
        <v>286</v>
      </c>
      <c r="B2" s="10" t="s">
        <v>1181</v>
      </c>
      <c r="C2" s="10" t="s">
        <v>1182</v>
      </c>
      <c r="D2" s="10" t="s">
        <v>71</v>
      </c>
    </row>
    <row r="3" customFormat="false" ht="23.85" hidden="false" customHeight="false" outlineLevel="0" collapsed="false">
      <c r="A3" s="10" t="s">
        <v>173</v>
      </c>
      <c r="B3" s="10" t="s">
        <v>1183</v>
      </c>
      <c r="C3" s="10" t="s">
        <v>1184</v>
      </c>
      <c r="D3" s="10" t="s">
        <v>56</v>
      </c>
    </row>
    <row r="4" customFormat="false" ht="15" hidden="false" customHeight="false" outlineLevel="0" collapsed="false">
      <c r="A4" s="10" t="s">
        <v>261</v>
      </c>
      <c r="B4" s="10" t="s">
        <v>1185</v>
      </c>
      <c r="C4" s="10" t="s">
        <v>1186</v>
      </c>
      <c r="D4" s="10" t="s">
        <v>56</v>
      </c>
    </row>
    <row r="5" customFormat="false" ht="15" hidden="false" customHeight="false" outlineLevel="0" collapsed="false">
      <c r="A5" s="10" t="s">
        <v>125</v>
      </c>
      <c r="B5" s="10" t="s">
        <v>1187</v>
      </c>
      <c r="C5" s="10" t="s">
        <v>1188</v>
      </c>
      <c r="D5" s="10" t="s">
        <v>58</v>
      </c>
    </row>
    <row r="6" customFormat="false" ht="23.85" hidden="false" customHeight="false" outlineLevel="0" collapsed="false">
      <c r="A6" s="10" t="s">
        <v>1189</v>
      </c>
      <c r="B6" s="10" t="s">
        <v>1190</v>
      </c>
      <c r="C6" s="10" t="s">
        <v>1191</v>
      </c>
      <c r="D6" s="10" t="s">
        <v>71</v>
      </c>
    </row>
    <row r="7" customFormat="false" ht="23.85" hidden="false" customHeight="false" outlineLevel="0" collapsed="false">
      <c r="A7" s="10" t="s">
        <v>152</v>
      </c>
      <c r="B7" s="10" t="s">
        <v>1192</v>
      </c>
      <c r="C7" s="10" t="s">
        <v>1193</v>
      </c>
      <c r="D7" s="10" t="s">
        <v>71</v>
      </c>
    </row>
    <row r="8" customFormat="false" ht="15" hidden="false" customHeight="false" outlineLevel="0" collapsed="false">
      <c r="A8" s="10" t="s">
        <v>155</v>
      </c>
      <c r="B8" s="10" t="s">
        <v>1194</v>
      </c>
      <c r="C8" s="10" t="s">
        <v>1195</v>
      </c>
      <c r="D8" s="10" t="s">
        <v>56</v>
      </c>
    </row>
    <row r="9" customFormat="false" ht="15" hidden="false" customHeight="false" outlineLevel="0" collapsed="false">
      <c r="A9" s="10" t="s">
        <v>167</v>
      </c>
      <c r="B9" s="10" t="s">
        <v>1194</v>
      </c>
      <c r="C9" s="10" t="s">
        <v>1196</v>
      </c>
      <c r="D9" s="10" t="s">
        <v>56</v>
      </c>
    </row>
    <row r="10" customFormat="false" ht="15" hidden="false" customHeight="false" outlineLevel="0" collapsed="false">
      <c r="A10" s="10" t="s">
        <v>92</v>
      </c>
      <c r="B10" s="10" t="s">
        <v>1194</v>
      </c>
      <c r="C10" s="10" t="s">
        <v>1197</v>
      </c>
      <c r="D10" s="10" t="s">
        <v>71</v>
      </c>
    </row>
    <row r="11" customFormat="false" ht="15" hidden="false" customHeight="false" outlineLevel="0" collapsed="false">
      <c r="A11" s="10" t="s">
        <v>173</v>
      </c>
      <c r="B11" s="10" t="s">
        <v>1194</v>
      </c>
      <c r="C11" s="10" t="s">
        <v>1198</v>
      </c>
      <c r="D11" s="10" t="s">
        <v>56</v>
      </c>
    </row>
    <row r="12" customFormat="false" ht="15" hidden="false" customHeight="false" outlineLevel="0" collapsed="false">
      <c r="A12" s="10" t="s">
        <v>152</v>
      </c>
      <c r="B12" s="10" t="s">
        <v>1194</v>
      </c>
      <c r="C12" s="10" t="s">
        <v>1199</v>
      </c>
      <c r="D12" s="10" t="s">
        <v>71</v>
      </c>
    </row>
    <row r="13" customFormat="false" ht="23.85" hidden="false" customHeight="false" outlineLevel="0" collapsed="false">
      <c r="A13" s="10" t="s">
        <v>1200</v>
      </c>
      <c r="B13" s="10" t="s">
        <v>1201</v>
      </c>
      <c r="C13" s="10" t="s">
        <v>1202</v>
      </c>
      <c r="D13" s="10" t="s">
        <v>58</v>
      </c>
    </row>
    <row r="14" customFormat="false" ht="15" hidden="false" customHeight="false" outlineLevel="0" collapsed="false">
      <c r="A14" s="10" t="s">
        <v>1203</v>
      </c>
      <c r="B14" s="10" t="s">
        <v>1204</v>
      </c>
      <c r="C14" s="10" t="s">
        <v>1205</v>
      </c>
      <c r="D14" s="10" t="s">
        <v>58</v>
      </c>
    </row>
    <row r="15" customFormat="false" ht="23.85" hidden="false" customHeight="false" outlineLevel="0" collapsed="false">
      <c r="A15" s="10" t="s">
        <v>221</v>
      </c>
      <c r="B15" s="10" t="s">
        <v>1206</v>
      </c>
      <c r="C15" s="10" t="s">
        <v>1207</v>
      </c>
      <c r="D15" s="10" t="s">
        <v>134</v>
      </c>
    </row>
    <row r="16" customFormat="false" ht="15" hidden="false" customHeight="false" outlineLevel="0" collapsed="false">
      <c r="A16" s="10" t="s">
        <v>1208</v>
      </c>
      <c r="B16" s="10" t="s">
        <v>1209</v>
      </c>
      <c r="C16" s="10" t="s">
        <v>1210</v>
      </c>
      <c r="D16" s="10" t="s">
        <v>150</v>
      </c>
    </row>
    <row r="17" customFormat="false" ht="15" hidden="false" customHeight="false" outlineLevel="0" collapsed="false">
      <c r="A17" s="10" t="s">
        <v>1211</v>
      </c>
      <c r="B17" s="10" t="s">
        <v>1212</v>
      </c>
      <c r="C17" s="10" t="s">
        <v>1213</v>
      </c>
      <c r="D17" s="10" t="s">
        <v>56</v>
      </c>
    </row>
    <row r="18" customFormat="false" ht="15" hidden="false" customHeight="false" outlineLevel="0" collapsed="false">
      <c r="A18" s="10" t="s">
        <v>401</v>
      </c>
      <c r="B18" s="10" t="s">
        <v>1183</v>
      </c>
      <c r="C18" s="10" t="s">
        <v>1214</v>
      </c>
      <c r="D18" s="10" t="s">
        <v>56</v>
      </c>
    </row>
    <row r="19" customFormat="false" ht="15" hidden="false" customHeight="false" outlineLevel="0" collapsed="false">
      <c r="A19" s="10" t="s">
        <v>1215</v>
      </c>
      <c r="B19" s="10" t="s">
        <v>1216</v>
      </c>
      <c r="C19" s="10" t="s">
        <v>1217</v>
      </c>
      <c r="D19" s="10" t="s">
        <v>259</v>
      </c>
    </row>
    <row r="20" customFormat="false" ht="23.85" hidden="false" customHeight="false" outlineLevel="0" collapsed="false">
      <c r="A20" s="10" t="s">
        <v>1215</v>
      </c>
      <c r="B20" s="10" t="s">
        <v>1218</v>
      </c>
      <c r="C20" s="10" t="s">
        <v>1219</v>
      </c>
      <c r="D20" s="10" t="s">
        <v>58</v>
      </c>
    </row>
  </sheetData>
  <autoFilter ref="A1:D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2026-08-07T01:06:36Z</dcterms:created>
  <dc:creator>openpyxl</dc:creator>
  <dc:description/>
  <dc:language>en-US</dc:language>
  <cp:lastModifiedBy/>
  <dcterms:modified xsi:type="dcterms:W3CDTF">2026-08-07T01:06:36Z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