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here to track" sheetId="1" state="visible" r:id="rId3"/>
    <sheet name="Fills 15 Oc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<sst xmlns="http://schemas.openxmlformats.org/spreadsheetml/2006/main" count="58" uniqueCount="54">
  <si>
    <t xml:space="preserve">Where tonight's ASML and TSMC fills show up (15 Oct 2026)</t>
  </si>
  <si>
    <t xml:space="preserve">Two different things: the project-folder "Decision" document is my diary of what was done and why; the dashboard is where the positions themselves are tracked.</t>
  </si>
  <si>
    <t xml:space="preserve">Place</t>
  </si>
  <si>
    <t xml:space="preserve">Tab / location</t>
  </si>
  <si>
    <t xml:space="preserve">What you see there</t>
  </si>
  <si>
    <t xml:space="preserve">Use it for</t>
  </si>
  <si>
    <t xml:space="preserve">Dashboard</t>
  </si>
  <si>
    <t xml:space="preserve">Overview (main tab)</t>
  </si>
  <si>
    <t xml:space="preserve">TSM 170.5 sh and ASML 17 sh in the holdings table with cost, budget and room left; Cash tile $38,955.80 as of 15 Oct</t>
  </si>
  <si>
    <t xml:space="preserve">What do I own and what did it cost</t>
  </si>
  <si>
    <t xml:space="preserve">Trading</t>
  </si>
  <si>
    <t xml:space="preserve">Trade log: two new rows dated Oct 15 (TSM 23 @ 417.42, ASML 4 @ 1,614.98); cash history underneath</t>
  </si>
  <si>
    <t xml:space="preserve">What happened and when</t>
  </si>
  <si>
    <t xml:space="preserve">Schedule</t>
  </si>
  <si>
    <t xml:space="preserve">15 Oct TSM and ASML rows marked DONE with fill detail; TSM standing "$380" row trimmed to the $9,522 still unspent</t>
  </si>
  <si>
    <t xml:space="preserve">What is still to do</t>
  </si>
  <si>
    <t xml:space="preserve">Buy Plan 12-30 Oct</t>
  </si>
  <si>
    <t xml:space="preserve">Both rows gone (shows open orders only); Cash now $38,956; firm orders left: ISRG and CAT</t>
  </si>
  <si>
    <t xml:space="preserve">Tonight's order sheet</t>
  </si>
  <si>
    <t xml:space="preserve">Portfolio (groups)</t>
  </si>
  <si>
    <t xml:space="preserve">Semiconductor group weight up by tonight's ~$16k</t>
  </si>
  <si>
    <t xml:space="preserve">Concentration check</t>
  </si>
  <si>
    <t xml:space="preserve">Project folder</t>
  </si>
  <si>
    <t xml:space="preserve">claude/decision-2026-10-15-asml-tsm-fills-booked.md</t>
  </si>
  <si>
    <t xml:space="preserve">Source screen, fill prices, commission estimate, the test that released the money, the open ISRG question</t>
  </si>
  <si>
    <t xml:space="preserve">Audit trail - survives even if this chat does not</t>
  </si>
  <si>
    <t xml:space="preserve">Map tab: Overview, Trading and Schedule are the three ground-floor rooms.</t>
  </si>
  <si>
    <t xml:space="preserve">Fills booked from the POEMS order screen, 22:08 Bangkok, 15 Oct 2026</t>
  </si>
  <si>
    <t xml:space="preserve">Blue = typed from the POEMS screen or the board. Black = formula. Commission 0.214%, minimum $8.56 (POEMS US schedule) - ESTIMATED, true up from the contract notes.</t>
  </si>
  <si>
    <t xml:space="preserve">Stock</t>
  </si>
  <si>
    <t xml:space="preserve">Shares</t>
  </si>
  <si>
    <t xml:space="preserve">Fill price</t>
  </si>
  <si>
    <t xml:space="preserve">Gross</t>
  </si>
  <si>
    <t xml:space="preserve">Commission</t>
  </si>
  <si>
    <t xml:space="preserve">Cost</t>
  </si>
  <si>
    <t xml:space="preserve">Cap set</t>
  </si>
  <si>
    <t xml:space="preserve">Fill vs cap</t>
  </si>
  <si>
    <t xml:space="preserve">Shares before</t>
  </si>
  <si>
    <t xml:space="preserve">Cost before</t>
  </si>
  <si>
    <t xml:space="preserve">Budget</t>
  </si>
  <si>
    <t xml:space="preserve">Shares after</t>
  </si>
  <si>
    <t xml:space="preserve">Cost after</t>
  </si>
  <si>
    <t xml:space="preserve">Room left</t>
  </si>
  <si>
    <t xml:space="preserve">TSM</t>
  </si>
  <si>
    <t xml:space="preserve">ASML</t>
  </si>
  <si>
    <t xml:space="preserve">Total</t>
  </si>
  <si>
    <t xml:space="preserve">Cash</t>
  </si>
  <si>
    <t xml:space="preserve">Free cash before (13 Oct, after SGOV park)</t>
  </si>
  <si>
    <t xml:space="preserve">Less tonight's two fills</t>
  </si>
  <si>
    <t xml:space="preserve">Free cash after</t>
  </si>
  <si>
    <t xml:space="preserve">SGOV parked (cash-equivalent)</t>
  </si>
  <si>
    <t xml:space="preserve">Total liquid</t>
  </si>
  <si>
    <t xml:space="preserve">Next rungs: TSM standing order "any close at or below $380" now sized to the room left; ASML rung 2 ($6,606) on the January results, $10,000 deliberately held back.</t>
  </si>
  <si>
    <t xml:space="preserve">Open: ISRG was not on the 15 Oct order screen - 13/14 Oct Day limits at $413 appear to have expired. Results ~20-21 Oct; no order to sit open into the print.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</si>
</sst>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0"/>
    <numFmt numFmtId="166" formatCode="#,##0.00"/>
    <numFmt numFmtId="167" formatCode="0.0%"/>
    <numFmt numFmtId="168" formatCode="General"/>
    <numFmt numFmtId="169" formatCode="#,##0.00;\(#,##0.00\)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4" min="4" style="0" width="34"/>
  </cols>
  <sheetData>
    <row r="1" customFormat="false" ht="16.1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6.8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26.85" hidden="false" customHeight="false" outlineLevel="0" collapsed="false">
      <c r="A6" s="4" t="s">
        <v>6</v>
      </c>
      <c r="B6" s="4" t="s">
        <v>10</v>
      </c>
      <c r="C6" s="4" t="s">
        <v>11</v>
      </c>
      <c r="D6" s="4" t="s">
        <v>12</v>
      </c>
    </row>
    <row r="7" customFormat="false" ht="26.85" hidden="false" customHeight="false" outlineLevel="0" collapsed="false">
      <c r="A7" s="4" t="s">
        <v>6</v>
      </c>
      <c r="B7" s="4" t="s">
        <v>13</v>
      </c>
      <c r="C7" s="4" t="s">
        <v>14</v>
      </c>
      <c r="D7" s="4" t="s">
        <v>15</v>
      </c>
    </row>
    <row r="8" customFormat="false" ht="26.85" hidden="false" customHeight="false" outlineLevel="0" collapsed="false">
      <c r="A8" s="4" t="s">
        <v>6</v>
      </c>
      <c r="B8" s="4" t="s">
        <v>16</v>
      </c>
      <c r="C8" s="4" t="s">
        <v>17</v>
      </c>
      <c r="D8" s="4" t="s">
        <v>18</v>
      </c>
    </row>
    <row r="9" customFormat="false" ht="15" hidden="false" customHeight="false" outlineLevel="0" collapsed="false">
      <c r="A9" s="4" t="s">
        <v>6</v>
      </c>
      <c r="B9" s="4" t="s">
        <v>19</v>
      </c>
      <c r="C9" s="4" t="s">
        <v>20</v>
      </c>
      <c r="D9" s="4" t="s">
        <v>21</v>
      </c>
    </row>
    <row r="10" customFormat="false" ht="26.85" hidden="false" customHeight="false" outlineLevel="0" collapsed="false">
      <c r="A10" s="4" t="s">
        <v>22</v>
      </c>
      <c r="B10" s="4" t="s">
        <v>23</v>
      </c>
      <c r="C10" s="4" t="s">
        <v>24</v>
      </c>
      <c r="D10" s="4" t="s">
        <v>25</v>
      </c>
    </row>
    <row r="12" customFormat="false" ht="15" hidden="false" customHeight="false" outlineLevel="0" collapsed="false">
      <c r="A12" s="5" t="s">
        <v>26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6" min="3" style="0" width="12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4" min="12" style="0" width="12"/>
  </cols>
  <sheetData>
    <row r="1" customFormat="false" ht="16.15" hidden="false" customHeight="false" outlineLevel="0" collapsed="false">
      <c r="A1" s="1" t="s">
        <v>27</v>
      </c>
    </row>
    <row r="2" customFormat="false" ht="30" hidden="false" customHeight="true" outlineLevel="0" collapsed="false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6.85" hidden="false" customHeight="false" outlineLevel="0" collapsed="false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</row>
    <row r="5" customFormat="false" ht="15" hidden="false" customHeight="false" outlineLevel="0" collapsed="false">
      <c r="A5" s="6" t="s">
        <v>43</v>
      </c>
      <c r="B5" s="7" t="n">
        <v>23</v>
      </c>
      <c r="C5" s="8" t="n">
        <v>417.4235</v>
      </c>
      <c r="D5" s="9" t="n">
        <f aca="false">ROUND(B5*C5,2)</f>
        <v>9600.74</v>
      </c>
      <c r="E5" s="9" t="n">
        <f aca="false">ROUND(MAX(D5*0.00214,8.56),2)</f>
        <v>20.55</v>
      </c>
      <c r="F5" s="9" t="n">
        <f aca="false">D5+E5</f>
        <v>9621.29</v>
      </c>
      <c r="G5" s="10" t="n">
        <v>434.3</v>
      </c>
      <c r="H5" s="11" t="n">
        <f aca="false">C5/G5-1</f>
        <v>-0.0388590835827769</v>
      </c>
      <c r="I5" s="7" t="n">
        <v>147.5</v>
      </c>
      <c r="J5" s="10" t="n">
        <v>54856.42</v>
      </c>
      <c r="K5" s="10" t="n">
        <v>74000</v>
      </c>
      <c r="L5" s="12" t="n">
        <f aca="false">I5+B5</f>
        <v>170.5</v>
      </c>
      <c r="M5" s="9" t="n">
        <f aca="false">J5+F5</f>
        <v>64477.71</v>
      </c>
      <c r="N5" s="9" t="n">
        <f aca="false">K5-M5</f>
        <v>9522.29</v>
      </c>
    </row>
    <row r="6" customFormat="false" ht="15" hidden="false" customHeight="false" outlineLevel="0" collapsed="false">
      <c r="A6" s="6" t="s">
        <v>44</v>
      </c>
      <c r="B6" s="7" t="n">
        <v>4</v>
      </c>
      <c r="C6" s="8" t="n">
        <v>1614.9799</v>
      </c>
      <c r="D6" s="9" t="n">
        <f aca="false">ROUND(B6*C6,2)</f>
        <v>6459.92</v>
      </c>
      <c r="E6" s="9" t="n">
        <f aca="false">ROUND(MAX(D6*0.00214,8.56),2)</f>
        <v>13.82</v>
      </c>
      <c r="F6" s="9" t="n">
        <f aca="false">D6+E6</f>
        <v>6473.74</v>
      </c>
      <c r="G6" s="10" t="n">
        <v>1666.5</v>
      </c>
      <c r="H6" s="11" t="n">
        <f aca="false">C6/G6-1</f>
        <v>-0.0309151515151515</v>
      </c>
      <c r="I6" s="7" t="n">
        <v>13</v>
      </c>
      <c r="J6" s="10" t="n">
        <v>16394.06</v>
      </c>
      <c r="K6" s="10" t="n">
        <v>41000</v>
      </c>
      <c r="L6" s="12" t="n">
        <f aca="false">I6+B6</f>
        <v>17</v>
      </c>
      <c r="M6" s="9" t="n">
        <f aca="false">J6+F6</f>
        <v>22867.8</v>
      </c>
      <c r="N6" s="9" t="n">
        <f aca="false">K6-M6</f>
        <v>18132.2</v>
      </c>
    </row>
    <row r="7" customFormat="false" ht="15" hidden="false" customHeight="false" outlineLevel="0" collapsed="false">
      <c r="A7" s="13" t="s">
        <v>45</v>
      </c>
      <c r="C7" s="14"/>
      <c r="D7" s="15" t="n">
        <f aca="false">SUM(D5:D6)</f>
        <v>16060.66</v>
      </c>
      <c r="E7" s="15" t="n">
        <f aca="false">SUM(E5:E6)</f>
        <v>34.37</v>
      </c>
      <c r="F7" s="15" t="n">
        <f aca="false">SUM(F5:F6)</f>
        <v>16095.03</v>
      </c>
      <c r="G7" s="14"/>
      <c r="J7" s="14"/>
      <c r="K7" s="14"/>
      <c r="M7" s="14"/>
      <c r="N7" s="14"/>
    </row>
    <row r="9" customFormat="false" ht="15" hidden="false" customHeight="false" outlineLevel="0" collapsed="false">
      <c r="A9" s="13" t="s">
        <v>46</v>
      </c>
    </row>
    <row r="10" customFormat="false" ht="15" hidden="false" customHeight="false" outlineLevel="0" collapsed="false">
      <c r="A10" s="16" t="s">
        <v>47</v>
      </c>
      <c r="B10" s="17" t="n">
        <v>55050.83</v>
      </c>
    </row>
    <row r="11" customFormat="false" ht="15" hidden="false" customHeight="false" outlineLevel="0" collapsed="false">
      <c r="A11" s="16" t="s">
        <v>48</v>
      </c>
      <c r="B11" s="18" t="n">
        <f aca="false">-F7</f>
        <v>-16095.03</v>
      </c>
    </row>
    <row r="12" customFormat="false" ht="15" hidden="false" customHeight="false" outlineLevel="0" collapsed="false">
      <c r="A12" s="16" t="s">
        <v>49</v>
      </c>
      <c r="B12" s="19" t="n">
        <f aca="false">B10+B11</f>
        <v>38955.8</v>
      </c>
    </row>
    <row r="13" customFormat="false" ht="15" hidden="false" customHeight="false" outlineLevel="0" collapsed="false">
      <c r="A13" s="16" t="s">
        <v>50</v>
      </c>
      <c r="B13" s="17" t="n">
        <v>79991.56</v>
      </c>
    </row>
    <row r="14" customFormat="false" ht="15" hidden="false" customHeight="false" outlineLevel="0" collapsed="false">
      <c r="A14" s="16" t="s">
        <v>51</v>
      </c>
      <c r="B14" s="19" t="n">
        <f aca="false">B12+B13</f>
        <v>118947.36</v>
      </c>
    </row>
    <row r="16" customFormat="false" ht="15" hidden="false" customHeight="false" outlineLevel="0" collapsed="false">
      <c r="A16" s="5" t="s">
        <v>52</v>
      </c>
    </row>
    <row r="17" customFormat="false" ht="15" hidden="false" customHeight="false" outlineLevel="0" collapsed="false">
      <c r="A17" s="5" t="s">
        <v>53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2026-10-15T15:41:29Z</dcterms:created>
  <dc:creator>openpyxl</dc:creator>
  <dc:description/>
  <dc:language>en-US</dc:language>
  <cp:lastModifiedBy/>
  <dcterms:modified xsi:type="dcterms:W3CDTF">2026-10-15T15:41:29Z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